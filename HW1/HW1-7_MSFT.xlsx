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wens/Desktop/2026/columbia_fall_2026/intro to mfin/HW1/"/>
    </mc:Choice>
  </mc:AlternateContent>
  <xr:revisionPtr revIDLastSave="0" documentId="13_ncr:1_{ED81044E-8C73-C44C-992B-2E7EA5434F7E}" xr6:coauthVersionLast="47" xr6:coauthVersionMax="47" xr10:uidLastSave="{00000000-0000-0000-0000-000000000000}"/>
  <bookViews>
    <workbookView xWindow="0" yWindow="660" windowWidth="30240" windowHeight="17680" xr2:uid="{696A27A5-E3A2-AA43-93DA-75C53E35C8EA}"/>
  </bookViews>
  <sheets>
    <sheet name="Sheet4" sheetId="4" r:id="rId1"/>
  </sheets>
  <definedNames>
    <definedName name="_xlchart.v1.0" hidden="1">Sheet4!$H$1</definedName>
    <definedName name="_xlchart.v1.1" hidden="1">Sheet4!$H$2:$H$3183</definedName>
    <definedName name="_xlchart.v1.2" hidden="1">Sheet4!$H$1</definedName>
    <definedName name="_xlchart.v1.3" hidden="1">Sheet4!$H$2:$H$3183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4" l="1" a="1"/>
  <c r="K2" i="4" s="1"/>
  <c r="H3183" i="4"/>
  <c r="H3" i="4"/>
  <c r="H4" i="4"/>
  <c r="J2" i="4" s="1" a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J2" i="4" l="1"/>
  <c r="O5" i="4"/>
  <c r="O9" i="4"/>
  <c r="O13" i="4"/>
  <c r="O14" i="4"/>
  <c r="O8" i="4"/>
  <c r="O7" i="4"/>
  <c r="O6" i="4"/>
  <c r="O11" i="4"/>
  <c r="O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<sst xmlns="http://schemas.openxmlformats.org/spreadsheetml/2006/main" count="19" uniqueCount="19">
  <si>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Adj Close</t>
  </si>
  <si>
    <t>Close</t>
  </si>
  <si>
    <t>High</t>
  </si>
  <si>
    <t>Low</t>
  </si>
  <si>
    <t>Open</t>
  </si>
  <si>
    <t>Volume</t>
  </si>
  <si>
    <t>Date</t>
  </si>
  <si>
    <t>Return</t>
  </si>
  <si>
    <t>Mean</t>
  </si>
  <si>
    <t>Variance</t>
  </si>
  <si>
    <t>Standard Deviation</t>
  </si>
  <si>
    <t>Mean Absolute Deviation</t>
  </si>
  <si>
    <t>Kurtosis</t>
  </si>
  <si>
    <t>Skewness</t>
  </si>
  <si>
    <t>Excess Kurtosis</t>
  </si>
  <si>
    <t>Min Return</t>
  </si>
  <si>
    <t>Max Return</t>
  </si>
  <si>
    <t>Sorted Return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</si>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</sst>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000%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">
    <dxf>
      <numFmt numFmtId="14" formatCode="0.00%"/>
    </dxf>
    <dxf>
      <numFmt numFmtId="1" formatCode="0"/>
    </dxf>
    <dxf>
      <numFmt numFmtId="164" formatCode="mm/d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CDF of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Sheet4!$K$1</c:f>
              <c:strCache>
                <c:ptCount val="1"/>
                <c:pt idx="0">
                  <c:v>CDF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Sheet4!$J$2:$J$3182</c:f>
              <c:numCache>
                <c:formatCode>0.00%</c:formatCode>
                <c:ptCount val="3181"/>
                <c:pt idx="0">
                  <c:v>-0.147390347519051</c:v>
                </c:pt>
                <c:pt idx="1">
                  <c:v>-9.9931401497127315E-2</c:v>
                </c:pt>
                <c:pt idx="2">
                  <c:v>-9.4838219372183841E-2</c:v>
                </c:pt>
                <c:pt idx="3">
                  <c:v>-9.2533572044026569E-2</c:v>
                </c:pt>
                <c:pt idx="4">
                  <c:v>-7.7156216290372837E-2</c:v>
                </c:pt>
                <c:pt idx="5">
                  <c:v>-7.1710385897471807E-2</c:v>
                </c:pt>
                <c:pt idx="6">
                  <c:v>-7.0459062539986905E-2</c:v>
                </c:pt>
                <c:pt idx="7">
                  <c:v>-6.777258304979461E-2</c:v>
                </c:pt>
                <c:pt idx="8">
                  <c:v>-6.1946845650081572E-2</c:v>
                </c:pt>
                <c:pt idx="9">
                  <c:v>-6.1809036369069537E-2</c:v>
                </c:pt>
                <c:pt idx="10">
                  <c:v>-6.0527568326576686E-2</c:v>
                </c:pt>
                <c:pt idx="11">
                  <c:v>-5.6723199013224201E-2</c:v>
                </c:pt>
                <c:pt idx="12">
                  <c:v>-5.4978334142037344E-2</c:v>
                </c:pt>
                <c:pt idx="13">
                  <c:v>-5.4338020691248601E-2</c:v>
                </c:pt>
                <c:pt idx="14">
                  <c:v>-5.4095726771217878E-2</c:v>
                </c:pt>
                <c:pt idx="15">
                  <c:v>-5.3698481537007736E-2</c:v>
                </c:pt>
                <c:pt idx="16">
                  <c:v>-5.3469020599410833E-2</c:v>
                </c:pt>
                <c:pt idx="17">
                  <c:v>-5.1333455619284152E-2</c:v>
                </c:pt>
                <c:pt idx="18">
                  <c:v>-5.0852805851266725E-2</c:v>
                </c:pt>
                <c:pt idx="19">
                  <c:v>-4.9566522318313933E-2</c:v>
                </c:pt>
                <c:pt idx="20">
                  <c:v>-4.9542520559455072E-2</c:v>
                </c:pt>
                <c:pt idx="21">
                  <c:v>-4.7919155397019075E-2</c:v>
                </c:pt>
                <c:pt idx="22">
                  <c:v>-4.5958698818849175E-2</c:v>
                </c:pt>
                <c:pt idx="23">
                  <c:v>-4.5529797786743376E-2</c:v>
                </c:pt>
                <c:pt idx="24">
                  <c:v>-4.5302191006575843E-2</c:v>
                </c:pt>
                <c:pt idx="25">
                  <c:v>-4.4563525564968454E-2</c:v>
                </c:pt>
                <c:pt idx="26">
                  <c:v>-4.3743222452149788E-2</c:v>
                </c:pt>
                <c:pt idx="27">
                  <c:v>-4.3554617630977344E-2</c:v>
                </c:pt>
                <c:pt idx="28">
                  <c:v>-4.3494604703568585E-2</c:v>
                </c:pt>
                <c:pt idx="29">
                  <c:v>-4.3115518747383286E-2</c:v>
                </c:pt>
                <c:pt idx="30">
                  <c:v>-4.2412853650190541E-2</c:v>
                </c:pt>
                <c:pt idx="31">
                  <c:v>-4.2322542041162481E-2</c:v>
                </c:pt>
                <c:pt idx="32">
                  <c:v>-4.2096111309362527E-2</c:v>
                </c:pt>
                <c:pt idx="33">
                  <c:v>-4.1812168680009254E-2</c:v>
                </c:pt>
                <c:pt idx="34">
                  <c:v>-4.1738748923517144E-2</c:v>
                </c:pt>
                <c:pt idx="35">
                  <c:v>-4.171374717707732E-2</c:v>
                </c:pt>
                <c:pt idx="36">
                  <c:v>-4.1357327107202857E-2</c:v>
                </c:pt>
                <c:pt idx="37">
                  <c:v>-4.1185165430925208E-2</c:v>
                </c:pt>
                <c:pt idx="38">
                  <c:v>-4.1060825464839912E-2</c:v>
                </c:pt>
                <c:pt idx="39">
                  <c:v>-4.0981498695117136E-2</c:v>
                </c:pt>
                <c:pt idx="40">
                  <c:v>-4.006938073389632E-2</c:v>
                </c:pt>
                <c:pt idx="41">
                  <c:v>-4.0022082724692543E-2</c:v>
                </c:pt>
                <c:pt idx="42">
                  <c:v>-3.9917172212307506E-2</c:v>
                </c:pt>
                <c:pt idx="43">
                  <c:v>-3.9694709306146825E-2</c:v>
                </c:pt>
                <c:pt idx="44">
                  <c:v>-3.9660995619757444E-2</c:v>
                </c:pt>
                <c:pt idx="45">
                  <c:v>-3.9431412040147551E-2</c:v>
                </c:pt>
                <c:pt idx="46">
                  <c:v>-3.9296904321054038E-2</c:v>
                </c:pt>
                <c:pt idx="47">
                  <c:v>-3.906268303168714E-2</c:v>
                </c:pt>
                <c:pt idx="48">
                  <c:v>-3.8952558335832332E-2</c:v>
                </c:pt>
                <c:pt idx="49">
                  <c:v>-3.8587038017535269E-2</c:v>
                </c:pt>
                <c:pt idx="50">
                  <c:v>-3.8387867581976431E-2</c:v>
                </c:pt>
                <c:pt idx="51">
                  <c:v>-3.8323782234957471E-2</c:v>
                </c:pt>
                <c:pt idx="52">
                  <c:v>-3.7884372312126269E-2</c:v>
                </c:pt>
                <c:pt idx="53">
                  <c:v>-3.7776889246050382E-2</c:v>
                </c:pt>
                <c:pt idx="54">
                  <c:v>-3.7740139122867333E-2</c:v>
                </c:pt>
                <c:pt idx="55">
                  <c:v>-3.763753498428013E-2</c:v>
                </c:pt>
                <c:pt idx="56">
                  <c:v>-3.7561104854188732E-2</c:v>
                </c:pt>
                <c:pt idx="57">
                  <c:v>-3.7558711975663739E-2</c:v>
                </c:pt>
                <c:pt idx="58">
                  <c:v>-3.7514295076040205E-2</c:v>
                </c:pt>
                <c:pt idx="59">
                  <c:v>-3.7403399018598793E-2</c:v>
                </c:pt>
                <c:pt idx="60">
                  <c:v>-3.6945777879030528E-2</c:v>
                </c:pt>
                <c:pt idx="61">
                  <c:v>-3.6802195143152305E-2</c:v>
                </c:pt>
                <c:pt idx="62">
                  <c:v>-3.6788372985293138E-2</c:v>
                </c:pt>
                <c:pt idx="63">
                  <c:v>-3.660602043793626E-2</c:v>
                </c:pt>
                <c:pt idx="64">
                  <c:v>-3.6605636385867557E-2</c:v>
                </c:pt>
                <c:pt idx="65">
                  <c:v>-3.6203575811804334E-2</c:v>
                </c:pt>
                <c:pt idx="66">
                  <c:v>-3.594074767334432E-2</c:v>
                </c:pt>
                <c:pt idx="67">
                  <c:v>-3.5854780863172619E-2</c:v>
                </c:pt>
                <c:pt idx="68">
                  <c:v>-3.5565998935803034E-2</c:v>
                </c:pt>
                <c:pt idx="69">
                  <c:v>-3.5507987221104043E-2</c:v>
                </c:pt>
                <c:pt idx="70">
                  <c:v>-3.5384466994497821E-2</c:v>
                </c:pt>
                <c:pt idx="71">
                  <c:v>-3.5368214677202636E-2</c:v>
                </c:pt>
                <c:pt idx="72">
                  <c:v>-3.4783053768686845E-2</c:v>
                </c:pt>
                <c:pt idx="73">
                  <c:v>-3.45592514347145E-2</c:v>
                </c:pt>
                <c:pt idx="74">
                  <c:v>-3.4458513967676963E-2</c:v>
                </c:pt>
                <c:pt idx="75">
                  <c:v>-3.4258427731989394E-2</c:v>
                </c:pt>
                <c:pt idx="76">
                  <c:v>-3.3890345950696177E-2</c:v>
                </c:pt>
                <c:pt idx="77">
                  <c:v>-3.3792827963442629E-2</c:v>
                </c:pt>
                <c:pt idx="78">
                  <c:v>-3.3786253376312469E-2</c:v>
                </c:pt>
                <c:pt idx="79">
                  <c:v>-3.3566939737344037E-2</c:v>
                </c:pt>
                <c:pt idx="80">
                  <c:v>-3.3434224776588417E-2</c:v>
                </c:pt>
                <c:pt idx="81">
                  <c:v>-3.3209573138984094E-2</c:v>
                </c:pt>
                <c:pt idx="82">
                  <c:v>-3.2928405612570932E-2</c:v>
                </c:pt>
                <c:pt idx="83">
                  <c:v>-3.2656782425950936E-2</c:v>
                </c:pt>
                <c:pt idx="84">
                  <c:v>-3.2586826600418561E-2</c:v>
                </c:pt>
                <c:pt idx="85">
                  <c:v>-3.235448260648377E-2</c:v>
                </c:pt>
                <c:pt idx="86">
                  <c:v>-3.2312098229865582E-2</c:v>
                </c:pt>
                <c:pt idx="87">
                  <c:v>-3.2273439786580926E-2</c:v>
                </c:pt>
                <c:pt idx="88">
                  <c:v>-3.2122516863563155E-2</c:v>
                </c:pt>
                <c:pt idx="89">
                  <c:v>-3.2119269759742441E-2</c:v>
                </c:pt>
                <c:pt idx="90">
                  <c:v>-3.1918204154036012E-2</c:v>
                </c:pt>
                <c:pt idx="91">
                  <c:v>-3.1862500590369547E-2</c:v>
                </c:pt>
                <c:pt idx="92">
                  <c:v>-3.1849451230123171E-2</c:v>
                </c:pt>
                <c:pt idx="93">
                  <c:v>-3.1786989559603018E-2</c:v>
                </c:pt>
                <c:pt idx="94">
                  <c:v>-3.1749059658492063E-2</c:v>
                </c:pt>
                <c:pt idx="95">
                  <c:v>-3.165569625585396E-2</c:v>
                </c:pt>
                <c:pt idx="96">
                  <c:v>-3.1612913269090215E-2</c:v>
                </c:pt>
                <c:pt idx="97">
                  <c:v>-3.1572545579657274E-2</c:v>
                </c:pt>
                <c:pt idx="98">
                  <c:v>-3.1255614544726362E-2</c:v>
                </c:pt>
                <c:pt idx="99">
                  <c:v>-3.1246937793045659E-2</c:v>
                </c:pt>
                <c:pt idx="100">
                  <c:v>-3.1047815986458116E-2</c:v>
                </c:pt>
                <c:pt idx="101">
                  <c:v>-3.0888701958814324E-2</c:v>
                </c:pt>
                <c:pt idx="102">
                  <c:v>-3.0867940760641921E-2</c:v>
                </c:pt>
                <c:pt idx="103">
                  <c:v>-3.0379444496047681E-2</c:v>
                </c:pt>
                <c:pt idx="104">
                  <c:v>-3.016025660028343E-2</c:v>
                </c:pt>
                <c:pt idx="105">
                  <c:v>-3.013041422025331E-2</c:v>
                </c:pt>
                <c:pt idx="106">
                  <c:v>-3.0114415820062024E-2</c:v>
                </c:pt>
                <c:pt idx="107">
                  <c:v>-2.9733339417804761E-2</c:v>
                </c:pt>
                <c:pt idx="108">
                  <c:v>-2.9637860443236907E-2</c:v>
                </c:pt>
                <c:pt idx="109">
                  <c:v>-2.9614574887130374E-2</c:v>
                </c:pt>
                <c:pt idx="110">
                  <c:v>-2.9572018980054016E-2</c:v>
                </c:pt>
                <c:pt idx="111">
                  <c:v>-2.9511628795655498E-2</c:v>
                </c:pt>
                <c:pt idx="112">
                  <c:v>-2.9362565975400434E-2</c:v>
                </c:pt>
                <c:pt idx="113">
                  <c:v>-2.9355072656220615E-2</c:v>
                </c:pt>
                <c:pt idx="114">
                  <c:v>-2.9282145472017573E-2</c:v>
                </c:pt>
                <c:pt idx="115">
                  <c:v>-2.917171904980953E-2</c:v>
                </c:pt>
                <c:pt idx="116">
                  <c:v>-2.9156915158355501E-2</c:v>
                </c:pt>
                <c:pt idx="117">
                  <c:v>-2.9134700900779631E-2</c:v>
                </c:pt>
                <c:pt idx="118">
                  <c:v>-2.9087322793642789E-2</c:v>
                </c:pt>
                <c:pt idx="119">
                  <c:v>-2.9076386615899064E-2</c:v>
                </c:pt>
                <c:pt idx="120">
                  <c:v>-2.9070483721917229E-2</c:v>
                </c:pt>
                <c:pt idx="121">
                  <c:v>-2.9068074338626126E-2</c:v>
                </c:pt>
                <c:pt idx="122">
                  <c:v>-2.9030088533434806E-2</c:v>
                </c:pt>
                <c:pt idx="123">
                  <c:v>-2.8824701858017887E-2</c:v>
                </c:pt>
                <c:pt idx="124">
                  <c:v>-2.8721998448954622E-2</c:v>
                </c:pt>
                <c:pt idx="125">
                  <c:v>-2.8442045600590271E-2</c:v>
                </c:pt>
                <c:pt idx="126">
                  <c:v>-2.8372931043769367E-2</c:v>
                </c:pt>
                <c:pt idx="127">
                  <c:v>-2.8285783539008458E-2</c:v>
                </c:pt>
                <c:pt idx="128">
                  <c:v>-2.8266938531620101E-2</c:v>
                </c:pt>
                <c:pt idx="129">
                  <c:v>-2.818688944653569E-2</c:v>
                </c:pt>
                <c:pt idx="130">
                  <c:v>-2.8095449889727342E-2</c:v>
                </c:pt>
                <c:pt idx="131">
                  <c:v>-2.8018683222808205E-2</c:v>
                </c:pt>
                <c:pt idx="132">
                  <c:v>-2.7920454801943828E-2</c:v>
                </c:pt>
                <c:pt idx="133">
                  <c:v>-2.7852640315972677E-2</c:v>
                </c:pt>
                <c:pt idx="134">
                  <c:v>-2.7815326356277925E-2</c:v>
                </c:pt>
                <c:pt idx="135">
                  <c:v>-2.7805998590759162E-2</c:v>
                </c:pt>
                <c:pt idx="136">
                  <c:v>-2.7798059440549805E-2</c:v>
                </c:pt>
                <c:pt idx="137">
                  <c:v>-2.7731267143212945E-2</c:v>
                </c:pt>
                <c:pt idx="138">
                  <c:v>-2.7428184044119841E-2</c:v>
                </c:pt>
                <c:pt idx="139">
                  <c:v>-2.7356565070649763E-2</c:v>
                </c:pt>
                <c:pt idx="140">
                  <c:v>-2.7119216856716477E-2</c:v>
                </c:pt>
                <c:pt idx="141">
                  <c:v>-2.7084533942614009E-2</c:v>
                </c:pt>
                <c:pt idx="142">
                  <c:v>-2.699553593920867E-2</c:v>
                </c:pt>
                <c:pt idx="143">
                  <c:v>-2.69806569160711E-2</c:v>
                </c:pt>
                <c:pt idx="144">
                  <c:v>-2.6970188343966361E-2</c:v>
                </c:pt>
                <c:pt idx="145">
                  <c:v>-2.694620873579745E-2</c:v>
                </c:pt>
                <c:pt idx="146">
                  <c:v>-2.6808318488671934E-2</c:v>
                </c:pt>
                <c:pt idx="147">
                  <c:v>-2.6788610832234272E-2</c:v>
                </c:pt>
                <c:pt idx="148">
                  <c:v>-2.6774239293420821E-2</c:v>
                </c:pt>
                <c:pt idx="149">
                  <c:v>-2.6662265110083294E-2</c:v>
                </c:pt>
                <c:pt idx="150">
                  <c:v>-2.6622897596166317E-2</c:v>
                </c:pt>
                <c:pt idx="151">
                  <c:v>-2.6588033751594575E-2</c:v>
                </c:pt>
                <c:pt idx="152">
                  <c:v>-2.6585667543834401E-2</c:v>
                </c:pt>
                <c:pt idx="153">
                  <c:v>-2.6578813484892883E-2</c:v>
                </c:pt>
                <c:pt idx="154">
                  <c:v>-2.6368345723921105E-2</c:v>
                </c:pt>
                <c:pt idx="155">
                  <c:v>-2.6310571264174021E-2</c:v>
                </c:pt>
                <c:pt idx="156">
                  <c:v>-2.6282754571146483E-2</c:v>
                </c:pt>
                <c:pt idx="157">
                  <c:v>-2.6134140521704929E-2</c:v>
                </c:pt>
                <c:pt idx="158">
                  <c:v>-2.6029456935508732E-2</c:v>
                </c:pt>
                <c:pt idx="159">
                  <c:v>-2.5929185133743426E-2</c:v>
                </c:pt>
                <c:pt idx="160">
                  <c:v>-2.5893435598049463E-2</c:v>
                </c:pt>
                <c:pt idx="161">
                  <c:v>-2.5891374986559579E-2</c:v>
                </c:pt>
                <c:pt idx="162">
                  <c:v>-2.5766694453054573E-2</c:v>
                </c:pt>
                <c:pt idx="163">
                  <c:v>-2.5533019878217544E-2</c:v>
                </c:pt>
                <c:pt idx="164">
                  <c:v>-2.5528677887658002E-2</c:v>
                </c:pt>
                <c:pt idx="165">
                  <c:v>-2.5138767672074236E-2</c:v>
                </c:pt>
                <c:pt idx="166">
                  <c:v>-2.5095674350493646E-2</c:v>
                </c:pt>
                <c:pt idx="167">
                  <c:v>-2.5040836477469242E-2</c:v>
                </c:pt>
                <c:pt idx="168">
                  <c:v>-2.5036963349066022E-2</c:v>
                </c:pt>
                <c:pt idx="169">
                  <c:v>-2.4772095641069525E-2</c:v>
                </c:pt>
                <c:pt idx="170">
                  <c:v>-2.4765482973883812E-2</c:v>
                </c:pt>
                <c:pt idx="171">
                  <c:v>-2.4641754113017389E-2</c:v>
                </c:pt>
                <c:pt idx="172">
                  <c:v>-2.4495045659969517E-2</c:v>
                </c:pt>
                <c:pt idx="173">
                  <c:v>-2.4481233520979528E-2</c:v>
                </c:pt>
                <c:pt idx="174">
                  <c:v>-2.4430588724659974E-2</c:v>
                </c:pt>
                <c:pt idx="175">
                  <c:v>-2.4387724577119352E-2</c:v>
                </c:pt>
                <c:pt idx="176">
                  <c:v>-2.4360658508575272E-2</c:v>
                </c:pt>
                <c:pt idx="177">
                  <c:v>-2.4355471226686021E-2</c:v>
                </c:pt>
                <c:pt idx="178">
                  <c:v>-2.4339197988279659E-2</c:v>
                </c:pt>
                <c:pt idx="179">
                  <c:v>-2.4274387831567767E-2</c:v>
                </c:pt>
                <c:pt idx="180">
                  <c:v>-2.4248886550640392E-2</c:v>
                </c:pt>
                <c:pt idx="181">
                  <c:v>-2.4144378762564589E-2</c:v>
                </c:pt>
                <c:pt idx="182">
                  <c:v>-2.4003615608823803E-2</c:v>
                </c:pt>
                <c:pt idx="183">
                  <c:v>-2.398705023709824E-2</c:v>
                </c:pt>
                <c:pt idx="184">
                  <c:v>-2.3976923127360661E-2</c:v>
                </c:pt>
                <c:pt idx="185">
                  <c:v>-2.3824620658498996E-2</c:v>
                </c:pt>
                <c:pt idx="186">
                  <c:v>-2.3704950481976184E-2</c:v>
                </c:pt>
                <c:pt idx="187">
                  <c:v>-2.36302580160066E-2</c:v>
                </c:pt>
                <c:pt idx="188">
                  <c:v>-2.3620752620663099E-2</c:v>
                </c:pt>
                <c:pt idx="189">
                  <c:v>-2.3546660422882226E-2</c:v>
                </c:pt>
                <c:pt idx="190">
                  <c:v>-2.3406531341426229E-2</c:v>
                </c:pt>
                <c:pt idx="191">
                  <c:v>-2.33872509575489E-2</c:v>
                </c:pt>
                <c:pt idx="192">
                  <c:v>-2.3385443179294363E-2</c:v>
                </c:pt>
                <c:pt idx="193">
                  <c:v>-2.3273269086757864E-2</c:v>
                </c:pt>
                <c:pt idx="194">
                  <c:v>-2.3152480749992654E-2</c:v>
                </c:pt>
                <c:pt idx="195">
                  <c:v>-2.312180304158018E-2</c:v>
                </c:pt>
                <c:pt idx="196">
                  <c:v>-2.2903322189503528E-2</c:v>
                </c:pt>
                <c:pt idx="197">
                  <c:v>-2.2867787127199501E-2</c:v>
                </c:pt>
                <c:pt idx="198">
                  <c:v>-2.2677392646851091E-2</c:v>
                </c:pt>
                <c:pt idx="199">
                  <c:v>-2.266840480387744E-2</c:v>
                </c:pt>
                <c:pt idx="200">
                  <c:v>-2.265447683569799E-2</c:v>
                </c:pt>
                <c:pt idx="201">
                  <c:v>-2.2651672303972803E-2</c:v>
                </c:pt>
                <c:pt idx="202">
                  <c:v>-2.2587870511559305E-2</c:v>
                </c:pt>
                <c:pt idx="203">
                  <c:v>-2.2575408559898036E-2</c:v>
                </c:pt>
                <c:pt idx="204">
                  <c:v>-2.2544530236601967E-2</c:v>
                </c:pt>
                <c:pt idx="205">
                  <c:v>-2.2536137269357215E-2</c:v>
                </c:pt>
                <c:pt idx="206">
                  <c:v>-2.2500076407385716E-2</c:v>
                </c:pt>
                <c:pt idx="207">
                  <c:v>-2.244202619517166E-2</c:v>
                </c:pt>
                <c:pt idx="208">
                  <c:v>-2.2353879899141393E-2</c:v>
                </c:pt>
                <c:pt idx="209">
                  <c:v>-2.2333229304716151E-2</c:v>
                </c:pt>
                <c:pt idx="210">
                  <c:v>-2.2090294116911102E-2</c:v>
                </c:pt>
                <c:pt idx="211">
                  <c:v>-2.2083453247642604E-2</c:v>
                </c:pt>
                <c:pt idx="212">
                  <c:v>-2.1961643785622931E-2</c:v>
                </c:pt>
                <c:pt idx="213">
                  <c:v>-2.1898996790729264E-2</c:v>
                </c:pt>
                <c:pt idx="214">
                  <c:v>-2.1892238410460507E-2</c:v>
                </c:pt>
                <c:pt idx="215">
                  <c:v>-2.1784214548725589E-2</c:v>
                </c:pt>
                <c:pt idx="216">
                  <c:v>-2.1599056695852603E-2</c:v>
                </c:pt>
                <c:pt idx="217">
                  <c:v>-2.153565595028839E-2</c:v>
                </c:pt>
                <c:pt idx="218">
                  <c:v>-2.1528705228031297E-2</c:v>
                </c:pt>
                <c:pt idx="219">
                  <c:v>-2.149845944278661E-2</c:v>
                </c:pt>
                <c:pt idx="220">
                  <c:v>-2.14525769068451E-2</c:v>
                </c:pt>
                <c:pt idx="221">
                  <c:v>-2.1411022093496546E-2</c:v>
                </c:pt>
                <c:pt idx="222">
                  <c:v>-2.1405502089893114E-2</c:v>
                </c:pt>
                <c:pt idx="223">
                  <c:v>-2.1393411876704183E-2</c:v>
                </c:pt>
                <c:pt idx="224">
                  <c:v>-2.1303135078417301E-2</c:v>
                </c:pt>
                <c:pt idx="225">
                  <c:v>-2.1266283955913234E-2</c:v>
                </c:pt>
                <c:pt idx="226">
                  <c:v>-2.124735478658224E-2</c:v>
                </c:pt>
                <c:pt idx="227">
                  <c:v>-2.1243265029378899E-2</c:v>
                </c:pt>
                <c:pt idx="228">
                  <c:v>-2.1190099756119518E-2</c:v>
                </c:pt>
                <c:pt idx="229">
                  <c:v>-2.1024169212023658E-2</c:v>
                </c:pt>
                <c:pt idx="230">
                  <c:v>-2.0914184149751214E-2</c:v>
                </c:pt>
                <c:pt idx="231">
                  <c:v>-2.0886648959837939E-2</c:v>
                </c:pt>
                <c:pt idx="232">
                  <c:v>-2.0872230179321272E-2</c:v>
                </c:pt>
                <c:pt idx="233">
                  <c:v>-2.0827222830076431E-2</c:v>
                </c:pt>
                <c:pt idx="234">
                  <c:v>-2.0783208702484179E-2</c:v>
                </c:pt>
                <c:pt idx="235">
                  <c:v>-2.0719415502951977E-2</c:v>
                </c:pt>
                <c:pt idx="236">
                  <c:v>-2.0695088110259219E-2</c:v>
                </c:pt>
                <c:pt idx="237">
                  <c:v>-2.0666067609210526E-2</c:v>
                </c:pt>
                <c:pt idx="238">
                  <c:v>-2.0665057520724117E-2</c:v>
                </c:pt>
                <c:pt idx="239">
                  <c:v>-2.0522951321711669E-2</c:v>
                </c:pt>
                <c:pt idx="240">
                  <c:v>-2.0478570078366287E-2</c:v>
                </c:pt>
                <c:pt idx="241">
                  <c:v>-2.0459461982417104E-2</c:v>
                </c:pt>
                <c:pt idx="242">
                  <c:v>-2.0426532992031121E-2</c:v>
                </c:pt>
                <c:pt idx="243">
                  <c:v>-2.0415859309407813E-2</c:v>
                </c:pt>
                <c:pt idx="244">
                  <c:v>-2.0382284066188139E-2</c:v>
                </c:pt>
                <c:pt idx="245">
                  <c:v>-2.0365442353645236E-2</c:v>
                </c:pt>
                <c:pt idx="246">
                  <c:v>-2.0303750323552139E-2</c:v>
                </c:pt>
                <c:pt idx="247">
                  <c:v>-2.0252834271968001E-2</c:v>
                </c:pt>
                <c:pt idx="248">
                  <c:v>-2.0231172880647352E-2</c:v>
                </c:pt>
                <c:pt idx="249">
                  <c:v>-2.0176399813431556E-2</c:v>
                </c:pt>
                <c:pt idx="250">
                  <c:v>-2.0157557313593366E-2</c:v>
                </c:pt>
                <c:pt idx="251">
                  <c:v>-2.0117455501028392E-2</c:v>
                </c:pt>
                <c:pt idx="252">
                  <c:v>-2.0015834890675266E-2</c:v>
                </c:pt>
                <c:pt idx="253">
                  <c:v>-1.9961996574838325E-2</c:v>
                </c:pt>
                <c:pt idx="254">
                  <c:v>-1.9957682081929606E-2</c:v>
                </c:pt>
                <c:pt idx="255">
                  <c:v>-1.9907447182558213E-2</c:v>
                </c:pt>
                <c:pt idx="256">
                  <c:v>-1.9880121525423622E-2</c:v>
                </c:pt>
                <c:pt idx="257">
                  <c:v>-1.9836009251470221E-2</c:v>
                </c:pt>
                <c:pt idx="258">
                  <c:v>-1.9820967594242345E-2</c:v>
                </c:pt>
                <c:pt idx="259">
                  <c:v>-1.9803661136869155E-2</c:v>
                </c:pt>
                <c:pt idx="260">
                  <c:v>-1.9756169828422765E-2</c:v>
                </c:pt>
                <c:pt idx="261">
                  <c:v>-1.9666557844711274E-2</c:v>
                </c:pt>
                <c:pt idx="262">
                  <c:v>-1.9664054648396823E-2</c:v>
                </c:pt>
                <c:pt idx="263">
                  <c:v>-1.9577863585074962E-2</c:v>
                </c:pt>
                <c:pt idx="264">
                  <c:v>-1.9507852633231515E-2</c:v>
                </c:pt>
                <c:pt idx="265">
                  <c:v>-1.9501747413106951E-2</c:v>
                </c:pt>
                <c:pt idx="266">
                  <c:v>-1.948959488363633E-2</c:v>
                </c:pt>
                <c:pt idx="267">
                  <c:v>-1.9437944144364394E-2</c:v>
                </c:pt>
                <c:pt idx="268">
                  <c:v>-1.9381070687515156E-2</c:v>
                </c:pt>
                <c:pt idx="269">
                  <c:v>-1.9368495266899766E-2</c:v>
                </c:pt>
                <c:pt idx="270">
                  <c:v>-1.932861901977978E-2</c:v>
                </c:pt>
                <c:pt idx="271">
                  <c:v>-1.9219794862690653E-2</c:v>
                </c:pt>
                <c:pt idx="272">
                  <c:v>-1.9162867087037738E-2</c:v>
                </c:pt>
                <c:pt idx="273">
                  <c:v>-1.9136318273384911E-2</c:v>
                </c:pt>
                <c:pt idx="274">
                  <c:v>-1.9078035958765671E-2</c:v>
                </c:pt>
                <c:pt idx="275">
                  <c:v>-1.9050030225837622E-2</c:v>
                </c:pt>
                <c:pt idx="276">
                  <c:v>-1.903263467688987E-2</c:v>
                </c:pt>
                <c:pt idx="277">
                  <c:v>-1.8900627330787456E-2</c:v>
                </c:pt>
                <c:pt idx="278">
                  <c:v>-1.8889190892660168E-2</c:v>
                </c:pt>
                <c:pt idx="279">
                  <c:v>-1.8846914757063571E-2</c:v>
                </c:pt>
                <c:pt idx="280">
                  <c:v>-1.8832785732057045E-2</c:v>
                </c:pt>
                <c:pt idx="281">
                  <c:v>-1.8768018198323189E-2</c:v>
                </c:pt>
                <c:pt idx="282">
                  <c:v>-1.8715955138438933E-2</c:v>
                </c:pt>
                <c:pt idx="283">
                  <c:v>-1.8682694876938521E-2</c:v>
                </c:pt>
                <c:pt idx="284">
                  <c:v>-1.8651465406291479E-2</c:v>
                </c:pt>
                <c:pt idx="285">
                  <c:v>-1.8629743664799636E-2</c:v>
                </c:pt>
                <c:pt idx="286">
                  <c:v>-1.8574896377851036E-2</c:v>
                </c:pt>
                <c:pt idx="287">
                  <c:v>-1.8468196695640038E-2</c:v>
                </c:pt>
                <c:pt idx="288">
                  <c:v>-1.8459046058437956E-2</c:v>
                </c:pt>
                <c:pt idx="289">
                  <c:v>-1.8431975315152949E-2</c:v>
                </c:pt>
                <c:pt idx="290">
                  <c:v>-1.8380851527693309E-2</c:v>
                </c:pt>
                <c:pt idx="291">
                  <c:v>-1.8379473087377085E-2</c:v>
                </c:pt>
                <c:pt idx="292">
                  <c:v>-1.8330610513557777E-2</c:v>
                </c:pt>
                <c:pt idx="293">
                  <c:v>-1.8294032420919537E-2</c:v>
                </c:pt>
                <c:pt idx="294">
                  <c:v>-1.825789814859069E-2</c:v>
                </c:pt>
                <c:pt idx="295">
                  <c:v>-1.8209484963238154E-2</c:v>
                </c:pt>
                <c:pt idx="296">
                  <c:v>-1.8177946307976756E-2</c:v>
                </c:pt>
                <c:pt idx="297">
                  <c:v>-1.8164905266678799E-2</c:v>
                </c:pt>
                <c:pt idx="298">
                  <c:v>-1.8150101813851793E-2</c:v>
                </c:pt>
                <c:pt idx="299">
                  <c:v>-1.8143363433272164E-2</c:v>
                </c:pt>
                <c:pt idx="300">
                  <c:v>-1.8076237886997082E-2</c:v>
                </c:pt>
                <c:pt idx="301">
                  <c:v>-1.8012224890150419E-2</c:v>
                </c:pt>
                <c:pt idx="302">
                  <c:v>-1.7979198203733615E-2</c:v>
                </c:pt>
                <c:pt idx="303">
                  <c:v>-1.7942594559366642E-2</c:v>
                </c:pt>
                <c:pt idx="304">
                  <c:v>-1.788788170318556E-2</c:v>
                </c:pt>
                <c:pt idx="305">
                  <c:v>-1.7865582758292975E-2</c:v>
                </c:pt>
                <c:pt idx="306">
                  <c:v>-1.7697295746278763E-2</c:v>
                </c:pt>
                <c:pt idx="307">
                  <c:v>-1.768312688385465E-2</c:v>
                </c:pt>
                <c:pt idx="308">
                  <c:v>-1.7666513340104273E-2</c:v>
                </c:pt>
                <c:pt idx="309">
                  <c:v>-1.7655183125994123E-2</c:v>
                </c:pt>
                <c:pt idx="310">
                  <c:v>-1.7600766235274179E-2</c:v>
                </c:pt>
                <c:pt idx="311">
                  <c:v>-1.7590183458946917E-2</c:v>
                </c:pt>
                <c:pt idx="312">
                  <c:v>-1.752827268461532E-2</c:v>
                </c:pt>
                <c:pt idx="313">
                  <c:v>-1.7400864447415954E-2</c:v>
                </c:pt>
                <c:pt idx="314">
                  <c:v>-1.7397529928325439E-2</c:v>
                </c:pt>
                <c:pt idx="315">
                  <c:v>-1.7348672123600473E-2</c:v>
                </c:pt>
                <c:pt idx="316">
                  <c:v>-1.7328222006038563E-2</c:v>
                </c:pt>
                <c:pt idx="317">
                  <c:v>-1.7304013072364621E-2</c:v>
                </c:pt>
                <c:pt idx="318">
                  <c:v>-1.7301576115057227E-2</c:v>
                </c:pt>
                <c:pt idx="319">
                  <c:v>-1.7147055655516108E-2</c:v>
                </c:pt>
                <c:pt idx="320">
                  <c:v>-1.7059550948123725E-2</c:v>
                </c:pt>
                <c:pt idx="321">
                  <c:v>-1.7005472891223894E-2</c:v>
                </c:pt>
                <c:pt idx="322">
                  <c:v>-1.6971765669202443E-2</c:v>
                </c:pt>
                <c:pt idx="323">
                  <c:v>-1.6916214857248035E-2</c:v>
                </c:pt>
                <c:pt idx="324">
                  <c:v>-1.6800913504359305E-2</c:v>
                </c:pt>
                <c:pt idx="325">
                  <c:v>-1.6750201601465675E-2</c:v>
                </c:pt>
                <c:pt idx="326">
                  <c:v>-1.6723328955698724E-2</c:v>
                </c:pt>
                <c:pt idx="327">
                  <c:v>-1.6666263004481041E-2</c:v>
                </c:pt>
                <c:pt idx="328">
                  <c:v>-1.6607048875006414E-2</c:v>
                </c:pt>
                <c:pt idx="329">
                  <c:v>-1.6575781816657087E-2</c:v>
                </c:pt>
                <c:pt idx="330">
                  <c:v>-1.6550708586265062E-2</c:v>
                </c:pt>
                <c:pt idx="331">
                  <c:v>-1.6501738003623867E-2</c:v>
                </c:pt>
                <c:pt idx="332">
                  <c:v>-1.6453827602689874E-2</c:v>
                </c:pt>
                <c:pt idx="333">
                  <c:v>-1.6402541470992071E-2</c:v>
                </c:pt>
                <c:pt idx="334">
                  <c:v>-1.6400247332144513E-2</c:v>
                </c:pt>
                <c:pt idx="335">
                  <c:v>-1.6381415717335424E-2</c:v>
                </c:pt>
                <c:pt idx="336">
                  <c:v>-1.636289987458972E-2</c:v>
                </c:pt>
                <c:pt idx="337">
                  <c:v>-1.6321625436358511E-2</c:v>
                </c:pt>
                <c:pt idx="338">
                  <c:v>-1.6310350444186716E-2</c:v>
                </c:pt>
                <c:pt idx="339">
                  <c:v>-1.6304987570220253E-2</c:v>
                </c:pt>
                <c:pt idx="340">
                  <c:v>-1.6159723958942718E-2</c:v>
                </c:pt>
                <c:pt idx="341">
                  <c:v>-1.6123204863285445E-2</c:v>
                </c:pt>
                <c:pt idx="342">
                  <c:v>-1.6082102055869241E-2</c:v>
                </c:pt>
                <c:pt idx="343">
                  <c:v>-1.6001322916168625E-2</c:v>
                </c:pt>
                <c:pt idx="344">
                  <c:v>-1.5983733186540894E-2</c:v>
                </c:pt>
                <c:pt idx="345">
                  <c:v>-1.5904450900362188E-2</c:v>
                </c:pt>
                <c:pt idx="346">
                  <c:v>-1.5856013564989446E-2</c:v>
                </c:pt>
                <c:pt idx="347">
                  <c:v>-1.5849322000122124E-2</c:v>
                </c:pt>
                <c:pt idx="348">
                  <c:v>-1.579978018667394E-2</c:v>
                </c:pt>
                <c:pt idx="349">
                  <c:v>-1.572713567571038E-2</c:v>
                </c:pt>
                <c:pt idx="350">
                  <c:v>-1.5708758787124522E-2</c:v>
                </c:pt>
                <c:pt idx="351">
                  <c:v>-1.5702020587115229E-2</c:v>
                </c:pt>
                <c:pt idx="352">
                  <c:v>-1.5695453759070332E-2</c:v>
                </c:pt>
                <c:pt idx="353">
                  <c:v>-1.5684129803458791E-2</c:v>
                </c:pt>
                <c:pt idx="354">
                  <c:v>-1.5670752369566388E-2</c:v>
                </c:pt>
                <c:pt idx="355">
                  <c:v>-1.560160700464841E-2</c:v>
                </c:pt>
                <c:pt idx="356">
                  <c:v>-1.5543086625478764E-2</c:v>
                </c:pt>
                <c:pt idx="357">
                  <c:v>-1.5499120378526743E-2</c:v>
                </c:pt>
                <c:pt idx="358">
                  <c:v>-1.545520310400661E-2</c:v>
                </c:pt>
                <c:pt idx="359">
                  <c:v>-1.5357787343081908E-2</c:v>
                </c:pt>
                <c:pt idx="360">
                  <c:v>-1.5355472855088204E-2</c:v>
                </c:pt>
                <c:pt idx="361">
                  <c:v>-1.5346211447506142E-2</c:v>
                </c:pt>
                <c:pt idx="362">
                  <c:v>-1.5329663631256207E-2</c:v>
                </c:pt>
                <c:pt idx="363">
                  <c:v>-1.5271061492198368E-2</c:v>
                </c:pt>
                <c:pt idx="364">
                  <c:v>-1.5248723358971872E-2</c:v>
                </c:pt>
                <c:pt idx="365">
                  <c:v>-1.5122545588744152E-2</c:v>
                </c:pt>
                <c:pt idx="366">
                  <c:v>-1.5121099535017613E-2</c:v>
                </c:pt>
                <c:pt idx="367">
                  <c:v>-1.5099043384355637E-2</c:v>
                </c:pt>
                <c:pt idx="368">
                  <c:v>-1.5030074002912563E-2</c:v>
                </c:pt>
                <c:pt idx="369">
                  <c:v>-1.5008765332279239E-2</c:v>
                </c:pt>
                <c:pt idx="370">
                  <c:v>-1.4997232475330247E-2</c:v>
                </c:pt>
                <c:pt idx="371">
                  <c:v>-1.4952260066605549E-2</c:v>
                </c:pt>
                <c:pt idx="372">
                  <c:v>-1.495111896547674E-2</c:v>
                </c:pt>
                <c:pt idx="373">
                  <c:v>-1.4933624423000724E-2</c:v>
                </c:pt>
                <c:pt idx="374">
                  <c:v>-1.488095133428935E-2</c:v>
                </c:pt>
                <c:pt idx="375">
                  <c:v>-1.4869910604930925E-2</c:v>
                </c:pt>
                <c:pt idx="376">
                  <c:v>-1.483396627217326E-2</c:v>
                </c:pt>
                <c:pt idx="377">
                  <c:v>-1.4808865436325869E-2</c:v>
                </c:pt>
                <c:pt idx="378">
                  <c:v>-1.479307356246029E-2</c:v>
                </c:pt>
                <c:pt idx="379">
                  <c:v>-1.4784598952242045E-2</c:v>
                </c:pt>
                <c:pt idx="380">
                  <c:v>-1.4782916778029342E-2</c:v>
                </c:pt>
                <c:pt idx="381">
                  <c:v>-1.4765709774130942E-2</c:v>
                </c:pt>
                <c:pt idx="382">
                  <c:v>-1.4758471739250045E-2</c:v>
                </c:pt>
                <c:pt idx="383">
                  <c:v>-1.4739919429715531E-2</c:v>
                </c:pt>
                <c:pt idx="384">
                  <c:v>-1.473022229510379E-2</c:v>
                </c:pt>
                <c:pt idx="385">
                  <c:v>-1.4677603640836256E-2</c:v>
                </c:pt>
                <c:pt idx="386">
                  <c:v>-1.4645221559853483E-2</c:v>
                </c:pt>
                <c:pt idx="387">
                  <c:v>-1.4626095781676618E-2</c:v>
                </c:pt>
                <c:pt idx="388">
                  <c:v>-1.4600044563282788E-2</c:v>
                </c:pt>
                <c:pt idx="389">
                  <c:v>-1.4597772233030493E-2</c:v>
                </c:pt>
                <c:pt idx="390">
                  <c:v>-1.458011399942627E-2</c:v>
                </c:pt>
                <c:pt idx="391">
                  <c:v>-1.4518723095465647E-2</c:v>
                </c:pt>
                <c:pt idx="392">
                  <c:v>-1.4498608556401726E-2</c:v>
                </c:pt>
                <c:pt idx="393">
                  <c:v>-1.4449655577151388E-2</c:v>
                </c:pt>
                <c:pt idx="394">
                  <c:v>-1.4445271997316045E-2</c:v>
                </c:pt>
                <c:pt idx="395">
                  <c:v>-1.4436089912627459E-2</c:v>
                </c:pt>
                <c:pt idx="396">
                  <c:v>-1.4411011621453751E-2</c:v>
                </c:pt>
                <c:pt idx="397">
                  <c:v>-1.437024615296123E-2</c:v>
                </c:pt>
                <c:pt idx="398">
                  <c:v>-1.4338810289967419E-2</c:v>
                </c:pt>
                <c:pt idx="399">
                  <c:v>-1.4321058128211384E-2</c:v>
                </c:pt>
                <c:pt idx="400">
                  <c:v>-1.4224399399533461E-2</c:v>
                </c:pt>
                <c:pt idx="401">
                  <c:v>-1.4186884359305152E-2</c:v>
                </c:pt>
                <c:pt idx="402">
                  <c:v>-1.4181020518067022E-2</c:v>
                </c:pt>
                <c:pt idx="403">
                  <c:v>-1.4175304121780918E-2</c:v>
                </c:pt>
                <c:pt idx="404">
                  <c:v>-1.4144606893394474E-2</c:v>
                </c:pt>
                <c:pt idx="405">
                  <c:v>-1.4097612611599475E-2</c:v>
                </c:pt>
                <c:pt idx="406">
                  <c:v>-1.4091186450709614E-2</c:v>
                </c:pt>
                <c:pt idx="407">
                  <c:v>-1.4035921699030673E-2</c:v>
                </c:pt>
                <c:pt idx="408">
                  <c:v>-1.4034760929061196E-2</c:v>
                </c:pt>
                <c:pt idx="409">
                  <c:v>-1.3962636777378745E-2</c:v>
                </c:pt>
                <c:pt idx="410">
                  <c:v>-1.3961985437337288E-2</c:v>
                </c:pt>
                <c:pt idx="411">
                  <c:v>-1.3955897085928926E-2</c:v>
                </c:pt>
                <c:pt idx="412">
                  <c:v>-1.3950816377621633E-2</c:v>
                </c:pt>
                <c:pt idx="413">
                  <c:v>-1.3942818930400391E-2</c:v>
                </c:pt>
                <c:pt idx="414">
                  <c:v>-1.3940390514948553E-2</c:v>
                </c:pt>
                <c:pt idx="415">
                  <c:v>-1.3854042109844977E-2</c:v>
                </c:pt>
                <c:pt idx="416">
                  <c:v>-1.383838548633276E-2</c:v>
                </c:pt>
                <c:pt idx="417">
                  <c:v>-1.3834477999913108E-2</c:v>
                </c:pt>
                <c:pt idx="418">
                  <c:v>-1.3806025566515778E-2</c:v>
                </c:pt>
                <c:pt idx="419">
                  <c:v>-1.3748663643255665E-2</c:v>
                </c:pt>
                <c:pt idx="420">
                  <c:v>-1.3719036432262799E-2</c:v>
                </c:pt>
                <c:pt idx="421">
                  <c:v>-1.3714728651569752E-2</c:v>
                </c:pt>
                <c:pt idx="422">
                  <c:v>-1.3673690260726623E-2</c:v>
                </c:pt>
                <c:pt idx="423">
                  <c:v>-1.3664275998503617E-2</c:v>
                </c:pt>
                <c:pt idx="424">
                  <c:v>-1.3642594830882371E-2</c:v>
                </c:pt>
                <c:pt idx="425">
                  <c:v>-1.3634367216590726E-2</c:v>
                </c:pt>
                <c:pt idx="426">
                  <c:v>-1.358674222524725E-2</c:v>
                </c:pt>
                <c:pt idx="427">
                  <c:v>-1.3560424501291801E-2</c:v>
                </c:pt>
                <c:pt idx="428">
                  <c:v>-1.3546157227993016E-2</c:v>
                </c:pt>
                <c:pt idx="429">
                  <c:v>-1.3545157574332611E-2</c:v>
                </c:pt>
                <c:pt idx="430">
                  <c:v>-1.350776740711046E-2</c:v>
                </c:pt>
                <c:pt idx="431">
                  <c:v>-1.3493205255803997E-2</c:v>
                </c:pt>
                <c:pt idx="432">
                  <c:v>-1.3468786622685136E-2</c:v>
                </c:pt>
                <c:pt idx="433">
                  <c:v>-1.3427766767923011E-2</c:v>
                </c:pt>
                <c:pt idx="434">
                  <c:v>-1.3347690323968875E-2</c:v>
                </c:pt>
                <c:pt idx="435">
                  <c:v>-1.3337969031385288E-2</c:v>
                </c:pt>
                <c:pt idx="436">
                  <c:v>-1.3326489337592951E-2</c:v>
                </c:pt>
                <c:pt idx="437">
                  <c:v>-1.3321113980980681E-2</c:v>
                </c:pt>
                <c:pt idx="438">
                  <c:v>-1.3282015131036662E-2</c:v>
                </c:pt>
                <c:pt idx="439">
                  <c:v>-1.327072303520882E-2</c:v>
                </c:pt>
                <c:pt idx="440">
                  <c:v>-1.3267036466460658E-2</c:v>
                </c:pt>
                <c:pt idx="441">
                  <c:v>-1.3265735440726067E-2</c:v>
                </c:pt>
                <c:pt idx="442">
                  <c:v>-1.3250894773592758E-2</c:v>
                </c:pt>
                <c:pt idx="443">
                  <c:v>-1.3239423300378972E-2</c:v>
                </c:pt>
                <c:pt idx="444">
                  <c:v>-1.321368448374971E-2</c:v>
                </c:pt>
                <c:pt idx="445">
                  <c:v>-1.3202054951735209E-2</c:v>
                </c:pt>
                <c:pt idx="446">
                  <c:v>-1.3189062291076414E-2</c:v>
                </c:pt>
                <c:pt idx="447">
                  <c:v>-1.3183801648561699E-2</c:v>
                </c:pt>
                <c:pt idx="448">
                  <c:v>-1.317933112246128E-2</c:v>
                </c:pt>
                <c:pt idx="449">
                  <c:v>-1.3163420642889667E-2</c:v>
                </c:pt>
                <c:pt idx="450">
                  <c:v>-1.3147777346984135E-2</c:v>
                </c:pt>
                <c:pt idx="451">
                  <c:v>-1.3134102629696387E-2</c:v>
                </c:pt>
                <c:pt idx="452">
                  <c:v>-1.3102710929563166E-2</c:v>
                </c:pt>
                <c:pt idx="453">
                  <c:v>-1.3086210292931555E-2</c:v>
                </c:pt>
                <c:pt idx="454">
                  <c:v>-1.3059120471284769E-2</c:v>
                </c:pt>
                <c:pt idx="455">
                  <c:v>-1.3039003529768722E-2</c:v>
                </c:pt>
                <c:pt idx="456">
                  <c:v>-1.302858103732607E-2</c:v>
                </c:pt>
                <c:pt idx="457">
                  <c:v>-1.3017908083143404E-2</c:v>
                </c:pt>
                <c:pt idx="458">
                  <c:v>-1.2985116638572824E-2</c:v>
                </c:pt>
                <c:pt idx="459">
                  <c:v>-1.2971645588989777E-2</c:v>
                </c:pt>
                <c:pt idx="460">
                  <c:v>-1.2961178779198779E-2</c:v>
                </c:pt>
                <c:pt idx="461">
                  <c:v>-1.2957009832478383E-2</c:v>
                </c:pt>
                <c:pt idx="462">
                  <c:v>-1.2857594780478987E-2</c:v>
                </c:pt>
                <c:pt idx="463">
                  <c:v>-1.285196913381681E-2</c:v>
                </c:pt>
                <c:pt idx="464">
                  <c:v>-1.2842662156573703E-2</c:v>
                </c:pt>
                <c:pt idx="465">
                  <c:v>-1.2808653711429141E-2</c:v>
                </c:pt>
                <c:pt idx="466">
                  <c:v>-1.2808374049758098E-2</c:v>
                </c:pt>
                <c:pt idx="467">
                  <c:v>-1.2785356000778014E-2</c:v>
                </c:pt>
                <c:pt idx="468">
                  <c:v>-1.2765690347136815E-2</c:v>
                </c:pt>
                <c:pt idx="469">
                  <c:v>-1.2751412346753921E-2</c:v>
                </c:pt>
                <c:pt idx="470">
                  <c:v>-1.2739136333731693E-2</c:v>
                </c:pt>
                <c:pt idx="471">
                  <c:v>-1.2719040327672571E-2</c:v>
                </c:pt>
                <c:pt idx="472">
                  <c:v>-1.2698165938248573E-2</c:v>
                </c:pt>
                <c:pt idx="473">
                  <c:v>-1.2648909404049502E-2</c:v>
                </c:pt>
                <c:pt idx="474">
                  <c:v>-1.2629318324044458E-2</c:v>
                </c:pt>
                <c:pt idx="475">
                  <c:v>-1.2578586053589302E-2</c:v>
                </c:pt>
                <c:pt idx="476">
                  <c:v>-1.2563751588789862E-2</c:v>
                </c:pt>
                <c:pt idx="477">
                  <c:v>-1.2502833245771172E-2</c:v>
                </c:pt>
                <c:pt idx="478">
                  <c:v>-1.2502566835084328E-2</c:v>
                </c:pt>
                <c:pt idx="479">
                  <c:v>-1.245196270855109E-2</c:v>
                </c:pt>
                <c:pt idx="480">
                  <c:v>-1.2433876008247191E-2</c:v>
                </c:pt>
                <c:pt idx="481">
                  <c:v>-1.2419104938178882E-2</c:v>
                </c:pt>
                <c:pt idx="482">
                  <c:v>-1.2373013855226156E-2</c:v>
                </c:pt>
                <c:pt idx="483">
                  <c:v>-1.2359832493516909E-2</c:v>
                </c:pt>
                <c:pt idx="484">
                  <c:v>-1.2359434895397703E-2</c:v>
                </c:pt>
                <c:pt idx="485">
                  <c:v>-1.2298952950169473E-2</c:v>
                </c:pt>
                <c:pt idx="486">
                  <c:v>-1.2267426092854916E-2</c:v>
                </c:pt>
                <c:pt idx="487">
                  <c:v>-1.2264455476597602E-2</c:v>
                </c:pt>
                <c:pt idx="488">
                  <c:v>-1.2263286316428035E-2</c:v>
                </c:pt>
                <c:pt idx="489">
                  <c:v>-1.2257524053482016E-2</c:v>
                </c:pt>
                <c:pt idx="490">
                  <c:v>-1.2256706730271349E-2</c:v>
                </c:pt>
                <c:pt idx="491">
                  <c:v>-1.2226810617858908E-2</c:v>
                </c:pt>
                <c:pt idx="492">
                  <c:v>-1.2222495097824582E-2</c:v>
                </c:pt>
                <c:pt idx="493">
                  <c:v>-1.2169891661261256E-2</c:v>
                </c:pt>
                <c:pt idx="494">
                  <c:v>-1.215122854742845E-2</c:v>
                </c:pt>
                <c:pt idx="495">
                  <c:v>-1.2150493491807413E-2</c:v>
                </c:pt>
                <c:pt idx="496">
                  <c:v>-1.2122577431256221E-2</c:v>
                </c:pt>
                <c:pt idx="497">
                  <c:v>-1.2102459465516247E-2</c:v>
                </c:pt>
                <c:pt idx="498">
                  <c:v>-1.2088542763946553E-2</c:v>
                </c:pt>
                <c:pt idx="499">
                  <c:v>-1.2082646703679423E-2</c:v>
                </c:pt>
                <c:pt idx="500">
                  <c:v>-1.201908975897692E-2</c:v>
                </c:pt>
                <c:pt idx="501">
                  <c:v>-1.2013310459801363E-2</c:v>
                </c:pt>
                <c:pt idx="502">
                  <c:v>-1.2011020056978183E-2</c:v>
                </c:pt>
                <c:pt idx="503">
                  <c:v>-1.2001294476965407E-2</c:v>
                </c:pt>
                <c:pt idx="504">
                  <c:v>-1.1973984672104976E-2</c:v>
                </c:pt>
                <c:pt idx="505">
                  <c:v>-1.1968714915863599E-2</c:v>
                </c:pt>
                <c:pt idx="506">
                  <c:v>-1.1931871625083468E-2</c:v>
                </c:pt>
                <c:pt idx="507">
                  <c:v>-1.1910528793086517E-2</c:v>
                </c:pt>
                <c:pt idx="508">
                  <c:v>-1.1867318394891635E-2</c:v>
                </c:pt>
                <c:pt idx="509">
                  <c:v>-1.1849964945151004E-2</c:v>
                </c:pt>
                <c:pt idx="510">
                  <c:v>-1.183192752925033E-2</c:v>
                </c:pt>
                <c:pt idx="511">
                  <c:v>-1.1797171738169743E-2</c:v>
                </c:pt>
                <c:pt idx="512">
                  <c:v>-1.1780141813272915E-2</c:v>
                </c:pt>
                <c:pt idx="513">
                  <c:v>-1.1770640820001343E-2</c:v>
                </c:pt>
                <c:pt idx="514">
                  <c:v>-1.1768795757912898E-2</c:v>
                </c:pt>
                <c:pt idx="515">
                  <c:v>-1.1741064199843887E-2</c:v>
                </c:pt>
                <c:pt idx="516">
                  <c:v>-1.1715931333986518E-2</c:v>
                </c:pt>
                <c:pt idx="517">
                  <c:v>-1.1682450222146756E-2</c:v>
                </c:pt>
                <c:pt idx="518">
                  <c:v>-1.1670474377011741E-2</c:v>
                </c:pt>
                <c:pt idx="519">
                  <c:v>-1.1662807080632609E-2</c:v>
                </c:pt>
                <c:pt idx="520">
                  <c:v>-1.1659799627625755E-2</c:v>
                </c:pt>
                <c:pt idx="521">
                  <c:v>-1.1655579371655178E-2</c:v>
                </c:pt>
                <c:pt idx="522">
                  <c:v>-1.1627715251851023E-2</c:v>
                </c:pt>
                <c:pt idx="523">
                  <c:v>-1.1612295881237911E-2</c:v>
                </c:pt>
                <c:pt idx="524">
                  <c:v>-1.1612213516659309E-2</c:v>
                </c:pt>
                <c:pt idx="525">
                  <c:v>-1.1577915202311884E-2</c:v>
                </c:pt>
                <c:pt idx="526">
                  <c:v>-1.1567338246242342E-2</c:v>
                </c:pt>
                <c:pt idx="527">
                  <c:v>-1.1554672719218839E-2</c:v>
                </c:pt>
                <c:pt idx="528">
                  <c:v>-1.1549283987964953E-2</c:v>
                </c:pt>
                <c:pt idx="529">
                  <c:v>-1.150690386138653E-2</c:v>
                </c:pt>
                <c:pt idx="530">
                  <c:v>-1.1485703950313897E-2</c:v>
                </c:pt>
                <c:pt idx="531">
                  <c:v>-1.1474390918154054E-2</c:v>
                </c:pt>
                <c:pt idx="532">
                  <c:v>-1.1415327945102804E-2</c:v>
                </c:pt>
                <c:pt idx="533">
                  <c:v>-1.1358768388225582E-2</c:v>
                </c:pt>
                <c:pt idx="534">
                  <c:v>-1.133144475920711E-2</c:v>
                </c:pt>
                <c:pt idx="535">
                  <c:v>-1.1285452294400034E-2</c:v>
                </c:pt>
                <c:pt idx="536">
                  <c:v>-1.1219158432478338E-2</c:v>
                </c:pt>
                <c:pt idx="537">
                  <c:v>-1.1218025590188918E-2</c:v>
                </c:pt>
                <c:pt idx="538">
                  <c:v>-1.1163955067039044E-2</c:v>
                </c:pt>
                <c:pt idx="539">
                  <c:v>-1.1159054466331364E-2</c:v>
                </c:pt>
                <c:pt idx="540">
                  <c:v>-1.1141197741869946E-2</c:v>
                </c:pt>
                <c:pt idx="541">
                  <c:v>-1.1113329498388835E-2</c:v>
                </c:pt>
                <c:pt idx="542">
                  <c:v>-1.1105741155730486E-2</c:v>
                </c:pt>
                <c:pt idx="543">
                  <c:v>-1.1100365250783728E-2</c:v>
                </c:pt>
                <c:pt idx="544">
                  <c:v>-1.1098815659478456E-2</c:v>
                </c:pt>
                <c:pt idx="545">
                  <c:v>-1.1088648568425397E-2</c:v>
                </c:pt>
                <c:pt idx="546">
                  <c:v>-1.1086568869236313E-2</c:v>
                </c:pt>
                <c:pt idx="547">
                  <c:v>-1.1025850613166632E-2</c:v>
                </c:pt>
                <c:pt idx="548">
                  <c:v>-1.1019388183179823E-2</c:v>
                </c:pt>
                <c:pt idx="549">
                  <c:v>-1.0990792948797568E-2</c:v>
                </c:pt>
                <c:pt idx="550">
                  <c:v>-1.0986493668333486E-2</c:v>
                </c:pt>
                <c:pt idx="551">
                  <c:v>-1.098173241887801E-2</c:v>
                </c:pt>
                <c:pt idx="552">
                  <c:v>-1.0974119852768527E-2</c:v>
                </c:pt>
                <c:pt idx="553">
                  <c:v>-1.0971243569625644E-2</c:v>
                </c:pt>
                <c:pt idx="554">
                  <c:v>-1.0965426152629854E-2</c:v>
                </c:pt>
                <c:pt idx="555">
                  <c:v>-1.0917750137296567E-2</c:v>
                </c:pt>
                <c:pt idx="556">
                  <c:v>-1.0890193180969177E-2</c:v>
                </c:pt>
                <c:pt idx="557">
                  <c:v>-1.0856494815534079E-2</c:v>
                </c:pt>
                <c:pt idx="558">
                  <c:v>-1.0856147912627678E-2</c:v>
                </c:pt>
                <c:pt idx="559">
                  <c:v>-1.0849580686422722E-2</c:v>
                </c:pt>
                <c:pt idx="560">
                  <c:v>-1.0806954594353213E-2</c:v>
                </c:pt>
                <c:pt idx="561">
                  <c:v>-1.0805772634590705E-2</c:v>
                </c:pt>
                <c:pt idx="562">
                  <c:v>-1.0775924295474915E-2</c:v>
                </c:pt>
                <c:pt idx="563">
                  <c:v>-1.0770425260286154E-2</c:v>
                </c:pt>
                <c:pt idx="564">
                  <c:v>-1.072076017921586E-2</c:v>
                </c:pt>
                <c:pt idx="565">
                  <c:v>-1.0711244753378257E-2</c:v>
                </c:pt>
                <c:pt idx="566">
                  <c:v>-1.066885594600564E-2</c:v>
                </c:pt>
                <c:pt idx="567">
                  <c:v>-1.0668114551667718E-2</c:v>
                </c:pt>
                <c:pt idx="568">
                  <c:v>-1.0658831472746488E-2</c:v>
                </c:pt>
                <c:pt idx="569">
                  <c:v>-1.0624615691303574E-2</c:v>
                </c:pt>
                <c:pt idx="570">
                  <c:v>-1.0589059477918106E-2</c:v>
                </c:pt>
                <c:pt idx="571">
                  <c:v>-1.0574478998150449E-2</c:v>
                </c:pt>
                <c:pt idx="572">
                  <c:v>-1.0571585907043435E-2</c:v>
                </c:pt>
                <c:pt idx="573">
                  <c:v>-1.0560304994946423E-2</c:v>
                </c:pt>
                <c:pt idx="574">
                  <c:v>-1.0496683664164341E-2</c:v>
                </c:pt>
                <c:pt idx="575">
                  <c:v>-1.0477991204412618E-2</c:v>
                </c:pt>
                <c:pt idx="576">
                  <c:v>-1.0474205320564978E-2</c:v>
                </c:pt>
                <c:pt idx="577">
                  <c:v>-1.0471032436765393E-2</c:v>
                </c:pt>
                <c:pt idx="578">
                  <c:v>-1.045881089881584E-2</c:v>
                </c:pt>
                <c:pt idx="579">
                  <c:v>-1.0443941495820619E-2</c:v>
                </c:pt>
                <c:pt idx="580">
                  <c:v>-1.0436708216937096E-2</c:v>
                </c:pt>
                <c:pt idx="581">
                  <c:v>-1.0408858139759114E-2</c:v>
                </c:pt>
                <c:pt idx="582">
                  <c:v>-1.0357621490298952E-2</c:v>
                </c:pt>
                <c:pt idx="583">
                  <c:v>-1.03228337286978E-2</c:v>
                </c:pt>
                <c:pt idx="584">
                  <c:v>-1.0322769086448136E-2</c:v>
                </c:pt>
                <c:pt idx="585">
                  <c:v>-1.0313272302247101E-2</c:v>
                </c:pt>
                <c:pt idx="586">
                  <c:v>-1.0306483384166731E-2</c:v>
                </c:pt>
                <c:pt idx="587">
                  <c:v>-1.0298692970432066E-2</c:v>
                </c:pt>
                <c:pt idx="588">
                  <c:v>-1.0288869289492575E-2</c:v>
                </c:pt>
                <c:pt idx="589">
                  <c:v>-1.0254874636841826E-2</c:v>
                </c:pt>
                <c:pt idx="590">
                  <c:v>-1.0217836182272233E-2</c:v>
                </c:pt>
                <c:pt idx="591">
                  <c:v>-1.0156431203966476E-2</c:v>
                </c:pt>
                <c:pt idx="592">
                  <c:v>-1.0146751793010389E-2</c:v>
                </c:pt>
                <c:pt idx="593">
                  <c:v>-1.0132003602112416E-2</c:v>
                </c:pt>
                <c:pt idx="594">
                  <c:v>-1.0120539329669498E-2</c:v>
                </c:pt>
                <c:pt idx="595">
                  <c:v>-1.012007616755195E-2</c:v>
                </c:pt>
                <c:pt idx="596">
                  <c:v>-1.0086578727267592E-2</c:v>
                </c:pt>
                <c:pt idx="597">
                  <c:v>-1.0076649195486231E-2</c:v>
                </c:pt>
                <c:pt idx="598">
                  <c:v>-1.0060275156126286E-2</c:v>
                </c:pt>
                <c:pt idx="599">
                  <c:v>-1.0042353338274967E-2</c:v>
                </c:pt>
                <c:pt idx="600">
                  <c:v>-1.0016845200267355E-2</c:v>
                </c:pt>
                <c:pt idx="601">
                  <c:v>-1.0011265453529039E-2</c:v>
                </c:pt>
                <c:pt idx="602">
                  <c:v>-9.9860395085683562E-3</c:v>
                </c:pt>
                <c:pt idx="603">
                  <c:v>-9.9845269126975777E-3</c:v>
                </c:pt>
                <c:pt idx="604">
                  <c:v>-9.9745244066434813E-3</c:v>
                </c:pt>
                <c:pt idx="605">
                  <c:v>-9.9742248369177888E-3</c:v>
                </c:pt>
                <c:pt idx="606">
                  <c:v>-9.973677180360907E-3</c:v>
                </c:pt>
                <c:pt idx="607">
                  <c:v>-9.928881754875718E-3</c:v>
                </c:pt>
                <c:pt idx="608">
                  <c:v>-9.9223311202152331E-3</c:v>
                </c:pt>
                <c:pt idx="609">
                  <c:v>-9.9013626394820475E-3</c:v>
                </c:pt>
                <c:pt idx="610">
                  <c:v>-9.8891247152553818E-3</c:v>
                </c:pt>
                <c:pt idx="611">
                  <c:v>-9.8812894666293616E-3</c:v>
                </c:pt>
                <c:pt idx="612">
                  <c:v>-9.859753749242528E-3</c:v>
                </c:pt>
                <c:pt idx="613">
                  <c:v>-9.8504823634791849E-3</c:v>
                </c:pt>
                <c:pt idx="614">
                  <c:v>-9.8114403270956885E-3</c:v>
                </c:pt>
                <c:pt idx="615">
                  <c:v>-9.7804836635521086E-3</c:v>
                </c:pt>
                <c:pt idx="616">
                  <c:v>-9.7414686999626188E-3</c:v>
                </c:pt>
                <c:pt idx="617">
                  <c:v>-9.7241164120391854E-3</c:v>
                </c:pt>
                <c:pt idx="618">
                  <c:v>-9.7200354265118971E-3</c:v>
                </c:pt>
                <c:pt idx="619">
                  <c:v>-9.6984706717430091E-3</c:v>
                </c:pt>
                <c:pt idx="620">
                  <c:v>-9.679933141339303E-3</c:v>
                </c:pt>
                <c:pt idx="621">
                  <c:v>-9.6707896130627802E-3</c:v>
                </c:pt>
                <c:pt idx="622">
                  <c:v>-9.6701514314988524E-3</c:v>
                </c:pt>
                <c:pt idx="623">
                  <c:v>-9.6687456226322022E-3</c:v>
                </c:pt>
                <c:pt idx="624">
                  <c:v>-9.6685811271737254E-3</c:v>
                </c:pt>
                <c:pt idx="625">
                  <c:v>-9.6538910950144663E-3</c:v>
                </c:pt>
                <c:pt idx="626">
                  <c:v>-9.6438216125249721E-3</c:v>
                </c:pt>
                <c:pt idx="627">
                  <c:v>-9.6373655788539736E-3</c:v>
                </c:pt>
                <c:pt idx="628">
                  <c:v>-9.6311601549026182E-3</c:v>
                </c:pt>
                <c:pt idx="629">
                  <c:v>-9.6213103502983399E-3</c:v>
                </c:pt>
                <c:pt idx="630">
                  <c:v>-9.6151636840396959E-3</c:v>
                </c:pt>
                <c:pt idx="631">
                  <c:v>-9.6033107380293359E-3</c:v>
                </c:pt>
                <c:pt idx="632">
                  <c:v>-9.5994812996033074E-3</c:v>
                </c:pt>
                <c:pt idx="633">
                  <c:v>-9.5728650564725903E-3</c:v>
                </c:pt>
                <c:pt idx="634">
                  <c:v>-9.5619310333269203E-3</c:v>
                </c:pt>
                <c:pt idx="635">
                  <c:v>-9.5595912703257957E-3</c:v>
                </c:pt>
                <c:pt idx="636">
                  <c:v>-9.5563479333931056E-3</c:v>
                </c:pt>
                <c:pt idx="637">
                  <c:v>-9.5491857598867247E-3</c:v>
                </c:pt>
                <c:pt idx="638">
                  <c:v>-9.4559541646123124E-3</c:v>
                </c:pt>
                <c:pt idx="639">
                  <c:v>-9.4465376856527339E-3</c:v>
                </c:pt>
                <c:pt idx="640">
                  <c:v>-9.4314841833544882E-3</c:v>
                </c:pt>
                <c:pt idx="641">
                  <c:v>-9.3910307324188702E-3</c:v>
                </c:pt>
                <c:pt idx="642">
                  <c:v>-9.3839177530503637E-3</c:v>
                </c:pt>
                <c:pt idx="643">
                  <c:v>-9.3330924646420899E-3</c:v>
                </c:pt>
                <c:pt idx="644">
                  <c:v>-9.2284843739109945E-3</c:v>
                </c:pt>
                <c:pt idx="645">
                  <c:v>-9.2214218878787779E-3</c:v>
                </c:pt>
                <c:pt idx="646">
                  <c:v>-9.2102947705737792E-3</c:v>
                </c:pt>
                <c:pt idx="647">
                  <c:v>-9.1958949357034969E-3</c:v>
                </c:pt>
                <c:pt idx="648">
                  <c:v>-9.1788190262565017E-3</c:v>
                </c:pt>
                <c:pt idx="649">
                  <c:v>-9.1672305860623915E-3</c:v>
                </c:pt>
                <c:pt idx="650">
                  <c:v>-9.1550319165577543E-3</c:v>
                </c:pt>
                <c:pt idx="651">
                  <c:v>-9.1314712516614716E-3</c:v>
                </c:pt>
                <c:pt idx="652">
                  <c:v>-9.1179036601231056E-3</c:v>
                </c:pt>
                <c:pt idx="653">
                  <c:v>-9.1151009376548853E-3</c:v>
                </c:pt>
                <c:pt idx="654">
                  <c:v>-9.0618873680176071E-3</c:v>
                </c:pt>
                <c:pt idx="655">
                  <c:v>-9.0201076799288904E-3</c:v>
                </c:pt>
                <c:pt idx="656">
                  <c:v>-9.0023560708271111E-3</c:v>
                </c:pt>
                <c:pt idx="657">
                  <c:v>-9.0020806949722143E-3</c:v>
                </c:pt>
                <c:pt idx="658">
                  <c:v>-8.9806934561198482E-3</c:v>
                </c:pt>
                <c:pt idx="659">
                  <c:v>-8.9772414541875456E-3</c:v>
                </c:pt>
                <c:pt idx="660">
                  <c:v>-8.97412932629571E-3</c:v>
                </c:pt>
                <c:pt idx="661">
                  <c:v>-8.9666939660715261E-3</c:v>
                </c:pt>
                <c:pt idx="662">
                  <c:v>-8.9368541648926492E-3</c:v>
                </c:pt>
                <c:pt idx="663">
                  <c:v>-8.9282582335052929E-3</c:v>
                </c:pt>
                <c:pt idx="664">
                  <c:v>-8.9230691067451184E-3</c:v>
                </c:pt>
                <c:pt idx="665">
                  <c:v>-8.9219735452003013E-3</c:v>
                </c:pt>
                <c:pt idx="666">
                  <c:v>-8.9152334336222161E-3</c:v>
                </c:pt>
                <c:pt idx="667">
                  <c:v>-8.885436929102708E-3</c:v>
                </c:pt>
                <c:pt idx="668">
                  <c:v>-8.8411521363425116E-3</c:v>
                </c:pt>
                <c:pt idx="669">
                  <c:v>-8.8087738047984976E-3</c:v>
                </c:pt>
                <c:pt idx="670">
                  <c:v>-8.7419056101490922E-3</c:v>
                </c:pt>
                <c:pt idx="671">
                  <c:v>-8.6989070487272224E-3</c:v>
                </c:pt>
                <c:pt idx="672">
                  <c:v>-8.6838226562460097E-3</c:v>
                </c:pt>
                <c:pt idx="673">
                  <c:v>-8.6835624914717302E-3</c:v>
                </c:pt>
                <c:pt idx="674">
                  <c:v>-8.6683496261191761E-3</c:v>
                </c:pt>
                <c:pt idx="675">
                  <c:v>-8.6313895008822694E-3</c:v>
                </c:pt>
                <c:pt idx="676">
                  <c:v>-8.63028079240169E-3</c:v>
                </c:pt>
                <c:pt idx="677">
                  <c:v>-8.6281588763289507E-3</c:v>
                </c:pt>
                <c:pt idx="678">
                  <c:v>-8.6204847205304524E-3</c:v>
                </c:pt>
                <c:pt idx="679">
                  <c:v>-8.6185092586620327E-3</c:v>
                </c:pt>
                <c:pt idx="680">
                  <c:v>-8.5997345969268668E-3</c:v>
                </c:pt>
                <c:pt idx="681">
                  <c:v>-8.5750300824605219E-3</c:v>
                </c:pt>
                <c:pt idx="682">
                  <c:v>-8.5650742728445861E-3</c:v>
                </c:pt>
                <c:pt idx="683">
                  <c:v>-8.5611990144929262E-3</c:v>
                </c:pt>
                <c:pt idx="684">
                  <c:v>-8.5433334679688722E-3</c:v>
                </c:pt>
                <c:pt idx="685">
                  <c:v>-8.520907393978594E-3</c:v>
                </c:pt>
                <c:pt idx="686">
                  <c:v>-8.5142139178780996E-3</c:v>
                </c:pt>
                <c:pt idx="687">
                  <c:v>-8.4958033265974953E-3</c:v>
                </c:pt>
                <c:pt idx="688">
                  <c:v>-8.4694455264311408E-3</c:v>
                </c:pt>
                <c:pt idx="689">
                  <c:v>-8.4654657872912376E-3</c:v>
                </c:pt>
                <c:pt idx="690">
                  <c:v>-8.4631581642382603E-3</c:v>
                </c:pt>
                <c:pt idx="691">
                  <c:v>-8.4623647269541635E-3</c:v>
                </c:pt>
                <c:pt idx="692">
                  <c:v>-8.4443287754449869E-3</c:v>
                </c:pt>
                <c:pt idx="693">
                  <c:v>-8.4329155152161883E-3</c:v>
                </c:pt>
                <c:pt idx="694">
                  <c:v>-8.4051577904712405E-3</c:v>
                </c:pt>
                <c:pt idx="695">
                  <c:v>-8.4022940113007705E-3</c:v>
                </c:pt>
                <c:pt idx="696">
                  <c:v>-8.382877562416291E-3</c:v>
                </c:pt>
                <c:pt idx="697">
                  <c:v>-8.3828625235516929E-3</c:v>
                </c:pt>
                <c:pt idx="698">
                  <c:v>-8.3695146322529945E-3</c:v>
                </c:pt>
                <c:pt idx="699">
                  <c:v>-8.3476862889138026E-3</c:v>
                </c:pt>
                <c:pt idx="700">
                  <c:v>-8.3417991687874116E-3</c:v>
                </c:pt>
                <c:pt idx="701">
                  <c:v>-8.3326755555018783E-3</c:v>
                </c:pt>
                <c:pt idx="702">
                  <c:v>-8.3277675304292975E-3</c:v>
                </c:pt>
                <c:pt idx="703">
                  <c:v>-8.3092632950286793E-3</c:v>
                </c:pt>
                <c:pt idx="704">
                  <c:v>-8.2378985855885434E-3</c:v>
                </c:pt>
                <c:pt idx="705">
                  <c:v>-8.222170417090835E-3</c:v>
                </c:pt>
                <c:pt idx="706">
                  <c:v>-8.1940604782085869E-3</c:v>
                </c:pt>
                <c:pt idx="707">
                  <c:v>-8.1869492139823308E-3</c:v>
                </c:pt>
                <c:pt idx="708">
                  <c:v>-8.1761356529429507E-3</c:v>
                </c:pt>
                <c:pt idx="709">
                  <c:v>-8.1650063946399065E-3</c:v>
                </c:pt>
                <c:pt idx="710">
                  <c:v>-8.1279926290215299E-3</c:v>
                </c:pt>
                <c:pt idx="711">
                  <c:v>-8.1122227055241414E-3</c:v>
                </c:pt>
                <c:pt idx="712">
                  <c:v>-8.0955398283374391E-3</c:v>
                </c:pt>
                <c:pt idx="713">
                  <c:v>-8.0882890304054822E-3</c:v>
                </c:pt>
                <c:pt idx="714">
                  <c:v>-8.0762962436005115E-3</c:v>
                </c:pt>
                <c:pt idx="715">
                  <c:v>-8.0710401718742109E-3</c:v>
                </c:pt>
                <c:pt idx="716">
                  <c:v>-8.0530882255828162E-3</c:v>
                </c:pt>
                <c:pt idx="717">
                  <c:v>-8.0033397772805159E-3</c:v>
                </c:pt>
                <c:pt idx="718">
                  <c:v>-7.992786850700706E-3</c:v>
                </c:pt>
                <c:pt idx="719">
                  <c:v>-7.9758939642470272E-3</c:v>
                </c:pt>
                <c:pt idx="720">
                  <c:v>-7.9582763395533718E-3</c:v>
                </c:pt>
                <c:pt idx="721">
                  <c:v>-7.944676371573034E-3</c:v>
                </c:pt>
                <c:pt idx="722">
                  <c:v>-7.9183299687193287E-3</c:v>
                </c:pt>
                <c:pt idx="723">
                  <c:v>-7.9178215581634515E-3</c:v>
                </c:pt>
                <c:pt idx="724">
                  <c:v>-7.9019204781762831E-3</c:v>
                </c:pt>
                <c:pt idx="725">
                  <c:v>-7.8937573937248873E-3</c:v>
                </c:pt>
                <c:pt idx="726">
                  <c:v>-7.8922739955826771E-3</c:v>
                </c:pt>
                <c:pt idx="727">
                  <c:v>-7.8864300894048167E-3</c:v>
                </c:pt>
                <c:pt idx="728">
                  <c:v>-7.8415391449638827E-3</c:v>
                </c:pt>
                <c:pt idx="729">
                  <c:v>-7.838462823520409E-3</c:v>
                </c:pt>
                <c:pt idx="730">
                  <c:v>-7.8339664801152509E-3</c:v>
                </c:pt>
                <c:pt idx="731">
                  <c:v>-7.829377000538873E-3</c:v>
                </c:pt>
                <c:pt idx="732">
                  <c:v>-7.8289439236666203E-3</c:v>
                </c:pt>
                <c:pt idx="733">
                  <c:v>-7.8103139683748379E-3</c:v>
                </c:pt>
                <c:pt idx="734">
                  <c:v>-7.8102240617942131E-3</c:v>
                </c:pt>
                <c:pt idx="735">
                  <c:v>-7.8077441441710693E-3</c:v>
                </c:pt>
                <c:pt idx="736">
                  <c:v>-7.7960242078484177E-3</c:v>
                </c:pt>
                <c:pt idx="737">
                  <c:v>-7.7720652046540106E-3</c:v>
                </c:pt>
                <c:pt idx="738">
                  <c:v>-7.7528533943004296E-3</c:v>
                </c:pt>
                <c:pt idx="739">
                  <c:v>-7.7499443447411887E-3</c:v>
                </c:pt>
                <c:pt idx="740">
                  <c:v>-7.7327122385474345E-3</c:v>
                </c:pt>
                <c:pt idx="741">
                  <c:v>-7.7218361572565231E-3</c:v>
                </c:pt>
                <c:pt idx="742">
                  <c:v>-7.6910481838957656E-3</c:v>
                </c:pt>
                <c:pt idx="743">
                  <c:v>-7.6787746393771616E-3</c:v>
                </c:pt>
                <c:pt idx="744">
                  <c:v>-7.67049262572983E-3</c:v>
                </c:pt>
                <c:pt idx="745">
                  <c:v>-7.6698261492148534E-3</c:v>
                </c:pt>
                <c:pt idx="746">
                  <c:v>-7.6607655126056384E-3</c:v>
                </c:pt>
                <c:pt idx="747">
                  <c:v>-7.6387949855076798E-3</c:v>
                </c:pt>
                <c:pt idx="748">
                  <c:v>-7.6358917018715111E-3</c:v>
                </c:pt>
                <c:pt idx="749">
                  <c:v>-7.6279822197039548E-3</c:v>
                </c:pt>
                <c:pt idx="750">
                  <c:v>-7.5788273449202137E-3</c:v>
                </c:pt>
                <c:pt idx="751">
                  <c:v>-7.501759077118697E-3</c:v>
                </c:pt>
                <c:pt idx="752">
                  <c:v>-7.4883255702951068E-3</c:v>
                </c:pt>
                <c:pt idx="753">
                  <c:v>-7.4838591254802189E-3</c:v>
                </c:pt>
                <c:pt idx="754">
                  <c:v>-7.4590042350434205E-3</c:v>
                </c:pt>
                <c:pt idx="755">
                  <c:v>-7.4277039830178415E-3</c:v>
                </c:pt>
                <c:pt idx="756">
                  <c:v>-7.4141768281340559E-3</c:v>
                </c:pt>
                <c:pt idx="757">
                  <c:v>-7.4049026529803275E-3</c:v>
                </c:pt>
                <c:pt idx="758">
                  <c:v>-7.4029906742418827E-3</c:v>
                </c:pt>
                <c:pt idx="759">
                  <c:v>-7.4008170843031795E-3</c:v>
                </c:pt>
                <c:pt idx="760">
                  <c:v>-7.3833422943266891E-3</c:v>
                </c:pt>
                <c:pt idx="761">
                  <c:v>-7.3753922195076704E-3</c:v>
                </c:pt>
                <c:pt idx="762">
                  <c:v>-7.372112479363091E-3</c:v>
                </c:pt>
                <c:pt idx="763">
                  <c:v>-7.3696168523862404E-3</c:v>
                </c:pt>
                <c:pt idx="764">
                  <c:v>-7.3241043244290926E-3</c:v>
                </c:pt>
                <c:pt idx="765">
                  <c:v>-7.3239666039772722E-3</c:v>
                </c:pt>
                <c:pt idx="766">
                  <c:v>-7.2957211255741949E-3</c:v>
                </c:pt>
                <c:pt idx="767">
                  <c:v>-7.28598793938251E-3</c:v>
                </c:pt>
                <c:pt idx="768">
                  <c:v>-7.2770096048165867E-3</c:v>
                </c:pt>
                <c:pt idx="769">
                  <c:v>-7.2698157137932595E-3</c:v>
                </c:pt>
                <c:pt idx="770">
                  <c:v>-7.2477853504222534E-3</c:v>
                </c:pt>
                <c:pt idx="771">
                  <c:v>-7.2428832800115472E-3</c:v>
                </c:pt>
                <c:pt idx="772">
                  <c:v>-7.2410018876035709E-3</c:v>
                </c:pt>
                <c:pt idx="773">
                  <c:v>-7.2400536644872115E-3</c:v>
                </c:pt>
                <c:pt idx="774">
                  <c:v>-7.2283308288940695E-3</c:v>
                </c:pt>
                <c:pt idx="775">
                  <c:v>-7.2175163910653817E-3</c:v>
                </c:pt>
                <c:pt idx="776">
                  <c:v>-7.2095536512487568E-3</c:v>
                </c:pt>
                <c:pt idx="777">
                  <c:v>-7.1774685016464668E-3</c:v>
                </c:pt>
                <c:pt idx="778">
                  <c:v>-7.1681206423006572E-3</c:v>
                </c:pt>
                <c:pt idx="779">
                  <c:v>-7.1662002814956161E-3</c:v>
                </c:pt>
                <c:pt idx="780">
                  <c:v>-7.1657115206235078E-3</c:v>
                </c:pt>
                <c:pt idx="781">
                  <c:v>-7.1549970787073702E-3</c:v>
                </c:pt>
                <c:pt idx="782">
                  <c:v>-7.1437599192974988E-3</c:v>
                </c:pt>
                <c:pt idx="783">
                  <c:v>-7.1387184151544547E-3</c:v>
                </c:pt>
                <c:pt idx="784">
                  <c:v>-7.1369356953394636E-3</c:v>
                </c:pt>
                <c:pt idx="785">
                  <c:v>-7.1226395848958957E-3</c:v>
                </c:pt>
                <c:pt idx="786">
                  <c:v>-7.1021901745667027E-3</c:v>
                </c:pt>
                <c:pt idx="787">
                  <c:v>-7.0894094825002529E-3</c:v>
                </c:pt>
                <c:pt idx="788">
                  <c:v>-7.0845414895970293E-3</c:v>
                </c:pt>
                <c:pt idx="789">
                  <c:v>-7.0797524768986264E-3</c:v>
                </c:pt>
                <c:pt idx="790">
                  <c:v>-7.0726264214120427E-3</c:v>
                </c:pt>
                <c:pt idx="791">
                  <c:v>-7.0701909746154756E-3</c:v>
                </c:pt>
                <c:pt idx="792">
                  <c:v>-7.0629390828771399E-3</c:v>
                </c:pt>
                <c:pt idx="793">
                  <c:v>-7.0441186440252102E-3</c:v>
                </c:pt>
                <c:pt idx="794">
                  <c:v>-7.04263576410602E-3</c:v>
                </c:pt>
                <c:pt idx="795">
                  <c:v>-7.0011594167349589E-3</c:v>
                </c:pt>
                <c:pt idx="796">
                  <c:v>-6.9790090849168873E-3</c:v>
                </c:pt>
                <c:pt idx="797">
                  <c:v>-6.9508956231904007E-3</c:v>
                </c:pt>
                <c:pt idx="798">
                  <c:v>-6.9276309444314954E-3</c:v>
                </c:pt>
                <c:pt idx="799">
                  <c:v>-6.9223453163754778E-3</c:v>
                </c:pt>
                <c:pt idx="800">
                  <c:v>-6.9221161741512827E-3</c:v>
                </c:pt>
                <c:pt idx="801">
                  <c:v>-6.9106728206100865E-3</c:v>
                </c:pt>
                <c:pt idx="802">
                  <c:v>-6.8977383411602533E-3</c:v>
                </c:pt>
                <c:pt idx="803">
                  <c:v>-6.8524232870537105E-3</c:v>
                </c:pt>
                <c:pt idx="804">
                  <c:v>-6.8493366303752357E-3</c:v>
                </c:pt>
                <c:pt idx="805">
                  <c:v>-6.8235553150920447E-3</c:v>
                </c:pt>
                <c:pt idx="806">
                  <c:v>-6.8069317251104877E-3</c:v>
                </c:pt>
                <c:pt idx="807">
                  <c:v>-6.7931403615235642E-3</c:v>
                </c:pt>
                <c:pt idx="808">
                  <c:v>-6.7847053447078753E-3</c:v>
                </c:pt>
                <c:pt idx="809">
                  <c:v>-6.7836284956191983E-3</c:v>
                </c:pt>
                <c:pt idx="810">
                  <c:v>-6.7449707687716742E-3</c:v>
                </c:pt>
                <c:pt idx="811">
                  <c:v>-6.7277606913070942E-3</c:v>
                </c:pt>
                <c:pt idx="812">
                  <c:v>-6.7273922010585574E-3</c:v>
                </c:pt>
                <c:pt idx="813">
                  <c:v>-6.7190501724174734E-3</c:v>
                </c:pt>
                <c:pt idx="814">
                  <c:v>-6.6867501550954556E-3</c:v>
                </c:pt>
                <c:pt idx="815">
                  <c:v>-6.6703991739122115E-3</c:v>
                </c:pt>
                <c:pt idx="816">
                  <c:v>-6.6633697738107678E-3</c:v>
                </c:pt>
                <c:pt idx="817">
                  <c:v>-6.6274688135962156E-3</c:v>
                </c:pt>
                <c:pt idx="818">
                  <c:v>-6.6102717213001316E-3</c:v>
                </c:pt>
                <c:pt idx="819">
                  <c:v>-6.6090852521724086E-3</c:v>
                </c:pt>
                <c:pt idx="820">
                  <c:v>-6.5995696249265823E-3</c:v>
                </c:pt>
                <c:pt idx="821">
                  <c:v>-6.5638980808000458E-3</c:v>
                </c:pt>
                <c:pt idx="822">
                  <c:v>-6.5571398496430122E-3</c:v>
                </c:pt>
                <c:pt idx="823">
                  <c:v>-6.5547911012531213E-3</c:v>
                </c:pt>
                <c:pt idx="824">
                  <c:v>-6.5529991684168953E-3</c:v>
                </c:pt>
                <c:pt idx="825">
                  <c:v>-6.5508666143365701E-3</c:v>
                </c:pt>
                <c:pt idx="826">
                  <c:v>-6.5244808857478631E-3</c:v>
                </c:pt>
                <c:pt idx="827">
                  <c:v>-6.4486611497847068E-3</c:v>
                </c:pt>
                <c:pt idx="828">
                  <c:v>-6.4378631452003399E-3</c:v>
                </c:pt>
                <c:pt idx="829">
                  <c:v>-6.4293959708270343E-3</c:v>
                </c:pt>
                <c:pt idx="830">
                  <c:v>-6.425871965138219E-3</c:v>
                </c:pt>
                <c:pt idx="831">
                  <c:v>-6.3984709480976454E-3</c:v>
                </c:pt>
                <c:pt idx="832">
                  <c:v>-6.3828121323767917E-3</c:v>
                </c:pt>
                <c:pt idx="833">
                  <c:v>-6.3669608445725556E-3</c:v>
                </c:pt>
                <c:pt idx="834">
                  <c:v>-6.3505043352454216E-3</c:v>
                </c:pt>
                <c:pt idx="835">
                  <c:v>-6.3265401047312153E-3</c:v>
                </c:pt>
                <c:pt idx="836">
                  <c:v>-6.2922831653530187E-3</c:v>
                </c:pt>
                <c:pt idx="837">
                  <c:v>-6.2780111358098356E-3</c:v>
                </c:pt>
                <c:pt idx="838">
                  <c:v>-6.2624418583544506E-3</c:v>
                </c:pt>
                <c:pt idx="839">
                  <c:v>-6.2567886260247452E-3</c:v>
                </c:pt>
                <c:pt idx="840">
                  <c:v>-6.2566160410872929E-3</c:v>
                </c:pt>
                <c:pt idx="841">
                  <c:v>-6.1960425932590102E-3</c:v>
                </c:pt>
                <c:pt idx="842">
                  <c:v>-6.1873727681593937E-3</c:v>
                </c:pt>
                <c:pt idx="843">
                  <c:v>-6.1826561807603042E-3</c:v>
                </c:pt>
                <c:pt idx="844">
                  <c:v>-6.1749536081390222E-3</c:v>
                </c:pt>
                <c:pt idx="845">
                  <c:v>-6.1715404983065936E-3</c:v>
                </c:pt>
                <c:pt idx="846">
                  <c:v>-6.1508611320745255E-3</c:v>
                </c:pt>
                <c:pt idx="847">
                  <c:v>-6.1493060508357456E-3</c:v>
                </c:pt>
                <c:pt idx="848">
                  <c:v>-6.1222173931956281E-3</c:v>
                </c:pt>
                <c:pt idx="849">
                  <c:v>-6.1191818610786264E-3</c:v>
                </c:pt>
                <c:pt idx="850">
                  <c:v>-6.1158567709064249E-3</c:v>
                </c:pt>
                <c:pt idx="851">
                  <c:v>-6.1157676127600036E-3</c:v>
                </c:pt>
                <c:pt idx="852">
                  <c:v>-6.1128249168822535E-3</c:v>
                </c:pt>
                <c:pt idx="853">
                  <c:v>-6.1125000129499396E-3</c:v>
                </c:pt>
                <c:pt idx="854">
                  <c:v>-6.10908654205089E-3</c:v>
                </c:pt>
                <c:pt idx="855">
                  <c:v>-6.1033402850690921E-3</c:v>
                </c:pt>
                <c:pt idx="856">
                  <c:v>-6.0814984915238401E-3</c:v>
                </c:pt>
                <c:pt idx="857">
                  <c:v>-6.0802870909228979E-3</c:v>
                </c:pt>
                <c:pt idx="858">
                  <c:v>-6.0784908182387465E-3</c:v>
                </c:pt>
                <c:pt idx="859">
                  <c:v>-6.0683286131966163E-3</c:v>
                </c:pt>
                <c:pt idx="860">
                  <c:v>-6.0666430303963903E-3</c:v>
                </c:pt>
                <c:pt idx="861">
                  <c:v>-6.0433162130095752E-3</c:v>
                </c:pt>
                <c:pt idx="862">
                  <c:v>-6.0349078699214465E-3</c:v>
                </c:pt>
                <c:pt idx="863">
                  <c:v>-6.0310624548755021E-3</c:v>
                </c:pt>
                <c:pt idx="864">
                  <c:v>-6.0294691355624597E-3</c:v>
                </c:pt>
                <c:pt idx="865">
                  <c:v>-6.0141788015209974E-3</c:v>
                </c:pt>
                <c:pt idx="866">
                  <c:v>-6.0043186506069102E-3</c:v>
                </c:pt>
                <c:pt idx="867">
                  <c:v>-5.9639482999149784E-3</c:v>
                </c:pt>
                <c:pt idx="868">
                  <c:v>-5.9595621794972242E-3</c:v>
                </c:pt>
                <c:pt idx="869">
                  <c:v>-5.9455757627915329E-3</c:v>
                </c:pt>
                <c:pt idx="870">
                  <c:v>-5.9322667774777127E-3</c:v>
                </c:pt>
                <c:pt idx="871">
                  <c:v>-5.9314291377008388E-3</c:v>
                </c:pt>
                <c:pt idx="872">
                  <c:v>-5.9260024727341154E-3</c:v>
                </c:pt>
                <c:pt idx="873">
                  <c:v>-5.921018677011225E-3</c:v>
                </c:pt>
                <c:pt idx="874">
                  <c:v>-5.9148839421105937E-3</c:v>
                </c:pt>
                <c:pt idx="875">
                  <c:v>-5.9137607837527195E-3</c:v>
                </c:pt>
                <c:pt idx="876">
                  <c:v>-5.9092946082399678E-3</c:v>
                </c:pt>
                <c:pt idx="877">
                  <c:v>-5.9081062158659048E-3</c:v>
                </c:pt>
                <c:pt idx="878">
                  <c:v>-5.9023878763952986E-3</c:v>
                </c:pt>
                <c:pt idx="879">
                  <c:v>-5.9018533378908389E-3</c:v>
                </c:pt>
                <c:pt idx="880">
                  <c:v>-5.8970459987497392E-3</c:v>
                </c:pt>
                <c:pt idx="881">
                  <c:v>-5.8871633862064288E-3</c:v>
                </c:pt>
                <c:pt idx="882">
                  <c:v>-5.8807834889803567E-3</c:v>
                </c:pt>
                <c:pt idx="883">
                  <c:v>-5.8764587902949694E-3</c:v>
                </c:pt>
                <c:pt idx="884">
                  <c:v>-5.8726889302358476E-3</c:v>
                </c:pt>
                <c:pt idx="885">
                  <c:v>-5.8661136020461413E-3</c:v>
                </c:pt>
                <c:pt idx="886">
                  <c:v>-5.8553455998742177E-3</c:v>
                </c:pt>
                <c:pt idx="887">
                  <c:v>-5.8515643055782052E-3</c:v>
                </c:pt>
                <c:pt idx="888">
                  <c:v>-5.8503610502157466E-3</c:v>
                </c:pt>
                <c:pt idx="889">
                  <c:v>-5.8331589463818112E-3</c:v>
                </c:pt>
                <c:pt idx="890">
                  <c:v>-5.823953636678536E-3</c:v>
                </c:pt>
                <c:pt idx="891">
                  <c:v>-5.8193912871878917E-3</c:v>
                </c:pt>
                <c:pt idx="892">
                  <c:v>-5.818570272251411E-3</c:v>
                </c:pt>
                <c:pt idx="893">
                  <c:v>-5.8173420965696998E-3</c:v>
                </c:pt>
                <c:pt idx="894">
                  <c:v>-5.7934951936032819E-3</c:v>
                </c:pt>
                <c:pt idx="895">
                  <c:v>-5.788414163971245E-3</c:v>
                </c:pt>
                <c:pt idx="896">
                  <c:v>-5.7159849156469544E-3</c:v>
                </c:pt>
                <c:pt idx="897">
                  <c:v>-5.7071170906133339E-3</c:v>
                </c:pt>
                <c:pt idx="898">
                  <c:v>-5.7039428633169909E-3</c:v>
                </c:pt>
                <c:pt idx="899">
                  <c:v>-5.7032376421218833E-3</c:v>
                </c:pt>
                <c:pt idx="900">
                  <c:v>-5.6344362520116542E-3</c:v>
                </c:pt>
                <c:pt idx="901">
                  <c:v>-5.6323181565338665E-3</c:v>
                </c:pt>
                <c:pt idx="902">
                  <c:v>-5.5895136737387219E-3</c:v>
                </c:pt>
                <c:pt idx="903">
                  <c:v>-5.582400722260239E-3</c:v>
                </c:pt>
                <c:pt idx="904">
                  <c:v>-5.5582752231758681E-3</c:v>
                </c:pt>
                <c:pt idx="905">
                  <c:v>-5.5498132659291821E-3</c:v>
                </c:pt>
                <c:pt idx="906">
                  <c:v>-5.5402331644650582E-3</c:v>
                </c:pt>
                <c:pt idx="907">
                  <c:v>-5.5326440905859586E-3</c:v>
                </c:pt>
                <c:pt idx="908">
                  <c:v>-5.5194760888688243E-3</c:v>
                </c:pt>
                <c:pt idx="909">
                  <c:v>-5.5052060721905161E-3</c:v>
                </c:pt>
                <c:pt idx="910">
                  <c:v>-5.5024603105618963E-3</c:v>
                </c:pt>
                <c:pt idx="911">
                  <c:v>-5.4422906610759325E-3</c:v>
                </c:pt>
                <c:pt idx="912">
                  <c:v>-5.4393810595275705E-3</c:v>
                </c:pt>
                <c:pt idx="913">
                  <c:v>-5.4334686324584158E-3</c:v>
                </c:pt>
                <c:pt idx="914">
                  <c:v>-5.419972590821498E-3</c:v>
                </c:pt>
                <c:pt idx="915">
                  <c:v>-5.4180587416066128E-3</c:v>
                </c:pt>
                <c:pt idx="916">
                  <c:v>-5.4155200211932764E-3</c:v>
                </c:pt>
                <c:pt idx="917">
                  <c:v>-5.4142472180821466E-3</c:v>
                </c:pt>
                <c:pt idx="918">
                  <c:v>-5.4119726618722108E-3</c:v>
                </c:pt>
                <c:pt idx="919">
                  <c:v>-5.4008698870374738E-3</c:v>
                </c:pt>
                <c:pt idx="920">
                  <c:v>-5.4008188730735318E-3</c:v>
                </c:pt>
                <c:pt idx="921">
                  <c:v>-5.3895801895819107E-3</c:v>
                </c:pt>
                <c:pt idx="922">
                  <c:v>-5.3785921823719107E-3</c:v>
                </c:pt>
                <c:pt idx="923">
                  <c:v>-5.3634022278569171E-3</c:v>
                </c:pt>
                <c:pt idx="924">
                  <c:v>-5.3526942398116617E-3</c:v>
                </c:pt>
                <c:pt idx="925">
                  <c:v>-5.3458371362683499E-3</c:v>
                </c:pt>
                <c:pt idx="926">
                  <c:v>-5.3428022888789561E-3</c:v>
                </c:pt>
                <c:pt idx="927">
                  <c:v>-5.3270216399257109E-3</c:v>
                </c:pt>
                <c:pt idx="928">
                  <c:v>-5.3244450870758575E-3</c:v>
                </c:pt>
                <c:pt idx="929">
                  <c:v>-5.3148188552670783E-3</c:v>
                </c:pt>
                <c:pt idx="930">
                  <c:v>-5.287516451576102E-3</c:v>
                </c:pt>
                <c:pt idx="931">
                  <c:v>-5.2726728187929561E-3</c:v>
                </c:pt>
                <c:pt idx="932">
                  <c:v>-5.2657511529043965E-3</c:v>
                </c:pt>
                <c:pt idx="933">
                  <c:v>-5.2652615886525922E-3</c:v>
                </c:pt>
                <c:pt idx="934">
                  <c:v>-5.2466813310203531E-3</c:v>
                </c:pt>
                <c:pt idx="935">
                  <c:v>-5.2436704950781232E-3</c:v>
                </c:pt>
                <c:pt idx="936">
                  <c:v>-5.2387957096348137E-3</c:v>
                </c:pt>
                <c:pt idx="937">
                  <c:v>-5.2220982157470397E-3</c:v>
                </c:pt>
                <c:pt idx="938">
                  <c:v>-5.1989736023092536E-3</c:v>
                </c:pt>
                <c:pt idx="939">
                  <c:v>-5.1812035937865986E-3</c:v>
                </c:pt>
                <c:pt idx="940">
                  <c:v>-5.1643500213555127E-3</c:v>
                </c:pt>
                <c:pt idx="941">
                  <c:v>-5.159778383543312E-3</c:v>
                </c:pt>
                <c:pt idx="942">
                  <c:v>-5.1596304955784378E-3</c:v>
                </c:pt>
                <c:pt idx="943">
                  <c:v>-5.1499638986440832E-3</c:v>
                </c:pt>
                <c:pt idx="944">
                  <c:v>-5.1487339259395082E-3</c:v>
                </c:pt>
                <c:pt idx="945">
                  <c:v>-5.1396101757674728E-3</c:v>
                </c:pt>
                <c:pt idx="946">
                  <c:v>-5.1327300855449343E-3</c:v>
                </c:pt>
                <c:pt idx="947">
                  <c:v>-5.1276408933960127E-3</c:v>
                </c:pt>
                <c:pt idx="948">
                  <c:v>-5.1257987943937877E-3</c:v>
                </c:pt>
                <c:pt idx="949">
                  <c:v>-5.1000013881667972E-3</c:v>
                </c:pt>
                <c:pt idx="950">
                  <c:v>-5.0938262157370628E-3</c:v>
                </c:pt>
                <c:pt idx="951">
                  <c:v>-5.0845706431061899E-3</c:v>
                </c:pt>
                <c:pt idx="952">
                  <c:v>-5.0834507331469769E-3</c:v>
                </c:pt>
                <c:pt idx="953">
                  <c:v>-5.0629654936213964E-3</c:v>
                </c:pt>
                <c:pt idx="954">
                  <c:v>-5.0467371086860835E-3</c:v>
                </c:pt>
                <c:pt idx="955">
                  <c:v>-5.0147719662936296E-3</c:v>
                </c:pt>
                <c:pt idx="956">
                  <c:v>-5.0139026419525612E-3</c:v>
                </c:pt>
                <c:pt idx="957">
                  <c:v>-5.0012560157608466E-3</c:v>
                </c:pt>
                <c:pt idx="958">
                  <c:v>-4.9885452775400019E-3</c:v>
                </c:pt>
                <c:pt idx="959">
                  <c:v>-4.9610963289734578E-3</c:v>
                </c:pt>
                <c:pt idx="960">
                  <c:v>-4.9582965176881988E-3</c:v>
                </c:pt>
                <c:pt idx="961">
                  <c:v>-4.9415837773354454E-3</c:v>
                </c:pt>
                <c:pt idx="962">
                  <c:v>-4.9400528622369766E-3</c:v>
                </c:pt>
                <c:pt idx="963">
                  <c:v>-4.9371902839621118E-3</c:v>
                </c:pt>
                <c:pt idx="964">
                  <c:v>-4.9325896417347082E-3</c:v>
                </c:pt>
                <c:pt idx="965">
                  <c:v>-4.9142301886281325E-3</c:v>
                </c:pt>
                <c:pt idx="966">
                  <c:v>-4.8854892458918275E-3</c:v>
                </c:pt>
                <c:pt idx="967">
                  <c:v>-4.877927261634829E-3</c:v>
                </c:pt>
                <c:pt idx="968">
                  <c:v>-4.8740807525059493E-3</c:v>
                </c:pt>
                <c:pt idx="969">
                  <c:v>-4.8673922726738539E-3</c:v>
                </c:pt>
                <c:pt idx="970">
                  <c:v>-4.8579708755067674E-3</c:v>
                </c:pt>
                <c:pt idx="971">
                  <c:v>-4.8426147388431762E-3</c:v>
                </c:pt>
                <c:pt idx="972">
                  <c:v>-4.821584962711678E-3</c:v>
                </c:pt>
                <c:pt idx="973">
                  <c:v>-4.8048684515812345E-3</c:v>
                </c:pt>
                <c:pt idx="974">
                  <c:v>-4.7824715377752236E-3</c:v>
                </c:pt>
                <c:pt idx="975">
                  <c:v>-4.7792600874868585E-3</c:v>
                </c:pt>
                <c:pt idx="976">
                  <c:v>-4.7758972257618826E-3</c:v>
                </c:pt>
                <c:pt idx="977">
                  <c:v>-4.7687837420447021E-3</c:v>
                </c:pt>
                <c:pt idx="978">
                  <c:v>-4.7664178192570184E-3</c:v>
                </c:pt>
                <c:pt idx="979">
                  <c:v>-4.7635957135702123E-3</c:v>
                </c:pt>
                <c:pt idx="980">
                  <c:v>-4.7609246154063367E-3</c:v>
                </c:pt>
                <c:pt idx="981">
                  <c:v>-4.7456529726772612E-3</c:v>
                </c:pt>
                <c:pt idx="982">
                  <c:v>-4.7165441331749047E-3</c:v>
                </c:pt>
                <c:pt idx="983">
                  <c:v>-4.7069385289464361E-3</c:v>
                </c:pt>
                <c:pt idx="984">
                  <c:v>-4.7034037503854709E-3</c:v>
                </c:pt>
                <c:pt idx="985">
                  <c:v>-4.6911966614849865E-3</c:v>
                </c:pt>
                <c:pt idx="986">
                  <c:v>-4.691051468200369E-3</c:v>
                </c:pt>
                <c:pt idx="987">
                  <c:v>-4.6900534709836128E-3</c:v>
                </c:pt>
                <c:pt idx="988">
                  <c:v>-4.6683398675235743E-3</c:v>
                </c:pt>
                <c:pt idx="989">
                  <c:v>-4.6679733505885501E-3</c:v>
                </c:pt>
                <c:pt idx="990">
                  <c:v>-4.6640085477865911E-3</c:v>
                </c:pt>
                <c:pt idx="991">
                  <c:v>-4.6563786895565951E-3</c:v>
                </c:pt>
                <c:pt idx="992">
                  <c:v>-4.655169088808031E-3</c:v>
                </c:pt>
                <c:pt idx="993">
                  <c:v>-4.6545304683678346E-3</c:v>
                </c:pt>
                <c:pt idx="994">
                  <c:v>-4.6543685298374715E-3</c:v>
                </c:pt>
                <c:pt idx="995">
                  <c:v>-4.635900450316699E-3</c:v>
                </c:pt>
                <c:pt idx="996">
                  <c:v>-4.6269892741372942E-3</c:v>
                </c:pt>
                <c:pt idx="997">
                  <c:v>-4.6177848190693815E-3</c:v>
                </c:pt>
                <c:pt idx="998">
                  <c:v>-4.5908859102609112E-3</c:v>
                </c:pt>
                <c:pt idx="999">
                  <c:v>-4.5883264183138595E-3</c:v>
                </c:pt>
                <c:pt idx="1000">
                  <c:v>-4.5826809469131646E-3</c:v>
                </c:pt>
                <c:pt idx="1001">
                  <c:v>-4.5645115992880569E-3</c:v>
                </c:pt>
                <c:pt idx="1002">
                  <c:v>-4.5607570856762703E-3</c:v>
                </c:pt>
                <c:pt idx="1003">
                  <c:v>-4.5404929213722633E-3</c:v>
                </c:pt>
                <c:pt idx="1004">
                  <c:v>-4.5342034906088458E-3</c:v>
                </c:pt>
                <c:pt idx="1005">
                  <c:v>-4.5274580781048401E-3</c:v>
                </c:pt>
                <c:pt idx="1006">
                  <c:v>-4.4834247492240298E-3</c:v>
                </c:pt>
                <c:pt idx="1007">
                  <c:v>-4.4784721855494203E-3</c:v>
                </c:pt>
                <c:pt idx="1008">
                  <c:v>-4.4782829318943396E-3</c:v>
                </c:pt>
                <c:pt idx="1009">
                  <c:v>-4.4743819998102063E-3</c:v>
                </c:pt>
                <c:pt idx="1010">
                  <c:v>-4.4743819998102063E-3</c:v>
                </c:pt>
                <c:pt idx="1011">
                  <c:v>-4.4724872539070315E-3</c:v>
                </c:pt>
                <c:pt idx="1012">
                  <c:v>-4.4631626819040537E-3</c:v>
                </c:pt>
                <c:pt idx="1013">
                  <c:v>-4.4532491761645199E-3</c:v>
                </c:pt>
                <c:pt idx="1014">
                  <c:v>-4.4461452724049444E-3</c:v>
                </c:pt>
                <c:pt idx="1015">
                  <c:v>-4.4302971668870317E-3</c:v>
                </c:pt>
                <c:pt idx="1016">
                  <c:v>-4.4212714154776567E-3</c:v>
                </c:pt>
                <c:pt idx="1017">
                  <c:v>-4.4130014680131557E-3</c:v>
                </c:pt>
                <c:pt idx="1018">
                  <c:v>-4.4090214575474018E-3</c:v>
                </c:pt>
                <c:pt idx="1019">
                  <c:v>-4.402531956217981E-3</c:v>
                </c:pt>
                <c:pt idx="1020">
                  <c:v>-4.3966482900369419E-3</c:v>
                </c:pt>
                <c:pt idx="1021">
                  <c:v>-4.3877105904693847E-3</c:v>
                </c:pt>
                <c:pt idx="1022">
                  <c:v>-4.3815730564296107E-3</c:v>
                </c:pt>
                <c:pt idx="1023">
                  <c:v>-4.3797106474602332E-3</c:v>
                </c:pt>
                <c:pt idx="1024">
                  <c:v>-4.3357116964777287E-3</c:v>
                </c:pt>
                <c:pt idx="1025">
                  <c:v>-4.3167792878174849E-3</c:v>
                </c:pt>
                <c:pt idx="1026">
                  <c:v>-4.2925560020031783E-3</c:v>
                </c:pt>
                <c:pt idx="1027">
                  <c:v>-4.2609203408324747E-3</c:v>
                </c:pt>
                <c:pt idx="1028">
                  <c:v>-4.2440807741414011E-3</c:v>
                </c:pt>
                <c:pt idx="1029">
                  <c:v>-4.2270425715378313E-3</c:v>
                </c:pt>
                <c:pt idx="1030">
                  <c:v>-4.2153439750516331E-3</c:v>
                </c:pt>
                <c:pt idx="1031">
                  <c:v>-4.200871470185108E-3</c:v>
                </c:pt>
                <c:pt idx="1032">
                  <c:v>-4.1881400272628655E-3</c:v>
                </c:pt>
                <c:pt idx="1033">
                  <c:v>-4.1849182109725547E-3</c:v>
                </c:pt>
                <c:pt idx="1034">
                  <c:v>-4.1611798071153894E-3</c:v>
                </c:pt>
                <c:pt idx="1035">
                  <c:v>-4.106331120669271E-3</c:v>
                </c:pt>
                <c:pt idx="1036">
                  <c:v>-4.0926641392294849E-3</c:v>
                </c:pt>
                <c:pt idx="1037">
                  <c:v>-4.0742661549605375E-3</c:v>
                </c:pt>
                <c:pt idx="1038">
                  <c:v>-4.0581694172521221E-3</c:v>
                </c:pt>
                <c:pt idx="1039">
                  <c:v>-4.0433387111084018E-3</c:v>
                </c:pt>
                <c:pt idx="1040">
                  <c:v>-4.0317629642384611E-3</c:v>
                </c:pt>
                <c:pt idx="1041">
                  <c:v>-4.0003657342978505E-3</c:v>
                </c:pt>
                <c:pt idx="1042">
                  <c:v>-3.9890256346685193E-3</c:v>
                </c:pt>
                <c:pt idx="1043">
                  <c:v>-3.9873439839465119E-3</c:v>
                </c:pt>
                <c:pt idx="1044">
                  <c:v>-3.9798953901334366E-3</c:v>
                </c:pt>
                <c:pt idx="1045">
                  <c:v>-3.9790155368915059E-3</c:v>
                </c:pt>
                <c:pt idx="1046">
                  <c:v>-3.9748029255664008E-3</c:v>
                </c:pt>
                <c:pt idx="1047">
                  <c:v>-3.9516119548251849E-3</c:v>
                </c:pt>
                <c:pt idx="1048">
                  <c:v>-3.9499973919180364E-3</c:v>
                </c:pt>
                <c:pt idx="1049">
                  <c:v>-3.9477126701668031E-3</c:v>
                </c:pt>
                <c:pt idx="1050">
                  <c:v>-3.9087256293318662E-3</c:v>
                </c:pt>
                <c:pt idx="1051">
                  <c:v>-3.9068701464972655E-3</c:v>
                </c:pt>
                <c:pt idx="1052">
                  <c:v>-3.9036321157770448E-3</c:v>
                </c:pt>
                <c:pt idx="1053">
                  <c:v>-3.8972107944988954E-3</c:v>
                </c:pt>
                <c:pt idx="1054">
                  <c:v>-3.8924504291211193E-3</c:v>
                </c:pt>
                <c:pt idx="1055">
                  <c:v>-3.8851940731838841E-3</c:v>
                </c:pt>
                <c:pt idx="1056">
                  <c:v>-3.8805646296531382E-3</c:v>
                </c:pt>
                <c:pt idx="1057">
                  <c:v>-3.8784075398073936E-3</c:v>
                </c:pt>
                <c:pt idx="1058">
                  <c:v>-3.8767694722198209E-3</c:v>
                </c:pt>
                <c:pt idx="1059">
                  <c:v>-3.8709366182875238E-3</c:v>
                </c:pt>
                <c:pt idx="1060">
                  <c:v>-3.865657167561265E-3</c:v>
                </c:pt>
                <c:pt idx="1061">
                  <c:v>-3.8528753997503218E-3</c:v>
                </c:pt>
                <c:pt idx="1062">
                  <c:v>-3.8433991665332012E-3</c:v>
                </c:pt>
                <c:pt idx="1063">
                  <c:v>-3.839402800000502E-3</c:v>
                </c:pt>
                <c:pt idx="1064">
                  <c:v>-3.8267182490315799E-3</c:v>
                </c:pt>
                <c:pt idx="1065">
                  <c:v>-3.8183381018287443E-3</c:v>
                </c:pt>
                <c:pt idx="1066">
                  <c:v>-3.8109750761641248E-3</c:v>
                </c:pt>
                <c:pt idx="1067">
                  <c:v>-3.7930964534733658E-3</c:v>
                </c:pt>
                <c:pt idx="1068">
                  <c:v>-3.790405237849348E-3</c:v>
                </c:pt>
                <c:pt idx="1069">
                  <c:v>-3.7826264660764108E-3</c:v>
                </c:pt>
                <c:pt idx="1070">
                  <c:v>-3.770694524134699E-3</c:v>
                </c:pt>
                <c:pt idx="1071">
                  <c:v>-3.7664685374356743E-3</c:v>
                </c:pt>
                <c:pt idx="1072">
                  <c:v>-3.7449824186901459E-3</c:v>
                </c:pt>
                <c:pt idx="1073">
                  <c:v>-3.7112600310432731E-3</c:v>
                </c:pt>
                <c:pt idx="1074">
                  <c:v>-3.7019380381508871E-3</c:v>
                </c:pt>
                <c:pt idx="1075">
                  <c:v>-3.6993888371837924E-3</c:v>
                </c:pt>
                <c:pt idx="1076">
                  <c:v>-3.6868163098670026E-3</c:v>
                </c:pt>
                <c:pt idx="1077">
                  <c:v>-3.6761095060667826E-3</c:v>
                </c:pt>
                <c:pt idx="1078">
                  <c:v>-3.6640730916508435E-3</c:v>
                </c:pt>
                <c:pt idx="1079">
                  <c:v>-3.6502428819374932E-3</c:v>
                </c:pt>
                <c:pt idx="1080">
                  <c:v>-3.647497623400775E-3</c:v>
                </c:pt>
                <c:pt idx="1081">
                  <c:v>-3.6474572652209769E-3</c:v>
                </c:pt>
                <c:pt idx="1082">
                  <c:v>-3.6435734692723543E-3</c:v>
                </c:pt>
                <c:pt idx="1083">
                  <c:v>-3.6435024342555966E-3</c:v>
                </c:pt>
                <c:pt idx="1084">
                  <c:v>-3.6143979656092506E-3</c:v>
                </c:pt>
                <c:pt idx="1085">
                  <c:v>-3.6119871638624623E-3</c:v>
                </c:pt>
                <c:pt idx="1086">
                  <c:v>-3.6029825383493419E-3</c:v>
                </c:pt>
                <c:pt idx="1087">
                  <c:v>-3.6009770300075017E-3</c:v>
                </c:pt>
                <c:pt idx="1088">
                  <c:v>-3.5905911201437046E-3</c:v>
                </c:pt>
                <c:pt idx="1089">
                  <c:v>-3.5639908503994899E-3</c:v>
                </c:pt>
                <c:pt idx="1090">
                  <c:v>-3.5580115608876417E-3</c:v>
                </c:pt>
                <c:pt idx="1091">
                  <c:v>-3.5474442259672001E-3</c:v>
                </c:pt>
                <c:pt idx="1092">
                  <c:v>-3.5449015873759704E-3</c:v>
                </c:pt>
                <c:pt idx="1093">
                  <c:v>-3.5418351624429967E-3</c:v>
                </c:pt>
                <c:pt idx="1094">
                  <c:v>-3.5128116756144578E-3</c:v>
                </c:pt>
                <c:pt idx="1095">
                  <c:v>-3.5043412438132693E-3</c:v>
                </c:pt>
                <c:pt idx="1096">
                  <c:v>-3.5036468967718504E-3</c:v>
                </c:pt>
                <c:pt idx="1097">
                  <c:v>-3.4831771878971463E-3</c:v>
                </c:pt>
                <c:pt idx="1098">
                  <c:v>-3.4280440672395107E-3</c:v>
                </c:pt>
                <c:pt idx="1099">
                  <c:v>-3.42168957456912E-3</c:v>
                </c:pt>
                <c:pt idx="1100">
                  <c:v>-3.4175252183903382E-3</c:v>
                </c:pt>
                <c:pt idx="1101">
                  <c:v>-3.3879985743828778E-3</c:v>
                </c:pt>
                <c:pt idx="1102">
                  <c:v>-3.3860019786505768E-3</c:v>
                </c:pt>
                <c:pt idx="1103">
                  <c:v>-3.3659290381612417E-3</c:v>
                </c:pt>
                <c:pt idx="1104">
                  <c:v>-3.3627177392888674E-3</c:v>
                </c:pt>
                <c:pt idx="1105">
                  <c:v>-3.3611689834314173E-3</c:v>
                </c:pt>
                <c:pt idx="1106">
                  <c:v>-3.3605986143249167E-3</c:v>
                </c:pt>
                <c:pt idx="1107">
                  <c:v>-3.331835101212155E-3</c:v>
                </c:pt>
                <c:pt idx="1108">
                  <c:v>-3.3269652003869998E-3</c:v>
                </c:pt>
                <c:pt idx="1109">
                  <c:v>-3.3073830653715941E-3</c:v>
                </c:pt>
                <c:pt idx="1110">
                  <c:v>-3.2998757199248496E-3</c:v>
                </c:pt>
                <c:pt idx="1111">
                  <c:v>-3.2908207618408403E-3</c:v>
                </c:pt>
                <c:pt idx="1112">
                  <c:v>-3.2245474683881836E-3</c:v>
                </c:pt>
                <c:pt idx="1113">
                  <c:v>-3.2000975507109342E-3</c:v>
                </c:pt>
                <c:pt idx="1114">
                  <c:v>-3.1874207856902315E-3</c:v>
                </c:pt>
                <c:pt idx="1115">
                  <c:v>-3.1829872002818727E-3</c:v>
                </c:pt>
                <c:pt idx="1116">
                  <c:v>-3.1824248644501951E-3</c:v>
                </c:pt>
                <c:pt idx="1117">
                  <c:v>-3.1743536947934636E-3</c:v>
                </c:pt>
                <c:pt idx="1118">
                  <c:v>-3.1430323008564409E-3</c:v>
                </c:pt>
                <c:pt idx="1119">
                  <c:v>-3.1347547253997021E-3</c:v>
                </c:pt>
                <c:pt idx="1120">
                  <c:v>-3.1326391206945026E-3</c:v>
                </c:pt>
                <c:pt idx="1121">
                  <c:v>-3.1251817963507955E-3</c:v>
                </c:pt>
                <c:pt idx="1122">
                  <c:v>-3.110284923849016E-3</c:v>
                </c:pt>
                <c:pt idx="1123">
                  <c:v>-3.1018839540700727E-3</c:v>
                </c:pt>
                <c:pt idx="1124">
                  <c:v>-3.0986061403610599E-3</c:v>
                </c:pt>
                <c:pt idx="1125">
                  <c:v>-3.092929986306836E-3</c:v>
                </c:pt>
                <c:pt idx="1126">
                  <c:v>-3.0920728537613407E-3</c:v>
                </c:pt>
                <c:pt idx="1127">
                  <c:v>-3.086887081773293E-3</c:v>
                </c:pt>
                <c:pt idx="1128">
                  <c:v>-3.0860245502425387E-3</c:v>
                </c:pt>
                <c:pt idx="1129">
                  <c:v>-3.0783145271754409E-3</c:v>
                </c:pt>
                <c:pt idx="1130">
                  <c:v>-3.0673807553934784E-3</c:v>
                </c:pt>
                <c:pt idx="1131">
                  <c:v>-3.0597489392015786E-3</c:v>
                </c:pt>
                <c:pt idx="1132">
                  <c:v>-3.0506664181132459E-3</c:v>
                </c:pt>
                <c:pt idx="1133">
                  <c:v>-3.0355209103430925E-3</c:v>
                </c:pt>
                <c:pt idx="1134">
                  <c:v>-3.0328163744627323E-3</c:v>
                </c:pt>
                <c:pt idx="1135">
                  <c:v>-2.97861612557071E-3</c:v>
                </c:pt>
                <c:pt idx="1136">
                  <c:v>-2.96413881968427E-3</c:v>
                </c:pt>
                <c:pt idx="1137">
                  <c:v>-2.9581376873161203E-3</c:v>
                </c:pt>
                <c:pt idx="1138">
                  <c:v>-2.9529998345463326E-3</c:v>
                </c:pt>
                <c:pt idx="1139">
                  <c:v>-2.9165526972688705E-3</c:v>
                </c:pt>
                <c:pt idx="1140">
                  <c:v>-2.9101159249236286E-3</c:v>
                </c:pt>
                <c:pt idx="1141">
                  <c:v>-2.8830400775139431E-3</c:v>
                </c:pt>
                <c:pt idx="1142">
                  <c:v>-2.8711579460990455E-3</c:v>
                </c:pt>
                <c:pt idx="1143">
                  <c:v>-2.8646093691840901E-3</c:v>
                </c:pt>
                <c:pt idx="1144">
                  <c:v>-2.8613716882156526E-3</c:v>
                </c:pt>
                <c:pt idx="1145">
                  <c:v>-2.8529585981932337E-3</c:v>
                </c:pt>
                <c:pt idx="1146">
                  <c:v>-2.8301054248726087E-3</c:v>
                </c:pt>
                <c:pt idx="1147">
                  <c:v>-2.8231340773484659E-3</c:v>
                </c:pt>
                <c:pt idx="1148">
                  <c:v>-2.8186698914075548E-3</c:v>
                </c:pt>
                <c:pt idx="1149">
                  <c:v>-2.8094929388341461E-3</c:v>
                </c:pt>
                <c:pt idx="1150">
                  <c:v>-2.7768828534012746E-3</c:v>
                </c:pt>
                <c:pt idx="1151">
                  <c:v>-2.768787381659088E-3</c:v>
                </c:pt>
                <c:pt idx="1152">
                  <c:v>-2.7581430491538939E-3</c:v>
                </c:pt>
                <c:pt idx="1153">
                  <c:v>-2.7568471417451779E-3</c:v>
                </c:pt>
                <c:pt idx="1154">
                  <c:v>-2.7146837454637973E-3</c:v>
                </c:pt>
                <c:pt idx="1155">
                  <c:v>-2.7121535581198231E-3</c:v>
                </c:pt>
                <c:pt idx="1156">
                  <c:v>-2.711315199868336E-3</c:v>
                </c:pt>
                <c:pt idx="1157">
                  <c:v>-2.6931700125630842E-3</c:v>
                </c:pt>
                <c:pt idx="1158">
                  <c:v>-2.6873730630789794E-3</c:v>
                </c:pt>
                <c:pt idx="1159">
                  <c:v>-2.6868674317728214E-3</c:v>
                </c:pt>
                <c:pt idx="1160">
                  <c:v>-2.672398382647434E-3</c:v>
                </c:pt>
                <c:pt idx="1161">
                  <c:v>-2.6603879804701913E-3</c:v>
                </c:pt>
                <c:pt idx="1162">
                  <c:v>-2.6487221011463058E-3</c:v>
                </c:pt>
                <c:pt idx="1163">
                  <c:v>-2.6358473512410052E-3</c:v>
                </c:pt>
                <c:pt idx="1164">
                  <c:v>-2.6341337213446891E-3</c:v>
                </c:pt>
                <c:pt idx="1165">
                  <c:v>-2.6329355769060259E-3</c:v>
                </c:pt>
                <c:pt idx="1166">
                  <c:v>-2.6312618468442572E-3</c:v>
                </c:pt>
                <c:pt idx="1167">
                  <c:v>-2.6159291417334751E-3</c:v>
                </c:pt>
                <c:pt idx="1168">
                  <c:v>-2.6127212126264565E-3</c:v>
                </c:pt>
                <c:pt idx="1169">
                  <c:v>-2.6086293883524903E-3</c:v>
                </c:pt>
                <c:pt idx="1170">
                  <c:v>-2.6082631282052793E-3</c:v>
                </c:pt>
                <c:pt idx="1171">
                  <c:v>-2.5897178402800591E-3</c:v>
                </c:pt>
                <c:pt idx="1172">
                  <c:v>-2.586617986497175E-3</c:v>
                </c:pt>
                <c:pt idx="1173">
                  <c:v>-2.5750570609235357E-3</c:v>
                </c:pt>
                <c:pt idx="1174">
                  <c:v>-2.5697140990573741E-3</c:v>
                </c:pt>
                <c:pt idx="1175">
                  <c:v>-2.5650410893970355E-3</c:v>
                </c:pt>
                <c:pt idx="1176">
                  <c:v>-2.5291105542301073E-3</c:v>
                </c:pt>
                <c:pt idx="1177">
                  <c:v>-2.5270219220613344E-3</c:v>
                </c:pt>
                <c:pt idx="1178">
                  <c:v>-2.5229219932502156E-3</c:v>
                </c:pt>
                <c:pt idx="1179">
                  <c:v>-2.5227417493315363E-3</c:v>
                </c:pt>
                <c:pt idx="1180">
                  <c:v>-2.5216041172397841E-3</c:v>
                </c:pt>
                <c:pt idx="1181">
                  <c:v>-2.5192091657226801E-3</c:v>
                </c:pt>
                <c:pt idx="1182">
                  <c:v>-2.5158794456813238E-3</c:v>
                </c:pt>
                <c:pt idx="1183">
                  <c:v>-2.4604700095153254E-3</c:v>
                </c:pt>
                <c:pt idx="1184">
                  <c:v>-2.4595783879952648E-3</c:v>
                </c:pt>
                <c:pt idx="1185">
                  <c:v>-2.4283400469581329E-3</c:v>
                </c:pt>
                <c:pt idx="1186">
                  <c:v>-2.4199385975097742E-3</c:v>
                </c:pt>
                <c:pt idx="1187">
                  <c:v>-2.4067725511695004E-3</c:v>
                </c:pt>
                <c:pt idx="1188">
                  <c:v>-2.4040133560176979E-3</c:v>
                </c:pt>
                <c:pt idx="1189">
                  <c:v>-2.3993026969799658E-3</c:v>
                </c:pt>
                <c:pt idx="1190">
                  <c:v>-2.3866034142774328E-3</c:v>
                </c:pt>
                <c:pt idx="1191">
                  <c:v>-2.3822621696140134E-3</c:v>
                </c:pt>
                <c:pt idx="1192">
                  <c:v>-2.3675728043287547E-3</c:v>
                </c:pt>
                <c:pt idx="1193">
                  <c:v>-2.3665750088407433E-3</c:v>
                </c:pt>
                <c:pt idx="1194">
                  <c:v>-2.3554056446974947E-3</c:v>
                </c:pt>
                <c:pt idx="1195">
                  <c:v>-2.3553438799056581E-3</c:v>
                </c:pt>
                <c:pt idx="1196">
                  <c:v>-2.3513672505269811E-3</c:v>
                </c:pt>
                <c:pt idx="1197">
                  <c:v>-2.349016624274336E-3</c:v>
                </c:pt>
                <c:pt idx="1198">
                  <c:v>-2.3422527667783521E-3</c:v>
                </c:pt>
                <c:pt idx="1199">
                  <c:v>-2.3403494042786299E-3</c:v>
                </c:pt>
                <c:pt idx="1200">
                  <c:v>-2.3346980122133099E-3</c:v>
                </c:pt>
                <c:pt idx="1201">
                  <c:v>-2.3217262162991137E-3</c:v>
                </c:pt>
                <c:pt idx="1202">
                  <c:v>-2.3131854201533519E-3</c:v>
                </c:pt>
                <c:pt idx="1203">
                  <c:v>-2.3057159776357361E-3</c:v>
                </c:pt>
                <c:pt idx="1204">
                  <c:v>-2.2957811580005538E-3</c:v>
                </c:pt>
                <c:pt idx="1205">
                  <c:v>-2.292100595436164E-3</c:v>
                </c:pt>
                <c:pt idx="1206">
                  <c:v>-2.2913043038608194E-3</c:v>
                </c:pt>
                <c:pt idx="1207">
                  <c:v>-2.2835884692290476E-3</c:v>
                </c:pt>
                <c:pt idx="1208">
                  <c:v>-2.2682457162054304E-3</c:v>
                </c:pt>
                <c:pt idx="1209">
                  <c:v>-2.2551420990747362E-3</c:v>
                </c:pt>
                <c:pt idx="1210">
                  <c:v>-2.2544625827318754E-3</c:v>
                </c:pt>
                <c:pt idx="1211">
                  <c:v>-2.2528319216085224E-3</c:v>
                </c:pt>
                <c:pt idx="1212">
                  <c:v>-2.2452134373734944E-3</c:v>
                </c:pt>
                <c:pt idx="1213">
                  <c:v>-2.2391437500699496E-3</c:v>
                </c:pt>
                <c:pt idx="1214">
                  <c:v>-2.2308443634737607E-3</c:v>
                </c:pt>
                <c:pt idx="1215">
                  <c:v>-2.2261227657484062E-3</c:v>
                </c:pt>
                <c:pt idx="1216">
                  <c:v>-2.2100791298991229E-3</c:v>
                </c:pt>
                <c:pt idx="1217">
                  <c:v>-2.1934303529701493E-3</c:v>
                </c:pt>
                <c:pt idx="1218">
                  <c:v>-2.1855297778444749E-3</c:v>
                </c:pt>
                <c:pt idx="1219">
                  <c:v>-2.1688108090147651E-3</c:v>
                </c:pt>
                <c:pt idx="1220">
                  <c:v>-2.1612025851969197E-3</c:v>
                </c:pt>
                <c:pt idx="1221">
                  <c:v>-2.1516986537205574E-3</c:v>
                </c:pt>
                <c:pt idx="1222">
                  <c:v>-2.1449016642152152E-3</c:v>
                </c:pt>
                <c:pt idx="1223">
                  <c:v>-2.1401783258326867E-3</c:v>
                </c:pt>
                <c:pt idx="1224">
                  <c:v>-2.1244551686836477E-3</c:v>
                </c:pt>
                <c:pt idx="1225">
                  <c:v>-2.1106681530672633E-3</c:v>
                </c:pt>
                <c:pt idx="1226">
                  <c:v>-2.1076230984321542E-3</c:v>
                </c:pt>
                <c:pt idx="1227">
                  <c:v>-2.1025515869810274E-3</c:v>
                </c:pt>
                <c:pt idx="1228">
                  <c:v>-2.0999333782666385E-3</c:v>
                </c:pt>
                <c:pt idx="1229">
                  <c:v>-2.0687017665377283E-3</c:v>
                </c:pt>
                <c:pt idx="1230">
                  <c:v>-2.0578619459044045E-3</c:v>
                </c:pt>
                <c:pt idx="1231">
                  <c:v>-2.0497467506538358E-3</c:v>
                </c:pt>
                <c:pt idx="1232">
                  <c:v>-2.0342255284166999E-3</c:v>
                </c:pt>
                <c:pt idx="1233">
                  <c:v>-2.0279844234943889E-3</c:v>
                </c:pt>
                <c:pt idx="1234">
                  <c:v>-2.0212410687331372E-3</c:v>
                </c:pt>
                <c:pt idx="1235">
                  <c:v>-2.0158878347938947E-3</c:v>
                </c:pt>
                <c:pt idx="1236">
                  <c:v>-2.0155727212805008E-3</c:v>
                </c:pt>
                <c:pt idx="1237">
                  <c:v>-2.0115046830848637E-3</c:v>
                </c:pt>
                <c:pt idx="1238">
                  <c:v>-2.0085899971626908E-3</c:v>
                </c:pt>
                <c:pt idx="1239">
                  <c:v>-2.0084638972261981E-3</c:v>
                </c:pt>
                <c:pt idx="1240">
                  <c:v>-2.0025960906657758E-3</c:v>
                </c:pt>
                <c:pt idx="1241">
                  <c:v>-1.9916841227749504E-3</c:v>
                </c:pt>
                <c:pt idx="1242">
                  <c:v>-1.9786244678402509E-3</c:v>
                </c:pt>
                <c:pt idx="1243">
                  <c:v>-1.9753201288350564E-3</c:v>
                </c:pt>
                <c:pt idx="1244">
                  <c:v>-1.9724085857717455E-3</c:v>
                </c:pt>
                <c:pt idx="1245">
                  <c:v>-1.9674724925365927E-3</c:v>
                </c:pt>
                <c:pt idx="1246">
                  <c:v>-1.9509984891946663E-3</c:v>
                </c:pt>
                <c:pt idx="1247">
                  <c:v>-1.9300642111348409E-3</c:v>
                </c:pt>
                <c:pt idx="1248">
                  <c:v>-1.9185669487086221E-3</c:v>
                </c:pt>
                <c:pt idx="1249">
                  <c:v>-1.903407872959173E-3</c:v>
                </c:pt>
                <c:pt idx="1250">
                  <c:v>-1.8921988525961719E-3</c:v>
                </c:pt>
                <c:pt idx="1251">
                  <c:v>-1.8871150707036044E-3</c:v>
                </c:pt>
                <c:pt idx="1252">
                  <c:v>-1.8820638341427998E-3</c:v>
                </c:pt>
                <c:pt idx="1253">
                  <c:v>-1.8757910261489874E-3</c:v>
                </c:pt>
                <c:pt idx="1254">
                  <c:v>-1.8647058496104041E-3</c:v>
                </c:pt>
                <c:pt idx="1255">
                  <c:v>-1.8545705438719473E-3</c:v>
                </c:pt>
                <c:pt idx="1256">
                  <c:v>-1.8527540056683112E-3</c:v>
                </c:pt>
                <c:pt idx="1257">
                  <c:v>-1.8512562752048822E-3</c:v>
                </c:pt>
                <c:pt idx="1258">
                  <c:v>-1.8498028068492101E-3</c:v>
                </c:pt>
                <c:pt idx="1259">
                  <c:v>-1.8421671388996197E-3</c:v>
                </c:pt>
                <c:pt idx="1260">
                  <c:v>-1.8420173590868449E-3</c:v>
                </c:pt>
                <c:pt idx="1261">
                  <c:v>-1.819461276421408E-3</c:v>
                </c:pt>
                <c:pt idx="1262">
                  <c:v>-1.7922839443000882E-3</c:v>
                </c:pt>
                <c:pt idx="1263">
                  <c:v>-1.7885963631473212E-3</c:v>
                </c:pt>
                <c:pt idx="1264">
                  <c:v>-1.7874966584814356E-3</c:v>
                </c:pt>
                <c:pt idx="1265">
                  <c:v>-1.770628316648537E-3</c:v>
                </c:pt>
                <c:pt idx="1266">
                  <c:v>-1.7644928307183338E-3</c:v>
                </c:pt>
                <c:pt idx="1267">
                  <c:v>-1.763676907702294E-3</c:v>
                </c:pt>
                <c:pt idx="1268">
                  <c:v>-1.7611434686596317E-3</c:v>
                </c:pt>
                <c:pt idx="1269">
                  <c:v>-1.7609108829212961E-3</c:v>
                </c:pt>
                <c:pt idx="1270">
                  <c:v>-1.7560197959715085E-3</c:v>
                </c:pt>
                <c:pt idx="1271">
                  <c:v>-1.7499599477568406E-3</c:v>
                </c:pt>
                <c:pt idx="1272">
                  <c:v>-1.7495316255230486E-3</c:v>
                </c:pt>
                <c:pt idx="1273">
                  <c:v>-1.7435806047383373E-3</c:v>
                </c:pt>
                <c:pt idx="1274">
                  <c:v>-1.736960177702862E-3</c:v>
                </c:pt>
                <c:pt idx="1275">
                  <c:v>-1.7349841165709146E-3</c:v>
                </c:pt>
                <c:pt idx="1276">
                  <c:v>-1.7223409550015667E-3</c:v>
                </c:pt>
                <c:pt idx="1277">
                  <c:v>-1.6986753515803032E-3</c:v>
                </c:pt>
                <c:pt idx="1278">
                  <c:v>-1.6909906406820108E-3</c:v>
                </c:pt>
                <c:pt idx="1279">
                  <c:v>-1.6898641855237484E-3</c:v>
                </c:pt>
                <c:pt idx="1280">
                  <c:v>-1.6846586288823406E-3</c:v>
                </c:pt>
                <c:pt idx="1281">
                  <c:v>-1.6790122229867199E-3</c:v>
                </c:pt>
                <c:pt idx="1282">
                  <c:v>-1.6503643157483872E-3</c:v>
                </c:pt>
                <c:pt idx="1283">
                  <c:v>-1.6476380331059692E-3</c:v>
                </c:pt>
                <c:pt idx="1284">
                  <c:v>-1.6410280850165382E-3</c:v>
                </c:pt>
                <c:pt idx="1285">
                  <c:v>-1.6401027133641222E-3</c:v>
                </c:pt>
                <c:pt idx="1286">
                  <c:v>-1.6049328244573946E-3</c:v>
                </c:pt>
                <c:pt idx="1287">
                  <c:v>-1.6036203218326994E-3</c:v>
                </c:pt>
                <c:pt idx="1288">
                  <c:v>-1.5952838472422792E-3</c:v>
                </c:pt>
                <c:pt idx="1289">
                  <c:v>-1.5847532245177876E-3</c:v>
                </c:pt>
                <c:pt idx="1290">
                  <c:v>-1.5821890251604964E-3</c:v>
                </c:pt>
                <c:pt idx="1291">
                  <c:v>-1.5781615738088561E-3</c:v>
                </c:pt>
                <c:pt idx="1292">
                  <c:v>-1.574760046467949E-3</c:v>
                </c:pt>
                <c:pt idx="1293">
                  <c:v>-1.5536318607637378E-3</c:v>
                </c:pt>
                <c:pt idx="1294">
                  <c:v>-1.5530665248892905E-3</c:v>
                </c:pt>
                <c:pt idx="1295">
                  <c:v>-1.547720151993226E-3</c:v>
                </c:pt>
                <c:pt idx="1296">
                  <c:v>-1.5426966352561911E-3</c:v>
                </c:pt>
                <c:pt idx="1297">
                  <c:v>-1.5254812388594274E-3</c:v>
                </c:pt>
                <c:pt idx="1298">
                  <c:v>-1.5223276275038167E-3</c:v>
                </c:pt>
                <c:pt idx="1299">
                  <c:v>-1.5198151347474154E-3</c:v>
                </c:pt>
                <c:pt idx="1300">
                  <c:v>-1.5144472256043429E-3</c:v>
                </c:pt>
                <c:pt idx="1301">
                  <c:v>-1.5063165468076622E-3</c:v>
                </c:pt>
                <c:pt idx="1302">
                  <c:v>-1.491859776732829E-3</c:v>
                </c:pt>
                <c:pt idx="1303">
                  <c:v>-1.4886243941933941E-3</c:v>
                </c:pt>
                <c:pt idx="1304">
                  <c:v>-1.4881781780964332E-3</c:v>
                </c:pt>
                <c:pt idx="1305">
                  <c:v>-1.4878739891021064E-3</c:v>
                </c:pt>
                <c:pt idx="1306">
                  <c:v>-1.4672145407631509E-3</c:v>
                </c:pt>
                <c:pt idx="1307">
                  <c:v>-1.4540216111358362E-3</c:v>
                </c:pt>
                <c:pt idx="1308">
                  <c:v>-1.4338677218063145E-3</c:v>
                </c:pt>
                <c:pt idx="1309">
                  <c:v>-1.4287775622784382E-3</c:v>
                </c:pt>
                <c:pt idx="1310">
                  <c:v>-1.4187320938796599E-3</c:v>
                </c:pt>
                <c:pt idx="1311">
                  <c:v>-1.4162577382731412E-3</c:v>
                </c:pt>
                <c:pt idx="1312">
                  <c:v>-1.4143183626104117E-3</c:v>
                </c:pt>
                <c:pt idx="1313">
                  <c:v>-1.3986191537289638E-3</c:v>
                </c:pt>
                <c:pt idx="1314">
                  <c:v>-1.3958641328978283E-3</c:v>
                </c:pt>
                <c:pt idx="1315">
                  <c:v>-1.3955508125237381E-3</c:v>
                </c:pt>
                <c:pt idx="1316">
                  <c:v>-1.3908830210276335E-3</c:v>
                </c:pt>
                <c:pt idx="1317">
                  <c:v>-1.3811425298484448E-3</c:v>
                </c:pt>
                <c:pt idx="1318">
                  <c:v>-1.3745835797465134E-3</c:v>
                </c:pt>
                <c:pt idx="1319">
                  <c:v>-1.3708999785800868E-3</c:v>
                </c:pt>
                <c:pt idx="1320">
                  <c:v>-1.3584504184851465E-3</c:v>
                </c:pt>
                <c:pt idx="1321">
                  <c:v>-1.354135252455313E-3</c:v>
                </c:pt>
                <c:pt idx="1322">
                  <c:v>-1.350222245784849E-3</c:v>
                </c:pt>
                <c:pt idx="1323">
                  <c:v>-1.3307378304213691E-3</c:v>
                </c:pt>
                <c:pt idx="1324">
                  <c:v>-1.3261620400706331E-3</c:v>
                </c:pt>
                <c:pt idx="1325">
                  <c:v>-1.3248282875173434E-3</c:v>
                </c:pt>
                <c:pt idx="1326">
                  <c:v>-1.3188334089816456E-3</c:v>
                </c:pt>
                <c:pt idx="1327">
                  <c:v>-1.3070355578674864E-3</c:v>
                </c:pt>
                <c:pt idx="1328">
                  <c:v>-1.2939755658665231E-3</c:v>
                </c:pt>
                <c:pt idx="1329">
                  <c:v>-1.2874464645686867E-3</c:v>
                </c:pt>
                <c:pt idx="1330">
                  <c:v>-1.2865038637580595E-3</c:v>
                </c:pt>
                <c:pt idx="1331">
                  <c:v>-1.2689221638864101E-3</c:v>
                </c:pt>
                <c:pt idx="1332">
                  <c:v>-1.2621859689005976E-3</c:v>
                </c:pt>
                <c:pt idx="1333">
                  <c:v>-1.257477929075046E-3</c:v>
                </c:pt>
                <c:pt idx="1334">
                  <c:v>-1.2507766584410884E-3</c:v>
                </c:pt>
                <c:pt idx="1335">
                  <c:v>-1.2478275926192106E-3</c:v>
                </c:pt>
                <c:pt idx="1336">
                  <c:v>-1.2472645014980355E-3</c:v>
                </c:pt>
                <c:pt idx="1337">
                  <c:v>-1.2460289234749178E-3</c:v>
                </c:pt>
                <c:pt idx="1338">
                  <c:v>-1.2406856469836525E-3</c:v>
                </c:pt>
                <c:pt idx="1339">
                  <c:v>-1.2398258492237746E-3</c:v>
                </c:pt>
                <c:pt idx="1340">
                  <c:v>-1.2354038534632128E-3</c:v>
                </c:pt>
                <c:pt idx="1341">
                  <c:v>-1.2232771285117794E-3</c:v>
                </c:pt>
                <c:pt idx="1342">
                  <c:v>-1.2213860266711007E-3</c:v>
                </c:pt>
                <c:pt idx="1343">
                  <c:v>-1.1968009310193706E-3</c:v>
                </c:pt>
                <c:pt idx="1344">
                  <c:v>-1.1901350929919285E-3</c:v>
                </c:pt>
                <c:pt idx="1345">
                  <c:v>-1.1785205966595713E-3</c:v>
                </c:pt>
                <c:pt idx="1346">
                  <c:v>-1.1684120463099079E-3</c:v>
                </c:pt>
                <c:pt idx="1347">
                  <c:v>-1.166843024120956E-3</c:v>
                </c:pt>
                <c:pt idx="1348">
                  <c:v>-1.1552133077525895E-3</c:v>
                </c:pt>
                <c:pt idx="1349">
                  <c:v>-1.15242174900132E-3</c:v>
                </c:pt>
                <c:pt idx="1350">
                  <c:v>-1.1514647406436485E-3</c:v>
                </c:pt>
                <c:pt idx="1351">
                  <c:v>-1.1477033107412105E-3</c:v>
                </c:pt>
                <c:pt idx="1352">
                  <c:v>-1.1295328756354417E-3</c:v>
                </c:pt>
                <c:pt idx="1353">
                  <c:v>-1.1288577693006063E-3</c:v>
                </c:pt>
                <c:pt idx="1354">
                  <c:v>-1.1244713860020239E-3</c:v>
                </c:pt>
                <c:pt idx="1355">
                  <c:v>-1.1168569233431791E-3</c:v>
                </c:pt>
                <c:pt idx="1356">
                  <c:v>-1.1118223385161441E-3</c:v>
                </c:pt>
                <c:pt idx="1357">
                  <c:v>-1.1115613266727831E-3</c:v>
                </c:pt>
                <c:pt idx="1358">
                  <c:v>-1.1099680972183057E-3</c:v>
                </c:pt>
                <c:pt idx="1359">
                  <c:v>-1.1049046892119829E-3</c:v>
                </c:pt>
                <c:pt idx="1360">
                  <c:v>-1.0701657735713299E-3</c:v>
                </c:pt>
                <c:pt idx="1361">
                  <c:v>-1.0404381595204848E-3</c:v>
                </c:pt>
                <c:pt idx="1362">
                  <c:v>-1.0249747316437574E-3</c:v>
                </c:pt>
                <c:pt idx="1363">
                  <c:v>-1.0008471732716462E-3</c:v>
                </c:pt>
                <c:pt idx="1364">
                  <c:v>-9.9648102758043144E-4</c:v>
                </c:pt>
                <c:pt idx="1365">
                  <c:v>-9.8378088862771662E-4</c:v>
                </c:pt>
                <c:pt idx="1366">
                  <c:v>-9.5926822251946042E-4</c:v>
                </c:pt>
                <c:pt idx="1367">
                  <c:v>-9.5445585181253012E-4</c:v>
                </c:pt>
                <c:pt idx="1368">
                  <c:v>-9.4262795975685876E-4</c:v>
                </c:pt>
                <c:pt idx="1369">
                  <c:v>-9.366306515818934E-4</c:v>
                </c:pt>
                <c:pt idx="1370">
                  <c:v>-9.358542090964761E-4</c:v>
                </c:pt>
                <c:pt idx="1371">
                  <c:v>-9.3386385962368479E-4</c:v>
                </c:pt>
                <c:pt idx="1372">
                  <c:v>-9.3092864924448904E-4</c:v>
                </c:pt>
                <c:pt idx="1373">
                  <c:v>-9.2378761603384429E-4</c:v>
                </c:pt>
                <c:pt idx="1374">
                  <c:v>-9.1367585693979958E-4</c:v>
                </c:pt>
                <c:pt idx="1375">
                  <c:v>-9.0353920988106573E-4</c:v>
                </c:pt>
                <c:pt idx="1376">
                  <c:v>-8.989028978068081E-4</c:v>
                </c:pt>
                <c:pt idx="1377">
                  <c:v>-8.9413266763005428E-4</c:v>
                </c:pt>
                <c:pt idx="1378">
                  <c:v>-8.7021892818861524E-4</c:v>
                </c:pt>
                <c:pt idx="1379">
                  <c:v>-8.6931254785727052E-4</c:v>
                </c:pt>
                <c:pt idx="1380">
                  <c:v>-8.5735021651822674E-4</c:v>
                </c:pt>
                <c:pt idx="1381">
                  <c:v>-8.2311541793989029E-4</c:v>
                </c:pt>
                <c:pt idx="1382">
                  <c:v>-7.9785229596918139E-4</c:v>
                </c:pt>
                <c:pt idx="1383">
                  <c:v>-7.8416826616389823E-4</c:v>
                </c:pt>
                <c:pt idx="1384">
                  <c:v>-7.7296794732961693E-4</c:v>
                </c:pt>
                <c:pt idx="1385">
                  <c:v>-7.6506398333431314E-4</c:v>
                </c:pt>
                <c:pt idx="1386">
                  <c:v>-7.6278736808599312E-4</c:v>
                </c:pt>
                <c:pt idx="1387">
                  <c:v>-7.6098255992873565E-4</c:v>
                </c:pt>
                <c:pt idx="1388">
                  <c:v>-7.4811696388388249E-4</c:v>
                </c:pt>
                <c:pt idx="1389">
                  <c:v>-7.4413649640014956E-4</c:v>
                </c:pt>
                <c:pt idx="1390">
                  <c:v>-7.3447871194642911E-4</c:v>
                </c:pt>
                <c:pt idx="1391">
                  <c:v>-7.2986024079213507E-4</c:v>
                </c:pt>
                <c:pt idx="1392">
                  <c:v>-7.2924335144486374E-4</c:v>
                </c:pt>
                <c:pt idx="1393">
                  <c:v>-7.2789788620331031E-4</c:v>
                </c:pt>
                <c:pt idx="1394">
                  <c:v>-7.19716489910871E-4</c:v>
                </c:pt>
                <c:pt idx="1395">
                  <c:v>-7.010122323646284E-4</c:v>
                </c:pt>
                <c:pt idx="1396">
                  <c:v>-6.9391135509300206E-4</c:v>
                </c:pt>
                <c:pt idx="1397">
                  <c:v>-6.9142312789205462E-4</c:v>
                </c:pt>
                <c:pt idx="1398">
                  <c:v>-6.8889958410289776E-4</c:v>
                </c:pt>
                <c:pt idx="1399">
                  <c:v>-6.8318455092208907E-4</c:v>
                </c:pt>
                <c:pt idx="1400">
                  <c:v>-6.8166317996476433E-4</c:v>
                </c:pt>
                <c:pt idx="1401">
                  <c:v>-6.7914379843880823E-4</c:v>
                </c:pt>
                <c:pt idx="1402">
                  <c:v>-6.3515433564498291E-4</c:v>
                </c:pt>
                <c:pt idx="1403">
                  <c:v>-6.3364940138588288E-4</c:v>
                </c:pt>
                <c:pt idx="1404">
                  <c:v>-6.2807958685717757E-4</c:v>
                </c:pt>
                <c:pt idx="1405">
                  <c:v>-6.2483065088336787E-4</c:v>
                </c:pt>
                <c:pt idx="1406">
                  <c:v>-6.2306051365867976E-4</c:v>
                </c:pt>
                <c:pt idx="1407">
                  <c:v>-6.1949964975349658E-4</c:v>
                </c:pt>
                <c:pt idx="1408">
                  <c:v>-6.0530359592836369E-4</c:v>
                </c:pt>
                <c:pt idx="1409">
                  <c:v>-6.0130696376026194E-4</c:v>
                </c:pt>
                <c:pt idx="1410">
                  <c:v>-5.9603148594233879E-4</c:v>
                </c:pt>
                <c:pt idx="1411">
                  <c:v>-5.8429777524160453E-4</c:v>
                </c:pt>
                <c:pt idx="1412">
                  <c:v>-5.7687230840186565E-4</c:v>
                </c:pt>
                <c:pt idx="1413">
                  <c:v>-5.752353431506263E-4</c:v>
                </c:pt>
                <c:pt idx="1414">
                  <c:v>-5.7381503299724912E-4</c:v>
                </c:pt>
                <c:pt idx="1415">
                  <c:v>-5.6685373549048013E-4</c:v>
                </c:pt>
                <c:pt idx="1416">
                  <c:v>-5.6471293873461281E-4</c:v>
                </c:pt>
                <c:pt idx="1417">
                  <c:v>-5.6325662850820191E-4</c:v>
                </c:pt>
                <c:pt idx="1418">
                  <c:v>-5.5753719543349956E-4</c:v>
                </c:pt>
                <c:pt idx="1419">
                  <c:v>-5.2173558874257786E-4</c:v>
                </c:pt>
                <c:pt idx="1420">
                  <c:v>-5.1692089421995213E-4</c:v>
                </c:pt>
                <c:pt idx="1421">
                  <c:v>-5.164915576457707E-4</c:v>
                </c:pt>
                <c:pt idx="1422">
                  <c:v>-4.9078774667066227E-4</c:v>
                </c:pt>
                <c:pt idx="1423">
                  <c:v>-4.8129534745022795E-4</c:v>
                </c:pt>
                <c:pt idx="1424">
                  <c:v>-4.7953536592182378E-4</c:v>
                </c:pt>
                <c:pt idx="1425">
                  <c:v>-4.6657555546614216E-4</c:v>
                </c:pt>
                <c:pt idx="1426">
                  <c:v>-4.6215836677276911E-4</c:v>
                </c:pt>
                <c:pt idx="1427">
                  <c:v>-4.436050625804544E-4</c:v>
                </c:pt>
                <c:pt idx="1428">
                  <c:v>-4.3339517736395994E-4</c:v>
                </c:pt>
                <c:pt idx="1429">
                  <c:v>-4.2235091621523058E-4</c:v>
                </c:pt>
                <c:pt idx="1430">
                  <c:v>-4.1233944835605829E-4</c:v>
                </c:pt>
                <c:pt idx="1431">
                  <c:v>-4.1076616824209378E-4</c:v>
                </c:pt>
                <c:pt idx="1432">
                  <c:v>-4.0898438202396914E-4</c:v>
                </c:pt>
                <c:pt idx="1433">
                  <c:v>-4.0416181719571398E-4</c:v>
                </c:pt>
                <c:pt idx="1434">
                  <c:v>-4.0226471240600858E-4</c:v>
                </c:pt>
                <c:pt idx="1435">
                  <c:v>-3.9537010577905818E-4</c:v>
                </c:pt>
                <c:pt idx="1436">
                  <c:v>-3.9440629980602715E-4</c:v>
                </c:pt>
                <c:pt idx="1437">
                  <c:v>-3.8797035635951271E-4</c:v>
                </c:pt>
                <c:pt idx="1438">
                  <c:v>-3.6778997172159933E-4</c:v>
                </c:pt>
                <c:pt idx="1439">
                  <c:v>-3.6356985590013657E-4</c:v>
                </c:pt>
                <c:pt idx="1440">
                  <c:v>-3.5845450255655997E-4</c:v>
                </c:pt>
                <c:pt idx="1441">
                  <c:v>-3.4964919106783565E-4</c:v>
                </c:pt>
                <c:pt idx="1442">
                  <c:v>-3.2678559301202448E-4</c:v>
                </c:pt>
                <c:pt idx="1443">
                  <c:v>-3.2624313190965371E-4</c:v>
                </c:pt>
                <c:pt idx="1444">
                  <c:v>-3.1908348106735041E-4</c:v>
                </c:pt>
                <c:pt idx="1445">
                  <c:v>-3.1589563344947003E-4</c:v>
                </c:pt>
                <c:pt idx="1446">
                  <c:v>-2.9479205886362436E-4</c:v>
                </c:pt>
                <c:pt idx="1447">
                  <c:v>-2.7247678884889659E-4</c:v>
                </c:pt>
                <c:pt idx="1448">
                  <c:v>-2.6706908924600814E-4</c:v>
                </c:pt>
                <c:pt idx="1449">
                  <c:v>-2.4405444728292647E-4</c:v>
                </c:pt>
                <c:pt idx="1450">
                  <c:v>-2.3358964419928352E-4</c:v>
                </c:pt>
                <c:pt idx="1451">
                  <c:v>-2.2514744906554363E-4</c:v>
                </c:pt>
                <c:pt idx="1452">
                  <c:v>-2.2293090474378996E-4</c:v>
                </c:pt>
                <c:pt idx="1453">
                  <c:v>-2.2072494575775536E-4</c:v>
                </c:pt>
                <c:pt idx="1454">
                  <c:v>-2.1387570437447767E-4</c:v>
                </c:pt>
                <c:pt idx="1455">
                  <c:v>-2.0742719195299131E-4</c:v>
                </c:pt>
                <c:pt idx="1456">
                  <c:v>-2.0683522783448982E-4</c:v>
                </c:pt>
                <c:pt idx="1457">
                  <c:v>-2.0273677025217651E-4</c:v>
                </c:pt>
                <c:pt idx="1458">
                  <c:v>-1.9539874395713142E-4</c:v>
                </c:pt>
                <c:pt idx="1459">
                  <c:v>-1.9048360746865001E-4</c:v>
                </c:pt>
                <c:pt idx="1460">
                  <c:v>-1.9026468220106896E-4</c:v>
                </c:pt>
                <c:pt idx="1461">
                  <c:v>-1.8593875840211549E-4</c:v>
                </c:pt>
                <c:pt idx="1462">
                  <c:v>-1.8102313801371395E-4</c:v>
                </c:pt>
                <c:pt idx="1463">
                  <c:v>-1.7418164929017266E-4</c:v>
                </c:pt>
                <c:pt idx="1464">
                  <c:v>-1.657954330844813E-4</c:v>
                </c:pt>
                <c:pt idx="1465">
                  <c:v>-1.6395181337924836E-4</c:v>
                </c:pt>
                <c:pt idx="1466">
                  <c:v>-1.5479016402097923E-4</c:v>
                </c:pt>
                <c:pt idx="1467">
                  <c:v>-1.4733595972982183E-4</c:v>
                </c:pt>
                <c:pt idx="1468">
                  <c:v>-1.4217622650303241E-4</c:v>
                </c:pt>
                <c:pt idx="1469">
                  <c:v>-1.3533440345692149E-4</c:v>
                </c:pt>
                <c:pt idx="1470">
                  <c:v>-1.3079347855049495E-4</c:v>
                </c:pt>
                <c:pt idx="1471">
                  <c:v>-7.9678733262311674E-5</c:v>
                </c:pt>
                <c:pt idx="1472">
                  <c:v>-7.9554878085974501E-5</c:v>
                </c:pt>
                <c:pt idx="1473">
                  <c:v>-3.3366175080429272E-5</c:v>
                </c:pt>
                <c:pt idx="1474">
                  <c:v>-2.6475161886363452E-5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1.9637792101789842E-5</c:v>
                </c:pt>
                <c:pt idx="1493">
                  <c:v>3.5915303223443829E-5</c:v>
                </c:pt>
                <c:pt idx="1494">
                  <c:v>3.8539157852124362E-5</c:v>
                </c:pt>
                <c:pt idx="1495">
                  <c:v>4.6918231698001023E-5</c:v>
                </c:pt>
                <c:pt idx="1496">
                  <c:v>6.0556567600622557E-5</c:v>
                </c:pt>
                <c:pt idx="1497">
                  <c:v>9.2347446436269465E-5</c:v>
                </c:pt>
                <c:pt idx="1498">
                  <c:v>9.9680439976435053E-5</c:v>
                </c:pt>
                <c:pt idx="1499">
                  <c:v>1.1677939758225619E-4</c:v>
                </c:pt>
                <c:pt idx="1500">
                  <c:v>1.1687092880063865E-4</c:v>
                </c:pt>
                <c:pt idx="1501">
                  <c:v>1.3650671147025228E-4</c:v>
                </c:pt>
                <c:pt idx="1502">
                  <c:v>1.3744974385598852E-4</c:v>
                </c:pt>
                <c:pt idx="1503">
                  <c:v>1.419819205668027E-4</c:v>
                </c:pt>
                <c:pt idx="1504">
                  <c:v>1.44911214969623E-4</c:v>
                </c:pt>
                <c:pt idx="1505">
                  <c:v>1.4575639066571888E-4</c:v>
                </c:pt>
                <c:pt idx="1506">
                  <c:v>1.4935630842760617E-4</c:v>
                </c:pt>
                <c:pt idx="1507">
                  <c:v>1.5721475360686021E-4</c:v>
                </c:pt>
                <c:pt idx="1508">
                  <c:v>1.5845760037502821E-4</c:v>
                </c:pt>
                <c:pt idx="1509">
                  <c:v>1.6878248634188964E-4</c:v>
                </c:pt>
                <c:pt idx="1510">
                  <c:v>1.7362956282318542E-4</c:v>
                </c:pt>
                <c:pt idx="1511">
                  <c:v>1.8080479130189175E-4</c:v>
                </c:pt>
                <c:pt idx="1512">
                  <c:v>1.9543693208823321E-4</c:v>
                </c:pt>
                <c:pt idx="1513">
                  <c:v>2.1376847019038969E-4</c:v>
                </c:pt>
                <c:pt idx="1514">
                  <c:v>2.1864096243318087E-4</c:v>
                </c:pt>
                <c:pt idx="1515">
                  <c:v>2.2311607813541023E-4</c:v>
                </c:pt>
                <c:pt idx="1516">
                  <c:v>2.3439300480099234E-4</c:v>
                </c:pt>
                <c:pt idx="1517">
                  <c:v>2.5389908081030477E-4</c:v>
                </c:pt>
                <c:pt idx="1518">
                  <c:v>2.576750787546267E-4</c:v>
                </c:pt>
                <c:pt idx="1519">
                  <c:v>2.6008287541956499E-4</c:v>
                </c:pt>
                <c:pt idx="1520">
                  <c:v>2.6597766722624705E-4</c:v>
                </c:pt>
                <c:pt idx="1521">
                  <c:v>2.7061096730984779E-4</c:v>
                </c:pt>
                <c:pt idx="1522">
                  <c:v>2.7393096435401887E-4</c:v>
                </c:pt>
                <c:pt idx="1523">
                  <c:v>2.7715378293335924E-4</c:v>
                </c:pt>
                <c:pt idx="1524">
                  <c:v>2.9419161760046997E-4</c:v>
                </c:pt>
                <c:pt idx="1525">
                  <c:v>3.0620018132476723E-4</c:v>
                </c:pt>
                <c:pt idx="1526">
                  <c:v>3.0876621867181875E-4</c:v>
                </c:pt>
                <c:pt idx="1527">
                  <c:v>3.1112751210882195E-4</c:v>
                </c:pt>
                <c:pt idx="1528">
                  <c:v>3.1458033372988581E-4</c:v>
                </c:pt>
                <c:pt idx="1529">
                  <c:v>3.3256196085140743E-4</c:v>
                </c:pt>
                <c:pt idx="1530">
                  <c:v>3.3374979929079451E-4</c:v>
                </c:pt>
                <c:pt idx="1531">
                  <c:v>3.4688608025401635E-4</c:v>
                </c:pt>
                <c:pt idx="1532">
                  <c:v>3.5603760304825371E-4</c:v>
                </c:pt>
                <c:pt idx="1533">
                  <c:v>3.6036101896619321E-4</c:v>
                </c:pt>
                <c:pt idx="1534">
                  <c:v>3.7202246660461569E-4</c:v>
                </c:pt>
                <c:pt idx="1535">
                  <c:v>3.801665857636749E-4</c:v>
                </c:pt>
                <c:pt idx="1536">
                  <c:v>3.9480988992690591E-4</c:v>
                </c:pt>
                <c:pt idx="1537">
                  <c:v>4.0606191221148613E-4</c:v>
                </c:pt>
                <c:pt idx="1538">
                  <c:v>4.1159924740852283E-4</c:v>
                </c:pt>
                <c:pt idx="1539">
                  <c:v>4.1912651077291585E-4</c:v>
                </c:pt>
                <c:pt idx="1540">
                  <c:v>4.2144794543519382E-4</c:v>
                </c:pt>
                <c:pt idx="1541">
                  <c:v>4.3596179775295951E-4</c:v>
                </c:pt>
                <c:pt idx="1542">
                  <c:v>4.4246104300205147E-4</c:v>
                </c:pt>
                <c:pt idx="1543">
                  <c:v>4.4761146358673898E-4</c:v>
                </c:pt>
                <c:pt idx="1544">
                  <c:v>4.5532902471201453E-4</c:v>
                </c:pt>
                <c:pt idx="1545">
                  <c:v>4.5929217675722001E-4</c:v>
                </c:pt>
                <c:pt idx="1546">
                  <c:v>4.7099862243582535E-4</c:v>
                </c:pt>
                <c:pt idx="1547">
                  <c:v>4.736581699293918E-4</c:v>
                </c:pt>
                <c:pt idx="1548">
                  <c:v>4.7543073450539985E-4</c:v>
                </c:pt>
                <c:pt idx="1549">
                  <c:v>4.7999921203878415E-4</c:v>
                </c:pt>
                <c:pt idx="1550">
                  <c:v>4.9856457980701485E-4</c:v>
                </c:pt>
                <c:pt idx="1551">
                  <c:v>5.0205854387908033E-4</c:v>
                </c:pt>
                <c:pt idx="1552">
                  <c:v>5.0853382536719671E-4</c:v>
                </c:pt>
                <c:pt idx="1553">
                  <c:v>5.0985608851705777E-4</c:v>
                </c:pt>
                <c:pt idx="1554">
                  <c:v>5.103886340238617E-4</c:v>
                </c:pt>
                <c:pt idx="1555">
                  <c:v>5.2897288583286795E-4</c:v>
                </c:pt>
                <c:pt idx="1556">
                  <c:v>5.3390669033404059E-4</c:v>
                </c:pt>
                <c:pt idx="1557">
                  <c:v>5.4156751127720781E-4</c:v>
                </c:pt>
                <c:pt idx="1558">
                  <c:v>5.6000330459693437E-4</c:v>
                </c:pt>
                <c:pt idx="1559">
                  <c:v>5.8776578612729224E-4</c:v>
                </c:pt>
                <c:pt idx="1560">
                  <c:v>5.8904892763211869E-4</c:v>
                </c:pt>
                <c:pt idx="1561">
                  <c:v>6.3251700134081545E-4</c:v>
                </c:pt>
                <c:pt idx="1562">
                  <c:v>6.385762216989388E-4</c:v>
                </c:pt>
                <c:pt idx="1563">
                  <c:v>6.4507568243477031E-4</c:v>
                </c:pt>
                <c:pt idx="1564">
                  <c:v>6.4616092815072967E-4</c:v>
                </c:pt>
                <c:pt idx="1565">
                  <c:v>6.5509519470063893E-4</c:v>
                </c:pt>
                <c:pt idx="1566">
                  <c:v>6.7865327317773172E-4</c:v>
                </c:pt>
                <c:pt idx="1567">
                  <c:v>6.8039328260760534E-4</c:v>
                </c:pt>
                <c:pt idx="1568">
                  <c:v>6.8089707719787285E-4</c:v>
                </c:pt>
                <c:pt idx="1569">
                  <c:v>6.8328509316484265E-4</c:v>
                </c:pt>
                <c:pt idx="1570">
                  <c:v>6.8333049533686463E-4</c:v>
                </c:pt>
                <c:pt idx="1571">
                  <c:v>6.8438186734010031E-4</c:v>
                </c:pt>
                <c:pt idx="1572">
                  <c:v>6.9492599534592969E-4</c:v>
                </c:pt>
                <c:pt idx="1573">
                  <c:v>6.9815525072036699E-4</c:v>
                </c:pt>
                <c:pt idx="1574">
                  <c:v>6.9890782011139407E-4</c:v>
                </c:pt>
                <c:pt idx="1575">
                  <c:v>7.1524275339007737E-4</c:v>
                </c:pt>
                <c:pt idx="1576">
                  <c:v>7.1666841114037538E-4</c:v>
                </c:pt>
                <c:pt idx="1577">
                  <c:v>7.3093343934371724E-4</c:v>
                </c:pt>
                <c:pt idx="1578">
                  <c:v>7.3225405789667519E-4</c:v>
                </c:pt>
                <c:pt idx="1579">
                  <c:v>7.3592553239198999E-4</c:v>
                </c:pt>
                <c:pt idx="1580">
                  <c:v>7.4398049826940316E-4</c:v>
                </c:pt>
                <c:pt idx="1581">
                  <c:v>7.6296174048140486E-4</c:v>
                </c:pt>
                <c:pt idx="1582">
                  <c:v>7.8016880749731676E-4</c:v>
                </c:pt>
                <c:pt idx="1583">
                  <c:v>7.853751599651293E-4</c:v>
                </c:pt>
                <c:pt idx="1584">
                  <c:v>7.8634052505477392E-4</c:v>
                </c:pt>
                <c:pt idx="1585">
                  <c:v>8.2723122230587975E-4</c:v>
                </c:pt>
                <c:pt idx="1586">
                  <c:v>8.2734387137328724E-4</c:v>
                </c:pt>
                <c:pt idx="1587">
                  <c:v>8.3281671538726343E-4</c:v>
                </c:pt>
                <c:pt idx="1588">
                  <c:v>8.349442988966338E-4</c:v>
                </c:pt>
                <c:pt idx="1589">
                  <c:v>8.4101263191915798E-4</c:v>
                </c:pt>
                <c:pt idx="1590">
                  <c:v>8.425593984400237E-4</c:v>
                </c:pt>
                <c:pt idx="1591">
                  <c:v>8.4463842728599303E-4</c:v>
                </c:pt>
                <c:pt idx="1592">
                  <c:v>8.4642004430568463E-4</c:v>
                </c:pt>
                <c:pt idx="1593">
                  <c:v>8.6792100300892017E-4</c:v>
                </c:pt>
                <c:pt idx="1594">
                  <c:v>8.6792240375688223E-4</c:v>
                </c:pt>
                <c:pt idx="1595">
                  <c:v>8.9192245605018705E-4</c:v>
                </c:pt>
                <c:pt idx="1596">
                  <c:v>9.039006589823817E-4</c:v>
                </c:pt>
                <c:pt idx="1597">
                  <c:v>9.1163609250077826E-4</c:v>
                </c:pt>
                <c:pt idx="1598">
                  <c:v>9.127725334314718E-4</c:v>
                </c:pt>
                <c:pt idx="1599">
                  <c:v>9.246578432526853E-4</c:v>
                </c:pt>
                <c:pt idx="1600">
                  <c:v>9.333780303071304E-4</c:v>
                </c:pt>
                <c:pt idx="1601">
                  <c:v>9.5292153875314867E-4</c:v>
                </c:pt>
                <c:pt idx="1602">
                  <c:v>9.5430650707273301E-4</c:v>
                </c:pt>
                <c:pt idx="1603">
                  <c:v>9.5832108619187117E-4</c:v>
                </c:pt>
                <c:pt idx="1604">
                  <c:v>9.58990019623851E-4</c:v>
                </c:pt>
                <c:pt idx="1605">
                  <c:v>9.6464001107943176E-4</c:v>
                </c:pt>
                <c:pt idx="1606">
                  <c:v>9.7841204503978929E-4</c:v>
                </c:pt>
                <c:pt idx="1607">
                  <c:v>9.8265961389465417E-4</c:v>
                </c:pt>
                <c:pt idx="1608">
                  <c:v>1.0198492925139746E-3</c:v>
                </c:pt>
                <c:pt idx="1609">
                  <c:v>1.0247028424414939E-3</c:v>
                </c:pt>
                <c:pt idx="1610">
                  <c:v>1.0276247958709295E-3</c:v>
                </c:pt>
                <c:pt idx="1611">
                  <c:v>1.0365584241809334E-3</c:v>
                </c:pt>
                <c:pt idx="1612">
                  <c:v>1.0387428162481616E-3</c:v>
                </c:pt>
                <c:pt idx="1613">
                  <c:v>1.039102345330889E-3</c:v>
                </c:pt>
                <c:pt idx="1614">
                  <c:v>1.0490664357125645E-3</c:v>
                </c:pt>
                <c:pt idx="1615">
                  <c:v>1.0491709393680715E-3</c:v>
                </c:pt>
                <c:pt idx="1616">
                  <c:v>1.0609712048055275E-3</c:v>
                </c:pt>
                <c:pt idx="1617">
                  <c:v>1.0691533971312062E-3</c:v>
                </c:pt>
                <c:pt idx="1618">
                  <c:v>1.0692262889744342E-3</c:v>
                </c:pt>
                <c:pt idx="1619">
                  <c:v>1.0709660495080708E-3</c:v>
                </c:pt>
                <c:pt idx="1620">
                  <c:v>1.0871193638808396E-3</c:v>
                </c:pt>
                <c:pt idx="1621">
                  <c:v>1.0881915395226649E-3</c:v>
                </c:pt>
                <c:pt idx="1622">
                  <c:v>1.1003457480251999E-3</c:v>
                </c:pt>
                <c:pt idx="1623">
                  <c:v>1.1007790523900329E-3</c:v>
                </c:pt>
                <c:pt idx="1624">
                  <c:v>1.1074305531908468E-3</c:v>
                </c:pt>
                <c:pt idx="1625">
                  <c:v>1.1093028811755001E-3</c:v>
                </c:pt>
                <c:pt idx="1626">
                  <c:v>1.1111518260389364E-3</c:v>
                </c:pt>
                <c:pt idx="1627">
                  <c:v>1.114731516279166E-3</c:v>
                </c:pt>
                <c:pt idx="1628">
                  <c:v>1.1429351161764689E-3</c:v>
                </c:pt>
                <c:pt idx="1629">
                  <c:v>1.1484251907301068E-3</c:v>
                </c:pt>
                <c:pt idx="1630">
                  <c:v>1.1542872145982042E-3</c:v>
                </c:pt>
                <c:pt idx="1631">
                  <c:v>1.1569119760705959E-3</c:v>
                </c:pt>
                <c:pt idx="1632">
                  <c:v>1.1614593637194748E-3</c:v>
                </c:pt>
                <c:pt idx="1633">
                  <c:v>1.1649027019016156E-3</c:v>
                </c:pt>
                <c:pt idx="1634">
                  <c:v>1.1676996921892169E-3</c:v>
                </c:pt>
                <c:pt idx="1635">
                  <c:v>1.1787528202309439E-3</c:v>
                </c:pt>
                <c:pt idx="1636">
                  <c:v>1.1874013586761212E-3</c:v>
                </c:pt>
                <c:pt idx="1637">
                  <c:v>1.1881320280553442E-3</c:v>
                </c:pt>
                <c:pt idx="1638">
                  <c:v>1.2027144828605785E-3</c:v>
                </c:pt>
                <c:pt idx="1639">
                  <c:v>1.2061784944303877E-3</c:v>
                </c:pt>
                <c:pt idx="1640">
                  <c:v>1.2427174025393395E-3</c:v>
                </c:pt>
                <c:pt idx="1641">
                  <c:v>1.2503738543301335E-3</c:v>
                </c:pt>
                <c:pt idx="1642">
                  <c:v>1.2518391813833851E-3</c:v>
                </c:pt>
                <c:pt idx="1643">
                  <c:v>1.2539548390186894E-3</c:v>
                </c:pt>
                <c:pt idx="1644">
                  <c:v>1.2546977716512142E-3</c:v>
                </c:pt>
                <c:pt idx="1645">
                  <c:v>1.2564831920129915E-3</c:v>
                </c:pt>
                <c:pt idx="1646">
                  <c:v>1.2693711396742913E-3</c:v>
                </c:pt>
                <c:pt idx="1647">
                  <c:v>1.2751984527592519E-3</c:v>
                </c:pt>
                <c:pt idx="1648">
                  <c:v>1.2779605846120479E-3</c:v>
                </c:pt>
                <c:pt idx="1649">
                  <c:v>1.2790915541400771E-3</c:v>
                </c:pt>
                <c:pt idx="1650">
                  <c:v>1.2856650250294699E-3</c:v>
                </c:pt>
                <c:pt idx="1651">
                  <c:v>1.2917137488717145E-3</c:v>
                </c:pt>
                <c:pt idx="1652">
                  <c:v>1.2931709583134943E-3</c:v>
                </c:pt>
                <c:pt idx="1653">
                  <c:v>1.295771636022236E-3</c:v>
                </c:pt>
                <c:pt idx="1654">
                  <c:v>1.3071589681465934E-3</c:v>
                </c:pt>
                <c:pt idx="1655">
                  <c:v>1.3106217839291556E-3</c:v>
                </c:pt>
                <c:pt idx="1656">
                  <c:v>1.3122145276220909E-3</c:v>
                </c:pt>
                <c:pt idx="1657">
                  <c:v>1.3217264239808735E-3</c:v>
                </c:pt>
                <c:pt idx="1658">
                  <c:v>1.321882610112235E-3</c:v>
                </c:pt>
                <c:pt idx="1659">
                  <c:v>1.3427565032730904E-3</c:v>
                </c:pt>
                <c:pt idx="1660">
                  <c:v>1.3704594303374229E-3</c:v>
                </c:pt>
                <c:pt idx="1661">
                  <c:v>1.3804243798616334E-3</c:v>
                </c:pt>
                <c:pt idx="1662">
                  <c:v>1.388124780059341E-3</c:v>
                </c:pt>
                <c:pt idx="1663">
                  <c:v>1.3892776174126986E-3</c:v>
                </c:pt>
                <c:pt idx="1664">
                  <c:v>1.4035737011477423E-3</c:v>
                </c:pt>
                <c:pt idx="1665">
                  <c:v>1.4158414123763841E-3</c:v>
                </c:pt>
                <c:pt idx="1666">
                  <c:v>1.4194189420850822E-3</c:v>
                </c:pt>
                <c:pt idx="1667">
                  <c:v>1.4283759661823936E-3</c:v>
                </c:pt>
                <c:pt idx="1668">
                  <c:v>1.429663018571059E-3</c:v>
                </c:pt>
                <c:pt idx="1669">
                  <c:v>1.4304944985981116E-3</c:v>
                </c:pt>
                <c:pt idx="1670">
                  <c:v>1.4373811936965186E-3</c:v>
                </c:pt>
                <c:pt idx="1671">
                  <c:v>1.4418135770946083E-3</c:v>
                </c:pt>
                <c:pt idx="1672">
                  <c:v>1.4485257307383925E-3</c:v>
                </c:pt>
                <c:pt idx="1673">
                  <c:v>1.4503609444749266E-3</c:v>
                </c:pt>
                <c:pt idx="1674">
                  <c:v>1.4552101502840475E-3</c:v>
                </c:pt>
                <c:pt idx="1675">
                  <c:v>1.4640755647798986E-3</c:v>
                </c:pt>
                <c:pt idx="1676">
                  <c:v>1.466449609368814E-3</c:v>
                </c:pt>
                <c:pt idx="1677">
                  <c:v>1.4746266833782773E-3</c:v>
                </c:pt>
                <c:pt idx="1678">
                  <c:v>1.4757105500118328E-3</c:v>
                </c:pt>
                <c:pt idx="1679">
                  <c:v>1.482744167212724E-3</c:v>
                </c:pt>
                <c:pt idx="1680">
                  <c:v>1.4838207755631938E-3</c:v>
                </c:pt>
                <c:pt idx="1681">
                  <c:v>1.5082944654147834E-3</c:v>
                </c:pt>
                <c:pt idx="1682">
                  <c:v>1.5260593574510928E-3</c:v>
                </c:pt>
                <c:pt idx="1683">
                  <c:v>1.5314574217988319E-3</c:v>
                </c:pt>
                <c:pt idx="1684">
                  <c:v>1.5495217854037957E-3</c:v>
                </c:pt>
                <c:pt idx="1685">
                  <c:v>1.5643374760019313E-3</c:v>
                </c:pt>
                <c:pt idx="1686">
                  <c:v>1.5774940001840321E-3</c:v>
                </c:pt>
                <c:pt idx="1687">
                  <c:v>1.5856538880691939E-3</c:v>
                </c:pt>
                <c:pt idx="1688">
                  <c:v>1.5913003223060329E-3</c:v>
                </c:pt>
                <c:pt idx="1689">
                  <c:v>1.606276498096415E-3</c:v>
                </c:pt>
                <c:pt idx="1690">
                  <c:v>1.6068515300100561E-3</c:v>
                </c:pt>
                <c:pt idx="1691">
                  <c:v>1.6100891203996159E-3</c:v>
                </c:pt>
                <c:pt idx="1692">
                  <c:v>1.6105034695819143E-3</c:v>
                </c:pt>
                <c:pt idx="1693">
                  <c:v>1.6319223880194578E-3</c:v>
                </c:pt>
                <c:pt idx="1694">
                  <c:v>1.6367848256517714E-3</c:v>
                </c:pt>
                <c:pt idx="1695">
                  <c:v>1.642391548208888E-3</c:v>
                </c:pt>
                <c:pt idx="1696">
                  <c:v>1.6438774744595985E-3</c:v>
                </c:pt>
                <c:pt idx="1697">
                  <c:v>1.6535355860129997E-3</c:v>
                </c:pt>
                <c:pt idx="1698">
                  <c:v>1.6603970178632466E-3</c:v>
                </c:pt>
                <c:pt idx="1699">
                  <c:v>1.6614000692298792E-3</c:v>
                </c:pt>
                <c:pt idx="1700">
                  <c:v>1.6658357240868504E-3</c:v>
                </c:pt>
                <c:pt idx="1701">
                  <c:v>1.6709821221037036E-3</c:v>
                </c:pt>
                <c:pt idx="1702">
                  <c:v>1.6716167224335443E-3</c:v>
                </c:pt>
                <c:pt idx="1703">
                  <c:v>1.6833785981216209E-3</c:v>
                </c:pt>
                <c:pt idx="1704">
                  <c:v>1.693316000152878E-3</c:v>
                </c:pt>
                <c:pt idx="1705">
                  <c:v>1.6955983488224913E-3</c:v>
                </c:pt>
                <c:pt idx="1706">
                  <c:v>1.6987120927214328E-3</c:v>
                </c:pt>
                <c:pt idx="1707">
                  <c:v>1.7039233566611411E-3</c:v>
                </c:pt>
                <c:pt idx="1708">
                  <c:v>1.7109423354382258E-3</c:v>
                </c:pt>
                <c:pt idx="1709">
                  <c:v>1.7254510859430194E-3</c:v>
                </c:pt>
                <c:pt idx="1710">
                  <c:v>1.7351652353407854E-3</c:v>
                </c:pt>
                <c:pt idx="1711">
                  <c:v>1.738714948856801E-3</c:v>
                </c:pt>
                <c:pt idx="1712">
                  <c:v>1.7418817117265117E-3</c:v>
                </c:pt>
                <c:pt idx="1713">
                  <c:v>1.7445611476178957E-3</c:v>
                </c:pt>
                <c:pt idx="1714">
                  <c:v>1.756286171817445E-3</c:v>
                </c:pt>
                <c:pt idx="1715">
                  <c:v>1.7803651978705037E-3</c:v>
                </c:pt>
                <c:pt idx="1716">
                  <c:v>1.7883108138212478E-3</c:v>
                </c:pt>
                <c:pt idx="1717">
                  <c:v>1.8016719026219263E-3</c:v>
                </c:pt>
                <c:pt idx="1718">
                  <c:v>1.8046822902382242E-3</c:v>
                </c:pt>
                <c:pt idx="1719">
                  <c:v>1.8066160697360889E-3</c:v>
                </c:pt>
                <c:pt idx="1720">
                  <c:v>1.8080073845339051E-3</c:v>
                </c:pt>
                <c:pt idx="1721">
                  <c:v>1.8235342720180903E-3</c:v>
                </c:pt>
                <c:pt idx="1722">
                  <c:v>1.8274324426419408E-3</c:v>
                </c:pt>
                <c:pt idx="1723">
                  <c:v>1.8313704943841991E-3</c:v>
                </c:pt>
                <c:pt idx="1724">
                  <c:v>1.8329476017229229E-3</c:v>
                </c:pt>
                <c:pt idx="1725">
                  <c:v>1.8468380290934672E-3</c:v>
                </c:pt>
                <c:pt idx="1726">
                  <c:v>1.8713676449506611E-3</c:v>
                </c:pt>
                <c:pt idx="1727">
                  <c:v>1.8743116747985678E-3</c:v>
                </c:pt>
                <c:pt idx="1728">
                  <c:v>1.8841669199134436E-3</c:v>
                </c:pt>
                <c:pt idx="1729">
                  <c:v>1.8852972782508193E-3</c:v>
                </c:pt>
                <c:pt idx="1730">
                  <c:v>1.9076724003230794E-3</c:v>
                </c:pt>
                <c:pt idx="1731">
                  <c:v>1.9252177044606356E-3</c:v>
                </c:pt>
                <c:pt idx="1732">
                  <c:v>1.9252976861179327E-3</c:v>
                </c:pt>
                <c:pt idx="1733">
                  <c:v>1.9262025706012764E-3</c:v>
                </c:pt>
                <c:pt idx="1734">
                  <c:v>1.9285774583661652E-3</c:v>
                </c:pt>
                <c:pt idx="1735">
                  <c:v>1.9440017265213161E-3</c:v>
                </c:pt>
                <c:pt idx="1736">
                  <c:v>1.9458473140117061E-3</c:v>
                </c:pt>
                <c:pt idx="1737">
                  <c:v>1.9533563164306766E-3</c:v>
                </c:pt>
                <c:pt idx="1738">
                  <c:v>2.0071576990210449E-3</c:v>
                </c:pt>
                <c:pt idx="1739">
                  <c:v>2.0216638778716156E-3</c:v>
                </c:pt>
                <c:pt idx="1740">
                  <c:v>2.0228547210572323E-3</c:v>
                </c:pt>
                <c:pt idx="1741">
                  <c:v>2.0230832579268831E-3</c:v>
                </c:pt>
                <c:pt idx="1742">
                  <c:v>2.0252266295375243E-3</c:v>
                </c:pt>
                <c:pt idx="1743">
                  <c:v>2.0364877816050342E-3</c:v>
                </c:pt>
                <c:pt idx="1744">
                  <c:v>2.0447219983878995E-3</c:v>
                </c:pt>
                <c:pt idx="1745">
                  <c:v>2.0449433274714046E-3</c:v>
                </c:pt>
                <c:pt idx="1746">
                  <c:v>2.0512715576985752E-3</c:v>
                </c:pt>
                <c:pt idx="1747">
                  <c:v>2.0651437323369048E-3</c:v>
                </c:pt>
                <c:pt idx="1748">
                  <c:v>2.0823231566242661E-3</c:v>
                </c:pt>
                <c:pt idx="1749">
                  <c:v>2.0893582066880967E-3</c:v>
                </c:pt>
                <c:pt idx="1750">
                  <c:v>2.1065535034723304E-3</c:v>
                </c:pt>
                <c:pt idx="1751">
                  <c:v>2.1250370405738739E-3</c:v>
                </c:pt>
                <c:pt idx="1752">
                  <c:v>2.1409824450309145E-3</c:v>
                </c:pt>
                <c:pt idx="1753">
                  <c:v>2.1426294334614404E-3</c:v>
                </c:pt>
                <c:pt idx="1754">
                  <c:v>2.1463221787081377E-3</c:v>
                </c:pt>
                <c:pt idx="1755">
                  <c:v>2.1520195786377538E-3</c:v>
                </c:pt>
                <c:pt idx="1756">
                  <c:v>2.1540484226432177E-3</c:v>
                </c:pt>
                <c:pt idx="1757">
                  <c:v>2.1612673956510342E-3</c:v>
                </c:pt>
                <c:pt idx="1758">
                  <c:v>2.1646924833107484E-3</c:v>
                </c:pt>
                <c:pt idx="1759">
                  <c:v>2.1725259725497992E-3</c:v>
                </c:pt>
                <c:pt idx="1760">
                  <c:v>2.1847642917429688E-3</c:v>
                </c:pt>
                <c:pt idx="1761">
                  <c:v>2.2291412545643041E-3</c:v>
                </c:pt>
                <c:pt idx="1762">
                  <c:v>2.2311452694732115E-3</c:v>
                </c:pt>
                <c:pt idx="1763">
                  <c:v>2.2404573267609251E-3</c:v>
                </c:pt>
                <c:pt idx="1764">
                  <c:v>2.2421344900918072E-3</c:v>
                </c:pt>
                <c:pt idx="1765">
                  <c:v>2.2467151897582749E-3</c:v>
                </c:pt>
                <c:pt idx="1766">
                  <c:v>2.2522224108652011E-3</c:v>
                </c:pt>
                <c:pt idx="1767">
                  <c:v>2.2560743964663565E-3</c:v>
                </c:pt>
                <c:pt idx="1768">
                  <c:v>2.2590854259094684E-3</c:v>
                </c:pt>
                <c:pt idx="1769">
                  <c:v>2.2621597723138098E-3</c:v>
                </c:pt>
                <c:pt idx="1770">
                  <c:v>2.2660519600015139E-3</c:v>
                </c:pt>
                <c:pt idx="1771">
                  <c:v>2.2670197278398252E-3</c:v>
                </c:pt>
                <c:pt idx="1772">
                  <c:v>2.2723676126981118E-3</c:v>
                </c:pt>
                <c:pt idx="1773">
                  <c:v>2.2826748503186334E-3</c:v>
                </c:pt>
                <c:pt idx="1774">
                  <c:v>2.3036918122856243E-3</c:v>
                </c:pt>
                <c:pt idx="1775">
                  <c:v>2.3044401188925256E-3</c:v>
                </c:pt>
                <c:pt idx="1776">
                  <c:v>2.3155988960932294E-3</c:v>
                </c:pt>
                <c:pt idx="1777">
                  <c:v>2.3334140342654575E-3</c:v>
                </c:pt>
                <c:pt idx="1778">
                  <c:v>2.3552179789629868E-3</c:v>
                </c:pt>
                <c:pt idx="1779">
                  <c:v>2.3717548671209343E-3</c:v>
                </c:pt>
                <c:pt idx="1780">
                  <c:v>2.3824165420487375E-3</c:v>
                </c:pt>
                <c:pt idx="1781">
                  <c:v>2.4031495288134863E-3</c:v>
                </c:pt>
                <c:pt idx="1782">
                  <c:v>2.4047981826407216E-3</c:v>
                </c:pt>
                <c:pt idx="1783">
                  <c:v>2.4112472855220002E-3</c:v>
                </c:pt>
                <c:pt idx="1784">
                  <c:v>2.4336580501267413E-3</c:v>
                </c:pt>
                <c:pt idx="1785">
                  <c:v>2.4408812118825729E-3</c:v>
                </c:pt>
                <c:pt idx="1786">
                  <c:v>2.4471442660820575E-3</c:v>
                </c:pt>
                <c:pt idx="1787">
                  <c:v>2.4532591992054709E-3</c:v>
                </c:pt>
                <c:pt idx="1788">
                  <c:v>2.4655558497308494E-3</c:v>
                </c:pt>
                <c:pt idx="1789">
                  <c:v>2.4674202706089776E-3</c:v>
                </c:pt>
                <c:pt idx="1790">
                  <c:v>2.4740291310958451E-3</c:v>
                </c:pt>
                <c:pt idx="1791">
                  <c:v>2.5157750296271875E-3</c:v>
                </c:pt>
                <c:pt idx="1792">
                  <c:v>2.5189153777180895E-3</c:v>
                </c:pt>
                <c:pt idx="1793">
                  <c:v>2.5269018193418979E-3</c:v>
                </c:pt>
                <c:pt idx="1794">
                  <c:v>2.5731971430063005E-3</c:v>
                </c:pt>
                <c:pt idx="1795">
                  <c:v>2.5735992204902747E-3</c:v>
                </c:pt>
                <c:pt idx="1796">
                  <c:v>2.5737811873329797E-3</c:v>
                </c:pt>
                <c:pt idx="1797">
                  <c:v>2.5801799389706392E-3</c:v>
                </c:pt>
                <c:pt idx="1798">
                  <c:v>2.5836381747295079E-3</c:v>
                </c:pt>
                <c:pt idx="1799">
                  <c:v>2.5838878580228819E-3</c:v>
                </c:pt>
                <c:pt idx="1800">
                  <c:v>2.5848447874694536E-3</c:v>
                </c:pt>
                <c:pt idx="1801">
                  <c:v>2.5933259299926181E-3</c:v>
                </c:pt>
                <c:pt idx="1802">
                  <c:v>2.6116830746780728E-3</c:v>
                </c:pt>
                <c:pt idx="1803">
                  <c:v>2.6161128996722294E-3</c:v>
                </c:pt>
                <c:pt idx="1804">
                  <c:v>2.623445760279175E-3</c:v>
                </c:pt>
                <c:pt idx="1805">
                  <c:v>2.6509453272989258E-3</c:v>
                </c:pt>
                <c:pt idx="1806">
                  <c:v>2.6510540988271547E-3</c:v>
                </c:pt>
                <c:pt idx="1807">
                  <c:v>2.6607787100694225E-3</c:v>
                </c:pt>
                <c:pt idx="1808">
                  <c:v>2.6647089144138381E-3</c:v>
                </c:pt>
                <c:pt idx="1809">
                  <c:v>2.6832619424383974E-3</c:v>
                </c:pt>
                <c:pt idx="1810">
                  <c:v>2.6951301229252156E-3</c:v>
                </c:pt>
                <c:pt idx="1811">
                  <c:v>2.7173411075851472E-3</c:v>
                </c:pt>
                <c:pt idx="1812">
                  <c:v>2.7399380287369546E-3</c:v>
                </c:pt>
                <c:pt idx="1813">
                  <c:v>2.7458851744308621E-3</c:v>
                </c:pt>
                <c:pt idx="1814">
                  <c:v>2.7462972739487057E-3</c:v>
                </c:pt>
                <c:pt idx="1815">
                  <c:v>2.7567136387456337E-3</c:v>
                </c:pt>
                <c:pt idx="1816">
                  <c:v>2.761101933258292E-3</c:v>
                </c:pt>
                <c:pt idx="1817">
                  <c:v>2.7674617725892414E-3</c:v>
                </c:pt>
                <c:pt idx="1818">
                  <c:v>2.782505855674744E-3</c:v>
                </c:pt>
                <c:pt idx="1819">
                  <c:v>2.7840568209609451E-3</c:v>
                </c:pt>
                <c:pt idx="1820">
                  <c:v>2.7958037549529191E-3</c:v>
                </c:pt>
                <c:pt idx="1821">
                  <c:v>2.796512776740645E-3</c:v>
                </c:pt>
                <c:pt idx="1822">
                  <c:v>2.8082794309345349E-3</c:v>
                </c:pt>
                <c:pt idx="1823">
                  <c:v>2.8191790682241535E-3</c:v>
                </c:pt>
                <c:pt idx="1824">
                  <c:v>2.8204295668934343E-3</c:v>
                </c:pt>
                <c:pt idx="1825">
                  <c:v>2.8279442584442371E-3</c:v>
                </c:pt>
                <c:pt idx="1826">
                  <c:v>2.8861712028971365E-3</c:v>
                </c:pt>
                <c:pt idx="1827">
                  <c:v>2.9185851182009781E-3</c:v>
                </c:pt>
                <c:pt idx="1828">
                  <c:v>2.9316339200033958E-3</c:v>
                </c:pt>
                <c:pt idx="1829">
                  <c:v>2.9355623720279667E-3</c:v>
                </c:pt>
                <c:pt idx="1830">
                  <c:v>2.9356768446566761E-3</c:v>
                </c:pt>
                <c:pt idx="1831">
                  <c:v>2.9459212486371289E-3</c:v>
                </c:pt>
                <c:pt idx="1832">
                  <c:v>2.9591709988245896E-3</c:v>
                </c:pt>
                <c:pt idx="1833">
                  <c:v>2.9604616206049261E-3</c:v>
                </c:pt>
                <c:pt idx="1834">
                  <c:v>2.9626541357323788E-3</c:v>
                </c:pt>
                <c:pt idx="1835">
                  <c:v>2.9641637517920927E-3</c:v>
                </c:pt>
                <c:pt idx="1836">
                  <c:v>2.9841139683561835E-3</c:v>
                </c:pt>
                <c:pt idx="1837">
                  <c:v>2.9991413995702487E-3</c:v>
                </c:pt>
                <c:pt idx="1838">
                  <c:v>3.0187693172203378E-3</c:v>
                </c:pt>
                <c:pt idx="1839">
                  <c:v>3.0202546801372243E-3</c:v>
                </c:pt>
                <c:pt idx="1840">
                  <c:v>3.0208292414155569E-3</c:v>
                </c:pt>
                <c:pt idx="1841">
                  <c:v>3.0543913746876594E-3</c:v>
                </c:pt>
                <c:pt idx="1842">
                  <c:v>3.0590574415065852E-3</c:v>
                </c:pt>
                <c:pt idx="1843">
                  <c:v>3.0672967374907323E-3</c:v>
                </c:pt>
                <c:pt idx="1844">
                  <c:v>3.0691349079279284E-3</c:v>
                </c:pt>
                <c:pt idx="1845">
                  <c:v>3.089185766117275E-3</c:v>
                </c:pt>
                <c:pt idx="1846">
                  <c:v>3.0962020553553238E-3</c:v>
                </c:pt>
                <c:pt idx="1847">
                  <c:v>3.1067348948157214E-3</c:v>
                </c:pt>
                <c:pt idx="1848">
                  <c:v>3.1216109813112514E-3</c:v>
                </c:pt>
                <c:pt idx="1849">
                  <c:v>3.1264882902641844E-3</c:v>
                </c:pt>
                <c:pt idx="1850">
                  <c:v>3.1328401407795248E-3</c:v>
                </c:pt>
                <c:pt idx="1851">
                  <c:v>3.1441550485353797E-3</c:v>
                </c:pt>
                <c:pt idx="1852">
                  <c:v>3.145047275511681E-3</c:v>
                </c:pt>
                <c:pt idx="1853">
                  <c:v>3.1498175111628335E-3</c:v>
                </c:pt>
                <c:pt idx="1854">
                  <c:v>3.1611611327855282E-3</c:v>
                </c:pt>
                <c:pt idx="1855">
                  <c:v>3.1657603260371037E-3</c:v>
                </c:pt>
                <c:pt idx="1856">
                  <c:v>3.2273981937323004E-3</c:v>
                </c:pt>
                <c:pt idx="1857">
                  <c:v>3.2282045297074013E-3</c:v>
                </c:pt>
                <c:pt idx="1858">
                  <c:v>3.2345622125566909E-3</c:v>
                </c:pt>
                <c:pt idx="1859">
                  <c:v>3.243786135881388E-3</c:v>
                </c:pt>
                <c:pt idx="1860">
                  <c:v>3.2441705950394528E-3</c:v>
                </c:pt>
                <c:pt idx="1861">
                  <c:v>3.2698491395408702E-3</c:v>
                </c:pt>
                <c:pt idx="1862">
                  <c:v>3.2819494590217158E-3</c:v>
                </c:pt>
                <c:pt idx="1863">
                  <c:v>3.3065525131399376E-3</c:v>
                </c:pt>
                <c:pt idx="1864">
                  <c:v>3.3183581469116152E-3</c:v>
                </c:pt>
                <c:pt idx="1865">
                  <c:v>3.320257914246616E-3</c:v>
                </c:pt>
                <c:pt idx="1866">
                  <c:v>3.3255671305432166E-3</c:v>
                </c:pt>
                <c:pt idx="1867">
                  <c:v>3.3382107314638976E-3</c:v>
                </c:pt>
                <c:pt idx="1868">
                  <c:v>3.3424892684610352E-3</c:v>
                </c:pt>
                <c:pt idx="1869">
                  <c:v>3.356514196793281E-3</c:v>
                </c:pt>
                <c:pt idx="1870">
                  <c:v>3.3603273862452543E-3</c:v>
                </c:pt>
                <c:pt idx="1871">
                  <c:v>3.3690100569974124E-3</c:v>
                </c:pt>
                <c:pt idx="1872">
                  <c:v>3.3779870564929482E-3</c:v>
                </c:pt>
                <c:pt idx="1873">
                  <c:v>3.3922574411460182E-3</c:v>
                </c:pt>
                <c:pt idx="1874">
                  <c:v>3.3942898956798029E-3</c:v>
                </c:pt>
                <c:pt idx="1875">
                  <c:v>3.3979490169828708E-3</c:v>
                </c:pt>
                <c:pt idx="1876">
                  <c:v>3.4080055977012691E-3</c:v>
                </c:pt>
                <c:pt idx="1877">
                  <c:v>3.4159432681537538E-3</c:v>
                </c:pt>
                <c:pt idx="1878">
                  <c:v>3.417796692192443E-3</c:v>
                </c:pt>
                <c:pt idx="1879">
                  <c:v>3.4285944238392485E-3</c:v>
                </c:pt>
                <c:pt idx="1880">
                  <c:v>3.4330729683562655E-3</c:v>
                </c:pt>
                <c:pt idx="1881">
                  <c:v>3.4395388956467432E-3</c:v>
                </c:pt>
                <c:pt idx="1882">
                  <c:v>3.4409197321418894E-3</c:v>
                </c:pt>
                <c:pt idx="1883">
                  <c:v>3.4413616506112632E-3</c:v>
                </c:pt>
                <c:pt idx="1884">
                  <c:v>3.4495939957359667E-3</c:v>
                </c:pt>
                <c:pt idx="1885">
                  <c:v>3.4555491200234378E-3</c:v>
                </c:pt>
                <c:pt idx="1886">
                  <c:v>3.4614539652149112E-3</c:v>
                </c:pt>
                <c:pt idx="1887">
                  <c:v>3.4647703654169248E-3</c:v>
                </c:pt>
                <c:pt idx="1888">
                  <c:v>3.4845406532990619E-3</c:v>
                </c:pt>
                <c:pt idx="1889">
                  <c:v>3.497257692058886E-3</c:v>
                </c:pt>
                <c:pt idx="1890">
                  <c:v>3.5065678177774728E-3</c:v>
                </c:pt>
                <c:pt idx="1891">
                  <c:v>3.51611805692853E-3</c:v>
                </c:pt>
                <c:pt idx="1892">
                  <c:v>3.5171861830114448E-3</c:v>
                </c:pt>
                <c:pt idx="1893">
                  <c:v>3.5233436756536562E-3</c:v>
                </c:pt>
                <c:pt idx="1894">
                  <c:v>3.5287182205288037E-3</c:v>
                </c:pt>
                <c:pt idx="1895">
                  <c:v>3.5580519552353973E-3</c:v>
                </c:pt>
                <c:pt idx="1896">
                  <c:v>3.5744298843618516E-3</c:v>
                </c:pt>
                <c:pt idx="1897">
                  <c:v>3.5882129641986449E-3</c:v>
                </c:pt>
                <c:pt idx="1898">
                  <c:v>3.5929544338717534E-3</c:v>
                </c:pt>
                <c:pt idx="1899">
                  <c:v>3.6003924936376386E-3</c:v>
                </c:pt>
                <c:pt idx="1900">
                  <c:v>3.6099329963452664E-3</c:v>
                </c:pt>
                <c:pt idx="1901">
                  <c:v>3.6127928394518172E-3</c:v>
                </c:pt>
                <c:pt idx="1902">
                  <c:v>3.6165517166693029E-3</c:v>
                </c:pt>
                <c:pt idx="1903">
                  <c:v>3.6299789043818809E-3</c:v>
                </c:pt>
                <c:pt idx="1904">
                  <c:v>3.6496691747287535E-3</c:v>
                </c:pt>
                <c:pt idx="1905">
                  <c:v>3.6512262277439422E-3</c:v>
                </c:pt>
                <c:pt idx="1906">
                  <c:v>3.6555707206256116E-3</c:v>
                </c:pt>
                <c:pt idx="1907">
                  <c:v>3.6626581083927245E-3</c:v>
                </c:pt>
                <c:pt idx="1908">
                  <c:v>3.6655509079013271E-3</c:v>
                </c:pt>
                <c:pt idx="1909">
                  <c:v>3.6659669064644795E-3</c:v>
                </c:pt>
                <c:pt idx="1910">
                  <c:v>3.6670868442452154E-3</c:v>
                </c:pt>
                <c:pt idx="1911">
                  <c:v>3.669142568156758E-3</c:v>
                </c:pt>
                <c:pt idx="1912">
                  <c:v>3.6740591696149405E-3</c:v>
                </c:pt>
                <c:pt idx="1913">
                  <c:v>3.6840759268437218E-3</c:v>
                </c:pt>
                <c:pt idx="1914">
                  <c:v>3.7151332254350411E-3</c:v>
                </c:pt>
                <c:pt idx="1915">
                  <c:v>3.7233884846024079E-3</c:v>
                </c:pt>
                <c:pt idx="1916">
                  <c:v>3.7254233296062367E-3</c:v>
                </c:pt>
                <c:pt idx="1917">
                  <c:v>3.7306008032969018E-3</c:v>
                </c:pt>
                <c:pt idx="1918">
                  <c:v>3.7363035902429065E-3</c:v>
                </c:pt>
                <c:pt idx="1919">
                  <c:v>3.747606419565841E-3</c:v>
                </c:pt>
                <c:pt idx="1920">
                  <c:v>3.7484379655803313E-3</c:v>
                </c:pt>
                <c:pt idx="1921">
                  <c:v>3.7495834587619736E-3</c:v>
                </c:pt>
                <c:pt idx="1922">
                  <c:v>3.771716949618531E-3</c:v>
                </c:pt>
                <c:pt idx="1923">
                  <c:v>3.7717196788087382E-3</c:v>
                </c:pt>
                <c:pt idx="1924">
                  <c:v>3.7725835501831728E-3</c:v>
                </c:pt>
                <c:pt idx="1925">
                  <c:v>3.7963338431197258E-3</c:v>
                </c:pt>
                <c:pt idx="1926">
                  <c:v>3.8000975631198308E-3</c:v>
                </c:pt>
                <c:pt idx="1927">
                  <c:v>3.8147661021725732E-3</c:v>
                </c:pt>
                <c:pt idx="1928">
                  <c:v>3.8158357514868069E-3</c:v>
                </c:pt>
                <c:pt idx="1929">
                  <c:v>3.8258466592946405E-3</c:v>
                </c:pt>
                <c:pt idx="1930">
                  <c:v>3.839669976186233E-3</c:v>
                </c:pt>
                <c:pt idx="1931">
                  <c:v>3.8506993390348132E-3</c:v>
                </c:pt>
                <c:pt idx="1932">
                  <c:v>3.851133220685643E-3</c:v>
                </c:pt>
                <c:pt idx="1933">
                  <c:v>3.8652115180377589E-3</c:v>
                </c:pt>
                <c:pt idx="1934">
                  <c:v>3.8979923072610667E-3</c:v>
                </c:pt>
                <c:pt idx="1935">
                  <c:v>3.8991100033296533E-3</c:v>
                </c:pt>
                <c:pt idx="1936">
                  <c:v>3.9112984403772977E-3</c:v>
                </c:pt>
                <c:pt idx="1937">
                  <c:v>3.9214682422319402E-3</c:v>
                </c:pt>
                <c:pt idx="1938">
                  <c:v>3.9217105717763712E-3</c:v>
                </c:pt>
                <c:pt idx="1939">
                  <c:v>3.9324949986494495E-3</c:v>
                </c:pt>
                <c:pt idx="1940">
                  <c:v>3.9746205202322304E-3</c:v>
                </c:pt>
                <c:pt idx="1941">
                  <c:v>3.9800028968288714E-3</c:v>
                </c:pt>
                <c:pt idx="1942">
                  <c:v>3.9804090774893108E-3</c:v>
                </c:pt>
                <c:pt idx="1943">
                  <c:v>3.9821376566642197E-3</c:v>
                </c:pt>
                <c:pt idx="1944">
                  <c:v>3.9896912208825519E-3</c:v>
                </c:pt>
                <c:pt idx="1945">
                  <c:v>4.0084197819185707E-3</c:v>
                </c:pt>
                <c:pt idx="1946">
                  <c:v>4.0383552295697456E-3</c:v>
                </c:pt>
                <c:pt idx="1947">
                  <c:v>4.0395901849363813E-3</c:v>
                </c:pt>
                <c:pt idx="1948">
                  <c:v>4.0741656091671796E-3</c:v>
                </c:pt>
                <c:pt idx="1949">
                  <c:v>4.077058717258053E-3</c:v>
                </c:pt>
                <c:pt idx="1950">
                  <c:v>4.0837118106631376E-3</c:v>
                </c:pt>
                <c:pt idx="1951">
                  <c:v>4.0951683912224812E-3</c:v>
                </c:pt>
                <c:pt idx="1952">
                  <c:v>4.1041339294924928E-3</c:v>
                </c:pt>
                <c:pt idx="1953">
                  <c:v>4.1063801737200034E-3</c:v>
                </c:pt>
                <c:pt idx="1954">
                  <c:v>4.1520949297457754E-3</c:v>
                </c:pt>
                <c:pt idx="1955">
                  <c:v>4.1697232037294363E-3</c:v>
                </c:pt>
                <c:pt idx="1956">
                  <c:v>4.1774825401248439E-3</c:v>
                </c:pt>
                <c:pt idx="1957">
                  <c:v>4.225195801759396E-3</c:v>
                </c:pt>
                <c:pt idx="1958">
                  <c:v>4.2721388410416061E-3</c:v>
                </c:pt>
                <c:pt idx="1959">
                  <c:v>4.2827382495145283E-3</c:v>
                </c:pt>
                <c:pt idx="1960">
                  <c:v>4.2927042649483216E-3</c:v>
                </c:pt>
                <c:pt idx="1961">
                  <c:v>4.2980436889141771E-3</c:v>
                </c:pt>
                <c:pt idx="1962">
                  <c:v>4.3101637804310311E-3</c:v>
                </c:pt>
                <c:pt idx="1963">
                  <c:v>4.3121864841166868E-3</c:v>
                </c:pt>
                <c:pt idx="1964">
                  <c:v>4.3140723627244082E-3</c:v>
                </c:pt>
                <c:pt idx="1965">
                  <c:v>4.3290094495587184E-3</c:v>
                </c:pt>
                <c:pt idx="1966">
                  <c:v>4.3358690001473743E-3</c:v>
                </c:pt>
                <c:pt idx="1967">
                  <c:v>4.3375793399660356E-3</c:v>
                </c:pt>
                <c:pt idx="1968">
                  <c:v>4.3395024740646715E-3</c:v>
                </c:pt>
                <c:pt idx="1969">
                  <c:v>4.3437521862270678E-3</c:v>
                </c:pt>
                <c:pt idx="1970">
                  <c:v>4.3499944615996711E-3</c:v>
                </c:pt>
                <c:pt idx="1971">
                  <c:v>4.3562644704970843E-3</c:v>
                </c:pt>
                <c:pt idx="1972">
                  <c:v>4.3598391785215629E-3</c:v>
                </c:pt>
                <c:pt idx="1973">
                  <c:v>4.3696279478990796E-3</c:v>
                </c:pt>
                <c:pt idx="1974">
                  <c:v>4.3803019865020776E-3</c:v>
                </c:pt>
                <c:pt idx="1975">
                  <c:v>4.3885053321266465E-3</c:v>
                </c:pt>
                <c:pt idx="1976">
                  <c:v>4.3892325190042492E-3</c:v>
                </c:pt>
                <c:pt idx="1977">
                  <c:v>4.4072326481450208E-3</c:v>
                </c:pt>
                <c:pt idx="1978">
                  <c:v>4.4077884561692926E-3</c:v>
                </c:pt>
                <c:pt idx="1979">
                  <c:v>4.4402974984907306E-3</c:v>
                </c:pt>
                <c:pt idx="1980">
                  <c:v>4.4469637767026171E-3</c:v>
                </c:pt>
                <c:pt idx="1981">
                  <c:v>4.4594357821663433E-3</c:v>
                </c:pt>
                <c:pt idx="1982">
                  <c:v>4.4629285913904138E-3</c:v>
                </c:pt>
                <c:pt idx="1983">
                  <c:v>4.4704852108810034E-3</c:v>
                </c:pt>
                <c:pt idx="1984">
                  <c:v>4.4717162967833346E-3</c:v>
                </c:pt>
                <c:pt idx="1985">
                  <c:v>4.4965982178475361E-3</c:v>
                </c:pt>
                <c:pt idx="1986">
                  <c:v>4.5122093231020344E-3</c:v>
                </c:pt>
                <c:pt idx="1987">
                  <c:v>4.5452636230001175E-3</c:v>
                </c:pt>
                <c:pt idx="1988">
                  <c:v>4.5487484893365071E-3</c:v>
                </c:pt>
                <c:pt idx="1989">
                  <c:v>4.5621038720873308E-3</c:v>
                </c:pt>
                <c:pt idx="1990">
                  <c:v>4.5991713886979202E-3</c:v>
                </c:pt>
                <c:pt idx="1991">
                  <c:v>4.6021277942756011E-3</c:v>
                </c:pt>
                <c:pt idx="1992">
                  <c:v>4.6102192635033568E-3</c:v>
                </c:pt>
                <c:pt idx="1993">
                  <c:v>4.6168475443419954E-3</c:v>
                </c:pt>
                <c:pt idx="1994">
                  <c:v>4.6334397015379558E-3</c:v>
                </c:pt>
                <c:pt idx="1995">
                  <c:v>4.63475893636911E-3</c:v>
                </c:pt>
                <c:pt idx="1996">
                  <c:v>4.6515757119010015E-3</c:v>
                </c:pt>
                <c:pt idx="1997">
                  <c:v>4.6535669819649517E-3</c:v>
                </c:pt>
                <c:pt idx="1998">
                  <c:v>4.6705184157660451E-3</c:v>
                </c:pt>
                <c:pt idx="1999">
                  <c:v>4.6815915715707757E-3</c:v>
                </c:pt>
                <c:pt idx="2000">
                  <c:v>4.7039120971565929E-3</c:v>
                </c:pt>
                <c:pt idx="2001">
                  <c:v>4.7781409113201168E-3</c:v>
                </c:pt>
                <c:pt idx="2002">
                  <c:v>4.7931766010609334E-3</c:v>
                </c:pt>
                <c:pt idx="2003">
                  <c:v>4.7977276040414019E-3</c:v>
                </c:pt>
                <c:pt idx="2004">
                  <c:v>4.8223986838333843E-3</c:v>
                </c:pt>
                <c:pt idx="2005">
                  <c:v>4.8249215119151589E-3</c:v>
                </c:pt>
                <c:pt idx="2006">
                  <c:v>4.8259692487697681E-3</c:v>
                </c:pt>
                <c:pt idx="2007">
                  <c:v>4.8360180912603301E-3</c:v>
                </c:pt>
                <c:pt idx="2008">
                  <c:v>4.8416564380044935E-3</c:v>
                </c:pt>
                <c:pt idx="2009">
                  <c:v>4.8595180171138175E-3</c:v>
                </c:pt>
                <c:pt idx="2010">
                  <c:v>4.8740168117666904E-3</c:v>
                </c:pt>
                <c:pt idx="2011">
                  <c:v>4.8825810246080348E-3</c:v>
                </c:pt>
                <c:pt idx="2012">
                  <c:v>4.8834231659391492E-3</c:v>
                </c:pt>
                <c:pt idx="2013">
                  <c:v>4.9271790088207812E-3</c:v>
                </c:pt>
                <c:pt idx="2014">
                  <c:v>4.9664663352964045E-3</c:v>
                </c:pt>
                <c:pt idx="2015">
                  <c:v>4.9781704981051167E-3</c:v>
                </c:pt>
                <c:pt idx="2016">
                  <c:v>5.0293288920109092E-3</c:v>
                </c:pt>
                <c:pt idx="2017">
                  <c:v>5.0384798336329251E-3</c:v>
                </c:pt>
                <c:pt idx="2018">
                  <c:v>5.0599758727734034E-3</c:v>
                </c:pt>
                <c:pt idx="2019">
                  <c:v>5.091145674121611E-3</c:v>
                </c:pt>
                <c:pt idx="2020">
                  <c:v>5.1076939347551864E-3</c:v>
                </c:pt>
                <c:pt idx="2021">
                  <c:v>5.1144391668740408E-3</c:v>
                </c:pt>
                <c:pt idx="2022">
                  <c:v>5.1296774937219514E-3</c:v>
                </c:pt>
                <c:pt idx="2023">
                  <c:v>5.1497090586605232E-3</c:v>
                </c:pt>
                <c:pt idx="2024">
                  <c:v>5.1521344013609749E-3</c:v>
                </c:pt>
                <c:pt idx="2025">
                  <c:v>5.1789294525037555E-3</c:v>
                </c:pt>
                <c:pt idx="2026">
                  <c:v>5.1846135346236277E-3</c:v>
                </c:pt>
                <c:pt idx="2027">
                  <c:v>5.1850763441463332E-3</c:v>
                </c:pt>
                <c:pt idx="2028">
                  <c:v>5.2111332703546065E-3</c:v>
                </c:pt>
                <c:pt idx="2029">
                  <c:v>5.2383022990851735E-3</c:v>
                </c:pt>
                <c:pt idx="2030">
                  <c:v>5.2744209205266568E-3</c:v>
                </c:pt>
                <c:pt idx="2031">
                  <c:v>5.2784647291843623E-3</c:v>
                </c:pt>
                <c:pt idx="2032">
                  <c:v>5.28810445768646E-3</c:v>
                </c:pt>
                <c:pt idx="2033">
                  <c:v>5.2899183455834553E-3</c:v>
                </c:pt>
                <c:pt idx="2034">
                  <c:v>5.2906757527346748E-3</c:v>
                </c:pt>
                <c:pt idx="2035">
                  <c:v>5.2915738322107941E-3</c:v>
                </c:pt>
                <c:pt idx="2036">
                  <c:v>5.2964062320053351E-3</c:v>
                </c:pt>
                <c:pt idx="2037">
                  <c:v>5.326840317987358E-3</c:v>
                </c:pt>
                <c:pt idx="2038">
                  <c:v>5.3439499285601322E-3</c:v>
                </c:pt>
                <c:pt idx="2039">
                  <c:v>5.3531169187435168E-3</c:v>
                </c:pt>
                <c:pt idx="2040">
                  <c:v>5.3613325767944975E-3</c:v>
                </c:pt>
                <c:pt idx="2041">
                  <c:v>5.3812503657508781E-3</c:v>
                </c:pt>
                <c:pt idx="2042">
                  <c:v>5.3871616117018295E-3</c:v>
                </c:pt>
                <c:pt idx="2043">
                  <c:v>5.387453907855777E-3</c:v>
                </c:pt>
                <c:pt idx="2044">
                  <c:v>5.391456036321074E-3</c:v>
                </c:pt>
                <c:pt idx="2045">
                  <c:v>5.4014647025510953E-3</c:v>
                </c:pt>
                <c:pt idx="2046">
                  <c:v>5.4300442631949331E-3</c:v>
                </c:pt>
                <c:pt idx="2047">
                  <c:v>5.4439486269182158E-3</c:v>
                </c:pt>
                <c:pt idx="2048">
                  <c:v>5.4455659405368007E-3</c:v>
                </c:pt>
                <c:pt idx="2049">
                  <c:v>5.4511475190999192E-3</c:v>
                </c:pt>
                <c:pt idx="2050">
                  <c:v>5.4553829278320976E-3</c:v>
                </c:pt>
                <c:pt idx="2051">
                  <c:v>5.4795233104432128E-3</c:v>
                </c:pt>
                <c:pt idx="2052">
                  <c:v>5.4870107003102131E-3</c:v>
                </c:pt>
                <c:pt idx="2053">
                  <c:v>5.5233455525671715E-3</c:v>
                </c:pt>
                <c:pt idx="2054">
                  <c:v>5.5305409722332666E-3</c:v>
                </c:pt>
                <c:pt idx="2055">
                  <c:v>5.5394170620921557E-3</c:v>
                </c:pt>
                <c:pt idx="2056">
                  <c:v>5.5451228805640795E-3</c:v>
                </c:pt>
                <c:pt idx="2057">
                  <c:v>5.553977654987996E-3</c:v>
                </c:pt>
                <c:pt idx="2058">
                  <c:v>5.5633954258191842E-3</c:v>
                </c:pt>
                <c:pt idx="2059">
                  <c:v>5.5644226358431137E-3</c:v>
                </c:pt>
                <c:pt idx="2060">
                  <c:v>5.5663599037780731E-3</c:v>
                </c:pt>
                <c:pt idx="2061">
                  <c:v>5.5810066129784452E-3</c:v>
                </c:pt>
                <c:pt idx="2062">
                  <c:v>5.5831703766886509E-3</c:v>
                </c:pt>
                <c:pt idx="2063">
                  <c:v>5.587070171561459E-3</c:v>
                </c:pt>
                <c:pt idx="2064">
                  <c:v>5.5966172699790651E-3</c:v>
                </c:pt>
                <c:pt idx="2065">
                  <c:v>5.6026110211331304E-3</c:v>
                </c:pt>
                <c:pt idx="2066">
                  <c:v>5.6145420457711648E-3</c:v>
                </c:pt>
                <c:pt idx="2067">
                  <c:v>5.6381158435772072E-3</c:v>
                </c:pt>
                <c:pt idx="2068">
                  <c:v>5.6446538656063083E-3</c:v>
                </c:pt>
                <c:pt idx="2069">
                  <c:v>5.6517507293765146E-3</c:v>
                </c:pt>
                <c:pt idx="2070">
                  <c:v>5.6653383717895078E-3</c:v>
                </c:pt>
                <c:pt idx="2071">
                  <c:v>5.6934654253852912E-3</c:v>
                </c:pt>
                <c:pt idx="2072">
                  <c:v>5.7043922931634405E-3</c:v>
                </c:pt>
                <c:pt idx="2073">
                  <c:v>5.7228723995930153E-3</c:v>
                </c:pt>
                <c:pt idx="2074">
                  <c:v>5.7298057326049534E-3</c:v>
                </c:pt>
                <c:pt idx="2075">
                  <c:v>5.7382054022181439E-3</c:v>
                </c:pt>
                <c:pt idx="2076">
                  <c:v>5.7539918375750787E-3</c:v>
                </c:pt>
                <c:pt idx="2077">
                  <c:v>5.756550755602774E-3</c:v>
                </c:pt>
                <c:pt idx="2078">
                  <c:v>5.7686234733900221E-3</c:v>
                </c:pt>
                <c:pt idx="2079">
                  <c:v>5.7732054417114487E-3</c:v>
                </c:pt>
                <c:pt idx="2080">
                  <c:v>5.7751028675283589E-3</c:v>
                </c:pt>
                <c:pt idx="2081">
                  <c:v>5.7757650915613024E-3</c:v>
                </c:pt>
                <c:pt idx="2082">
                  <c:v>5.7778759386755141E-3</c:v>
                </c:pt>
                <c:pt idx="2083">
                  <c:v>5.785829961346467E-3</c:v>
                </c:pt>
                <c:pt idx="2084">
                  <c:v>5.7868449488116536E-3</c:v>
                </c:pt>
                <c:pt idx="2085">
                  <c:v>5.7907585571717046E-3</c:v>
                </c:pt>
                <c:pt idx="2086">
                  <c:v>5.8069527926385422E-3</c:v>
                </c:pt>
                <c:pt idx="2087">
                  <c:v>5.8078413285738151E-3</c:v>
                </c:pt>
                <c:pt idx="2088">
                  <c:v>5.8137075858408771E-3</c:v>
                </c:pt>
                <c:pt idx="2089">
                  <c:v>5.8296673595754633E-3</c:v>
                </c:pt>
                <c:pt idx="2090">
                  <c:v>5.8476444838297947E-3</c:v>
                </c:pt>
                <c:pt idx="2091">
                  <c:v>5.8556480595004512E-3</c:v>
                </c:pt>
                <c:pt idx="2092">
                  <c:v>5.8591448064870821E-3</c:v>
                </c:pt>
                <c:pt idx="2093">
                  <c:v>5.8692570826655022E-3</c:v>
                </c:pt>
                <c:pt idx="2094">
                  <c:v>5.871975667841145E-3</c:v>
                </c:pt>
                <c:pt idx="2095">
                  <c:v>5.8823560416350062E-3</c:v>
                </c:pt>
                <c:pt idx="2096">
                  <c:v>5.8984271714745962E-3</c:v>
                </c:pt>
                <c:pt idx="2097">
                  <c:v>5.9134279437729198E-3</c:v>
                </c:pt>
                <c:pt idx="2098">
                  <c:v>5.9140417004646118E-3</c:v>
                </c:pt>
                <c:pt idx="2099">
                  <c:v>5.9297905187296607E-3</c:v>
                </c:pt>
                <c:pt idx="2100">
                  <c:v>5.9363257463285191E-3</c:v>
                </c:pt>
                <c:pt idx="2101">
                  <c:v>5.939414209439331E-3</c:v>
                </c:pt>
                <c:pt idx="2102">
                  <c:v>5.9618407827712883E-3</c:v>
                </c:pt>
                <c:pt idx="2103">
                  <c:v>5.9758160584408859E-3</c:v>
                </c:pt>
                <c:pt idx="2104">
                  <c:v>5.9847419514567068E-3</c:v>
                </c:pt>
                <c:pt idx="2105">
                  <c:v>5.9885161166850498E-3</c:v>
                </c:pt>
                <c:pt idx="2106">
                  <c:v>6.0065573558925056E-3</c:v>
                </c:pt>
                <c:pt idx="2107">
                  <c:v>6.0201240961132996E-3</c:v>
                </c:pt>
                <c:pt idx="2108">
                  <c:v>6.0221050891793304E-3</c:v>
                </c:pt>
                <c:pt idx="2109">
                  <c:v>6.0274694509414584E-3</c:v>
                </c:pt>
                <c:pt idx="2110">
                  <c:v>6.0281590433111099E-3</c:v>
                </c:pt>
                <c:pt idx="2111">
                  <c:v>6.0475100599128861E-3</c:v>
                </c:pt>
                <c:pt idx="2112">
                  <c:v>6.0649807555388513E-3</c:v>
                </c:pt>
                <c:pt idx="2113">
                  <c:v>6.0675884783973899E-3</c:v>
                </c:pt>
                <c:pt idx="2114">
                  <c:v>6.0728572908193001E-3</c:v>
                </c:pt>
                <c:pt idx="2115">
                  <c:v>6.0755885211625227E-3</c:v>
                </c:pt>
                <c:pt idx="2116">
                  <c:v>6.0926652248809443E-3</c:v>
                </c:pt>
                <c:pt idx="2117">
                  <c:v>6.0931116512061845E-3</c:v>
                </c:pt>
                <c:pt idx="2118">
                  <c:v>6.0964502617839589E-3</c:v>
                </c:pt>
                <c:pt idx="2119">
                  <c:v>6.1215225835196119E-3</c:v>
                </c:pt>
                <c:pt idx="2120">
                  <c:v>6.1373440522995981E-3</c:v>
                </c:pt>
                <c:pt idx="2121">
                  <c:v>6.138384709554412E-3</c:v>
                </c:pt>
                <c:pt idx="2122">
                  <c:v>6.1392955703960528E-3</c:v>
                </c:pt>
                <c:pt idx="2123">
                  <c:v>6.155548328688587E-3</c:v>
                </c:pt>
                <c:pt idx="2124">
                  <c:v>6.1558313426430811E-3</c:v>
                </c:pt>
                <c:pt idx="2125">
                  <c:v>6.1653381902686544E-3</c:v>
                </c:pt>
                <c:pt idx="2126">
                  <c:v>6.1666488177911649E-3</c:v>
                </c:pt>
                <c:pt idx="2127">
                  <c:v>6.1741389847063122E-3</c:v>
                </c:pt>
                <c:pt idx="2128">
                  <c:v>6.1812234037690317E-3</c:v>
                </c:pt>
                <c:pt idx="2129">
                  <c:v>6.1891539875864598E-3</c:v>
                </c:pt>
                <c:pt idx="2130">
                  <c:v>6.1967182240785235E-3</c:v>
                </c:pt>
                <c:pt idx="2131">
                  <c:v>6.212632434946963E-3</c:v>
                </c:pt>
                <c:pt idx="2132">
                  <c:v>6.2145796726831293E-3</c:v>
                </c:pt>
                <c:pt idx="2133">
                  <c:v>6.2210669207301006E-3</c:v>
                </c:pt>
                <c:pt idx="2134">
                  <c:v>6.2357308610292428E-3</c:v>
                </c:pt>
                <c:pt idx="2135">
                  <c:v>6.2403699574746785E-3</c:v>
                </c:pt>
                <c:pt idx="2136">
                  <c:v>6.2436525192750558E-3</c:v>
                </c:pt>
                <c:pt idx="2137">
                  <c:v>6.2502482527651004E-3</c:v>
                </c:pt>
                <c:pt idx="2138">
                  <c:v>6.2605117991840764E-3</c:v>
                </c:pt>
                <c:pt idx="2139">
                  <c:v>6.2714825968390731E-3</c:v>
                </c:pt>
                <c:pt idx="2140">
                  <c:v>6.2899783816738886E-3</c:v>
                </c:pt>
                <c:pt idx="2141">
                  <c:v>6.2925539306437628E-3</c:v>
                </c:pt>
                <c:pt idx="2142">
                  <c:v>6.3079090503150859E-3</c:v>
                </c:pt>
                <c:pt idx="2143">
                  <c:v>6.3120763036117467E-3</c:v>
                </c:pt>
                <c:pt idx="2144">
                  <c:v>6.3230616540577156E-3</c:v>
                </c:pt>
                <c:pt idx="2145">
                  <c:v>6.3291387131039212E-3</c:v>
                </c:pt>
                <c:pt idx="2146">
                  <c:v>6.3399721871595371E-3</c:v>
                </c:pt>
                <c:pt idx="2147">
                  <c:v>6.3406550123079608E-3</c:v>
                </c:pt>
                <c:pt idx="2148">
                  <c:v>6.3481627462333989E-3</c:v>
                </c:pt>
                <c:pt idx="2149">
                  <c:v>6.3526804431643935E-3</c:v>
                </c:pt>
                <c:pt idx="2150">
                  <c:v>6.3553934249409583E-3</c:v>
                </c:pt>
                <c:pt idx="2151">
                  <c:v>6.3589553723073511E-3</c:v>
                </c:pt>
                <c:pt idx="2152">
                  <c:v>6.3731337398893473E-3</c:v>
                </c:pt>
                <c:pt idx="2153">
                  <c:v>6.3795574280975931E-3</c:v>
                </c:pt>
                <c:pt idx="2154">
                  <c:v>6.3916121131790682E-3</c:v>
                </c:pt>
                <c:pt idx="2155">
                  <c:v>6.3961159126124656E-3</c:v>
                </c:pt>
                <c:pt idx="2156">
                  <c:v>6.3982064918204351E-3</c:v>
                </c:pt>
                <c:pt idx="2157">
                  <c:v>6.4243705152584596E-3</c:v>
                </c:pt>
                <c:pt idx="2158">
                  <c:v>6.4260958727659911E-3</c:v>
                </c:pt>
                <c:pt idx="2159">
                  <c:v>6.4319460574706611E-3</c:v>
                </c:pt>
                <c:pt idx="2160">
                  <c:v>6.4348818206811931E-3</c:v>
                </c:pt>
                <c:pt idx="2161">
                  <c:v>6.4431120892367577E-3</c:v>
                </c:pt>
                <c:pt idx="2162">
                  <c:v>6.4647143999527756E-3</c:v>
                </c:pt>
                <c:pt idx="2163">
                  <c:v>6.4713484745861916E-3</c:v>
                </c:pt>
                <c:pt idx="2164">
                  <c:v>6.4761258756276252E-3</c:v>
                </c:pt>
                <c:pt idx="2165">
                  <c:v>6.4779514775215041E-3</c:v>
                </c:pt>
                <c:pt idx="2166">
                  <c:v>6.4870451378713501E-3</c:v>
                </c:pt>
                <c:pt idx="2167">
                  <c:v>6.5015122513887302E-3</c:v>
                </c:pt>
                <c:pt idx="2168">
                  <c:v>6.5099515163984378E-3</c:v>
                </c:pt>
                <c:pt idx="2169">
                  <c:v>6.5099708779885468E-3</c:v>
                </c:pt>
                <c:pt idx="2170">
                  <c:v>6.5441836254314101E-3</c:v>
                </c:pt>
                <c:pt idx="2171">
                  <c:v>6.5485894252548249E-3</c:v>
                </c:pt>
                <c:pt idx="2172">
                  <c:v>6.5520990863205952E-3</c:v>
                </c:pt>
                <c:pt idx="2173">
                  <c:v>6.5601234202068426E-3</c:v>
                </c:pt>
                <c:pt idx="2174">
                  <c:v>6.5642650764330401E-3</c:v>
                </c:pt>
                <c:pt idx="2175">
                  <c:v>6.5648589905829002E-3</c:v>
                </c:pt>
                <c:pt idx="2176">
                  <c:v>6.5705802602078478E-3</c:v>
                </c:pt>
                <c:pt idx="2177">
                  <c:v>6.575163098686776E-3</c:v>
                </c:pt>
                <c:pt idx="2178">
                  <c:v>6.5943845475404661E-3</c:v>
                </c:pt>
                <c:pt idx="2179">
                  <c:v>6.6060462481005722E-3</c:v>
                </c:pt>
                <c:pt idx="2180">
                  <c:v>6.6117362422020154E-3</c:v>
                </c:pt>
                <c:pt idx="2181">
                  <c:v>6.631016794278688E-3</c:v>
                </c:pt>
                <c:pt idx="2182">
                  <c:v>6.6334529019311805E-3</c:v>
                </c:pt>
                <c:pt idx="2183">
                  <c:v>6.661018807958996E-3</c:v>
                </c:pt>
                <c:pt idx="2184">
                  <c:v>6.6722201300426498E-3</c:v>
                </c:pt>
                <c:pt idx="2185">
                  <c:v>6.6736778808280661E-3</c:v>
                </c:pt>
                <c:pt idx="2186">
                  <c:v>6.6809726118126633E-3</c:v>
                </c:pt>
                <c:pt idx="2187">
                  <c:v>6.6976689366180509E-3</c:v>
                </c:pt>
                <c:pt idx="2188">
                  <c:v>6.7070043045074357E-3</c:v>
                </c:pt>
                <c:pt idx="2189">
                  <c:v>6.7142150593677563E-3</c:v>
                </c:pt>
                <c:pt idx="2190">
                  <c:v>6.7276423148785458E-3</c:v>
                </c:pt>
                <c:pt idx="2191">
                  <c:v>6.7373223681668204E-3</c:v>
                </c:pt>
                <c:pt idx="2192">
                  <c:v>6.7383987682070323E-3</c:v>
                </c:pt>
                <c:pt idx="2193">
                  <c:v>6.7637727459146646E-3</c:v>
                </c:pt>
                <c:pt idx="2194">
                  <c:v>6.7737303760462275E-3</c:v>
                </c:pt>
                <c:pt idx="2195">
                  <c:v>6.7948861543118966E-3</c:v>
                </c:pt>
                <c:pt idx="2196">
                  <c:v>6.8086192472571749E-3</c:v>
                </c:pt>
                <c:pt idx="2197">
                  <c:v>6.8210023573571643E-3</c:v>
                </c:pt>
                <c:pt idx="2198">
                  <c:v>6.8503060274773819E-3</c:v>
                </c:pt>
                <c:pt idx="2199">
                  <c:v>6.8646660779025925E-3</c:v>
                </c:pt>
                <c:pt idx="2200">
                  <c:v>6.8779260233307049E-3</c:v>
                </c:pt>
                <c:pt idx="2201">
                  <c:v>6.8838861510518434E-3</c:v>
                </c:pt>
                <c:pt idx="2202">
                  <c:v>6.8927385276955633E-3</c:v>
                </c:pt>
                <c:pt idx="2203">
                  <c:v>6.9000396723148949E-3</c:v>
                </c:pt>
                <c:pt idx="2204">
                  <c:v>6.9041744571256558E-3</c:v>
                </c:pt>
                <c:pt idx="2205">
                  <c:v>6.9173546166167998E-3</c:v>
                </c:pt>
                <c:pt idx="2206">
                  <c:v>6.9360984690862715E-3</c:v>
                </c:pt>
                <c:pt idx="2207">
                  <c:v>6.9878855985261445E-3</c:v>
                </c:pt>
                <c:pt idx="2208">
                  <c:v>7.0010449952520037E-3</c:v>
                </c:pt>
                <c:pt idx="2209">
                  <c:v>7.0014890683631759E-3</c:v>
                </c:pt>
                <c:pt idx="2210">
                  <c:v>7.0073635961298564E-3</c:v>
                </c:pt>
                <c:pt idx="2211">
                  <c:v>7.0126973705899598E-3</c:v>
                </c:pt>
                <c:pt idx="2212">
                  <c:v>7.0225695749019934E-3</c:v>
                </c:pt>
                <c:pt idx="2213">
                  <c:v>7.0365737916748827E-3</c:v>
                </c:pt>
                <c:pt idx="2214">
                  <c:v>7.0624601451938496E-3</c:v>
                </c:pt>
                <c:pt idx="2215">
                  <c:v>7.0634439466448207E-3</c:v>
                </c:pt>
                <c:pt idx="2216">
                  <c:v>7.0695557981199642E-3</c:v>
                </c:pt>
                <c:pt idx="2217">
                  <c:v>7.0726009458350614E-3</c:v>
                </c:pt>
                <c:pt idx="2218">
                  <c:v>7.0808504794039884E-3</c:v>
                </c:pt>
                <c:pt idx="2219">
                  <c:v>7.0968819712955433E-3</c:v>
                </c:pt>
                <c:pt idx="2220">
                  <c:v>7.1083770644346789E-3</c:v>
                </c:pt>
                <c:pt idx="2221">
                  <c:v>7.1102837335670355E-3</c:v>
                </c:pt>
                <c:pt idx="2222">
                  <c:v>7.1445029194103782E-3</c:v>
                </c:pt>
                <c:pt idx="2223">
                  <c:v>7.1683504099224749E-3</c:v>
                </c:pt>
                <c:pt idx="2224">
                  <c:v>7.2121036492431845E-3</c:v>
                </c:pt>
                <c:pt idx="2225">
                  <c:v>7.2222055779207484E-3</c:v>
                </c:pt>
                <c:pt idx="2226">
                  <c:v>7.2464730567471936E-3</c:v>
                </c:pt>
                <c:pt idx="2227">
                  <c:v>7.2469769969703002E-3</c:v>
                </c:pt>
                <c:pt idx="2228">
                  <c:v>7.2507709788420804E-3</c:v>
                </c:pt>
                <c:pt idx="2229">
                  <c:v>7.2760526340611698E-3</c:v>
                </c:pt>
                <c:pt idx="2230">
                  <c:v>7.2902346218688407E-3</c:v>
                </c:pt>
                <c:pt idx="2231">
                  <c:v>7.3052978142003067E-3</c:v>
                </c:pt>
                <c:pt idx="2232">
                  <c:v>7.3123706263917843E-3</c:v>
                </c:pt>
                <c:pt idx="2233">
                  <c:v>7.3263419043783085E-3</c:v>
                </c:pt>
                <c:pt idx="2234">
                  <c:v>7.3268095451295423E-3</c:v>
                </c:pt>
                <c:pt idx="2235">
                  <c:v>7.3370834113568595E-3</c:v>
                </c:pt>
                <c:pt idx="2236">
                  <c:v>7.3428903635626153E-3</c:v>
                </c:pt>
                <c:pt idx="2237">
                  <c:v>7.3446419442442235E-3</c:v>
                </c:pt>
                <c:pt idx="2238">
                  <c:v>7.3460662498543439E-3</c:v>
                </c:pt>
                <c:pt idx="2239">
                  <c:v>7.3528080256899386E-3</c:v>
                </c:pt>
                <c:pt idx="2240">
                  <c:v>7.3564646375023912E-3</c:v>
                </c:pt>
                <c:pt idx="2241">
                  <c:v>7.3626483179822788E-3</c:v>
                </c:pt>
                <c:pt idx="2242">
                  <c:v>7.3678664527858651E-3</c:v>
                </c:pt>
                <c:pt idx="2243">
                  <c:v>7.372601925857758E-3</c:v>
                </c:pt>
                <c:pt idx="2244">
                  <c:v>7.4004544581456333E-3</c:v>
                </c:pt>
                <c:pt idx="2245">
                  <c:v>7.4057383557004641E-3</c:v>
                </c:pt>
                <c:pt idx="2246">
                  <c:v>7.4075645789390965E-3</c:v>
                </c:pt>
                <c:pt idx="2247">
                  <c:v>7.4121457192839468E-3</c:v>
                </c:pt>
                <c:pt idx="2248">
                  <c:v>7.4226016164322672E-3</c:v>
                </c:pt>
                <c:pt idx="2249">
                  <c:v>7.4344143826154951E-3</c:v>
                </c:pt>
                <c:pt idx="2250">
                  <c:v>7.4375445172771837E-3</c:v>
                </c:pt>
                <c:pt idx="2251">
                  <c:v>7.4468212513105758E-3</c:v>
                </c:pt>
                <c:pt idx="2252">
                  <c:v>7.4868471230518097E-3</c:v>
                </c:pt>
                <c:pt idx="2253">
                  <c:v>7.5294088848172347E-3</c:v>
                </c:pt>
                <c:pt idx="2254">
                  <c:v>7.6169253315740981E-3</c:v>
                </c:pt>
                <c:pt idx="2255">
                  <c:v>7.6208914506974423E-3</c:v>
                </c:pt>
                <c:pt idx="2256">
                  <c:v>7.6291204837233284E-3</c:v>
                </c:pt>
                <c:pt idx="2257">
                  <c:v>7.6398814376561486E-3</c:v>
                </c:pt>
                <c:pt idx="2258">
                  <c:v>7.6451680222373586E-3</c:v>
                </c:pt>
                <c:pt idx="2259">
                  <c:v>7.6729222195173197E-3</c:v>
                </c:pt>
                <c:pt idx="2260">
                  <c:v>7.6896845669207625E-3</c:v>
                </c:pt>
                <c:pt idx="2261">
                  <c:v>7.6957688999028662E-3</c:v>
                </c:pt>
                <c:pt idx="2262">
                  <c:v>7.715220254359334E-3</c:v>
                </c:pt>
                <c:pt idx="2263">
                  <c:v>7.745096029831533E-3</c:v>
                </c:pt>
                <c:pt idx="2264">
                  <c:v>7.7526915294776622E-3</c:v>
                </c:pt>
                <c:pt idx="2265">
                  <c:v>7.7552428481906244E-3</c:v>
                </c:pt>
                <c:pt idx="2266">
                  <c:v>7.7574535461002458E-3</c:v>
                </c:pt>
                <c:pt idx="2267">
                  <c:v>7.7750560432807703E-3</c:v>
                </c:pt>
                <c:pt idx="2268">
                  <c:v>7.7876770081803937E-3</c:v>
                </c:pt>
                <c:pt idx="2269">
                  <c:v>7.795194366050584E-3</c:v>
                </c:pt>
                <c:pt idx="2270">
                  <c:v>7.8094854553998339E-3</c:v>
                </c:pt>
                <c:pt idx="2271">
                  <c:v>7.8224022185418018E-3</c:v>
                </c:pt>
                <c:pt idx="2272">
                  <c:v>7.8258029777260596E-3</c:v>
                </c:pt>
                <c:pt idx="2273">
                  <c:v>7.8272594230761605E-3</c:v>
                </c:pt>
                <c:pt idx="2274">
                  <c:v>7.8321480577525637E-3</c:v>
                </c:pt>
                <c:pt idx="2275">
                  <c:v>7.8537733684265199E-3</c:v>
                </c:pt>
                <c:pt idx="2276">
                  <c:v>7.8558572088818224E-3</c:v>
                </c:pt>
                <c:pt idx="2277">
                  <c:v>7.8786419018399556E-3</c:v>
                </c:pt>
                <c:pt idx="2278">
                  <c:v>7.891985342163732E-3</c:v>
                </c:pt>
                <c:pt idx="2279">
                  <c:v>7.8957875132625865E-3</c:v>
                </c:pt>
                <c:pt idx="2280">
                  <c:v>7.899093590391093E-3</c:v>
                </c:pt>
                <c:pt idx="2281">
                  <c:v>7.9079511218445031E-3</c:v>
                </c:pt>
                <c:pt idx="2282">
                  <c:v>7.9194171878937958E-3</c:v>
                </c:pt>
                <c:pt idx="2283">
                  <c:v>7.9287892620132361E-3</c:v>
                </c:pt>
                <c:pt idx="2284">
                  <c:v>7.9719454364253206E-3</c:v>
                </c:pt>
                <c:pt idx="2285">
                  <c:v>8.0162585078911164E-3</c:v>
                </c:pt>
                <c:pt idx="2286">
                  <c:v>8.0261838425126353E-3</c:v>
                </c:pt>
                <c:pt idx="2287">
                  <c:v>8.0369435989593452E-3</c:v>
                </c:pt>
                <c:pt idx="2288">
                  <c:v>8.0522637717987955E-3</c:v>
                </c:pt>
                <c:pt idx="2289">
                  <c:v>8.0537298589478112E-3</c:v>
                </c:pt>
                <c:pt idx="2290">
                  <c:v>8.0709840793555809E-3</c:v>
                </c:pt>
                <c:pt idx="2291">
                  <c:v>8.0732906040790198E-3</c:v>
                </c:pt>
                <c:pt idx="2292">
                  <c:v>8.0750541219123395E-3</c:v>
                </c:pt>
                <c:pt idx="2293">
                  <c:v>8.1121691332959323E-3</c:v>
                </c:pt>
                <c:pt idx="2294">
                  <c:v>8.141267165499011E-3</c:v>
                </c:pt>
                <c:pt idx="2295">
                  <c:v>8.1605593513440766E-3</c:v>
                </c:pt>
                <c:pt idx="2296">
                  <c:v>8.1758882493598861E-3</c:v>
                </c:pt>
                <c:pt idx="2297">
                  <c:v>8.1968771384008932E-3</c:v>
                </c:pt>
                <c:pt idx="2298">
                  <c:v>8.2032070693045522E-3</c:v>
                </c:pt>
                <c:pt idx="2299">
                  <c:v>8.2085143659769155E-3</c:v>
                </c:pt>
                <c:pt idx="2300">
                  <c:v>8.2134384457859255E-3</c:v>
                </c:pt>
                <c:pt idx="2301">
                  <c:v>8.2250860340407073E-3</c:v>
                </c:pt>
                <c:pt idx="2302">
                  <c:v>8.2265197088755571E-3</c:v>
                </c:pt>
                <c:pt idx="2303">
                  <c:v>8.2301915621922905E-3</c:v>
                </c:pt>
                <c:pt idx="2304">
                  <c:v>8.2478971640644883E-3</c:v>
                </c:pt>
                <c:pt idx="2305">
                  <c:v>8.269369185183173E-3</c:v>
                </c:pt>
                <c:pt idx="2306">
                  <c:v>8.27598911516092E-3</c:v>
                </c:pt>
                <c:pt idx="2307">
                  <c:v>8.2800379719984996E-3</c:v>
                </c:pt>
                <c:pt idx="2308">
                  <c:v>8.2810045808832111E-3</c:v>
                </c:pt>
                <c:pt idx="2309">
                  <c:v>8.2867290042258901E-3</c:v>
                </c:pt>
                <c:pt idx="2310">
                  <c:v>8.2950232546745717E-3</c:v>
                </c:pt>
                <c:pt idx="2311">
                  <c:v>8.3386027288303577E-3</c:v>
                </c:pt>
                <c:pt idx="2312">
                  <c:v>8.3615986920182461E-3</c:v>
                </c:pt>
                <c:pt idx="2313">
                  <c:v>8.3937121664532377E-3</c:v>
                </c:pt>
                <c:pt idx="2314">
                  <c:v>8.4075153348512899E-3</c:v>
                </c:pt>
                <c:pt idx="2315">
                  <c:v>8.4179051614268197E-3</c:v>
                </c:pt>
                <c:pt idx="2316">
                  <c:v>8.4223313601261562E-3</c:v>
                </c:pt>
                <c:pt idx="2317">
                  <c:v>8.4509601644366938E-3</c:v>
                </c:pt>
                <c:pt idx="2318">
                  <c:v>8.4567128443853168E-3</c:v>
                </c:pt>
                <c:pt idx="2319">
                  <c:v>8.4605699069253415E-3</c:v>
                </c:pt>
                <c:pt idx="2320">
                  <c:v>8.4658048655483764E-3</c:v>
                </c:pt>
                <c:pt idx="2321">
                  <c:v>8.4791405144171161E-3</c:v>
                </c:pt>
                <c:pt idx="2322">
                  <c:v>8.4914324866496305E-3</c:v>
                </c:pt>
                <c:pt idx="2323">
                  <c:v>8.4954615407313305E-3</c:v>
                </c:pt>
                <c:pt idx="2324">
                  <c:v>8.5252840979368472E-3</c:v>
                </c:pt>
                <c:pt idx="2325">
                  <c:v>8.6376263214789084E-3</c:v>
                </c:pt>
                <c:pt idx="2326">
                  <c:v>8.6677484114583425E-3</c:v>
                </c:pt>
                <c:pt idx="2327">
                  <c:v>8.680535002652201E-3</c:v>
                </c:pt>
                <c:pt idx="2328">
                  <c:v>8.6988946056800742E-3</c:v>
                </c:pt>
                <c:pt idx="2329">
                  <c:v>8.7143206006967677E-3</c:v>
                </c:pt>
                <c:pt idx="2330">
                  <c:v>8.7201519979753783E-3</c:v>
                </c:pt>
                <c:pt idx="2331">
                  <c:v>8.7258937188425811E-3</c:v>
                </c:pt>
                <c:pt idx="2332">
                  <c:v>8.731217195963481E-3</c:v>
                </c:pt>
                <c:pt idx="2333">
                  <c:v>8.737116838221537E-3</c:v>
                </c:pt>
                <c:pt idx="2334">
                  <c:v>8.7762330386653709E-3</c:v>
                </c:pt>
                <c:pt idx="2335">
                  <c:v>8.7843612120508396E-3</c:v>
                </c:pt>
                <c:pt idx="2336">
                  <c:v>8.8007720125722333E-3</c:v>
                </c:pt>
                <c:pt idx="2337">
                  <c:v>8.8015277817259374E-3</c:v>
                </c:pt>
                <c:pt idx="2338">
                  <c:v>8.8117658323203507E-3</c:v>
                </c:pt>
                <c:pt idx="2339">
                  <c:v>8.8234106987614691E-3</c:v>
                </c:pt>
                <c:pt idx="2340">
                  <c:v>8.8328980751233299E-3</c:v>
                </c:pt>
                <c:pt idx="2341">
                  <c:v>8.842207189955209E-3</c:v>
                </c:pt>
                <c:pt idx="2342">
                  <c:v>8.8944838530351511E-3</c:v>
                </c:pt>
                <c:pt idx="2343">
                  <c:v>8.920957949013486E-3</c:v>
                </c:pt>
                <c:pt idx="2344">
                  <c:v>8.9267321866524085E-3</c:v>
                </c:pt>
                <c:pt idx="2345">
                  <c:v>8.9273782617029784E-3</c:v>
                </c:pt>
                <c:pt idx="2346">
                  <c:v>8.9828235184281624E-3</c:v>
                </c:pt>
                <c:pt idx="2347">
                  <c:v>9.0108380748792349E-3</c:v>
                </c:pt>
                <c:pt idx="2348">
                  <c:v>9.0111614244441363E-3</c:v>
                </c:pt>
                <c:pt idx="2349">
                  <c:v>9.0291476032275941E-3</c:v>
                </c:pt>
                <c:pt idx="2350">
                  <c:v>9.0368415957975401E-3</c:v>
                </c:pt>
                <c:pt idx="2351">
                  <c:v>9.0649561181728178E-3</c:v>
                </c:pt>
                <c:pt idx="2352">
                  <c:v>9.0753674657111372E-3</c:v>
                </c:pt>
                <c:pt idx="2353">
                  <c:v>9.1027103495373574E-3</c:v>
                </c:pt>
                <c:pt idx="2354">
                  <c:v>9.1238299469169615E-3</c:v>
                </c:pt>
                <c:pt idx="2355">
                  <c:v>9.1325488098856766E-3</c:v>
                </c:pt>
                <c:pt idx="2356">
                  <c:v>9.133705070060838E-3</c:v>
                </c:pt>
                <c:pt idx="2357">
                  <c:v>9.1509612066194013E-3</c:v>
                </c:pt>
                <c:pt idx="2358">
                  <c:v>9.1541020762124781E-3</c:v>
                </c:pt>
                <c:pt idx="2359">
                  <c:v>9.1563516278825308E-3</c:v>
                </c:pt>
                <c:pt idx="2360">
                  <c:v>9.1569771167772096E-3</c:v>
                </c:pt>
                <c:pt idx="2361">
                  <c:v>9.1598886593871054E-3</c:v>
                </c:pt>
                <c:pt idx="2362">
                  <c:v>9.1615270397231718E-3</c:v>
                </c:pt>
                <c:pt idx="2363">
                  <c:v>9.1753857809566686E-3</c:v>
                </c:pt>
                <c:pt idx="2364">
                  <c:v>9.1777612187644575E-3</c:v>
                </c:pt>
                <c:pt idx="2365">
                  <c:v>9.2050700411285824E-3</c:v>
                </c:pt>
                <c:pt idx="2366">
                  <c:v>9.2169658861043224E-3</c:v>
                </c:pt>
                <c:pt idx="2367">
                  <c:v>9.2266394373494709E-3</c:v>
                </c:pt>
                <c:pt idx="2368">
                  <c:v>9.2331525582418639E-3</c:v>
                </c:pt>
                <c:pt idx="2369">
                  <c:v>9.2648607530210203E-3</c:v>
                </c:pt>
                <c:pt idx="2370">
                  <c:v>9.2840207717075351E-3</c:v>
                </c:pt>
                <c:pt idx="2371">
                  <c:v>9.2857390982863386E-3</c:v>
                </c:pt>
                <c:pt idx="2372">
                  <c:v>9.2927786166046022E-3</c:v>
                </c:pt>
                <c:pt idx="2373">
                  <c:v>9.29462445568352E-3</c:v>
                </c:pt>
                <c:pt idx="2374">
                  <c:v>9.2960634292273969E-3</c:v>
                </c:pt>
                <c:pt idx="2375">
                  <c:v>9.3607931645958153E-3</c:v>
                </c:pt>
                <c:pt idx="2376">
                  <c:v>9.361816148085067E-3</c:v>
                </c:pt>
                <c:pt idx="2377">
                  <c:v>9.3737249956988844E-3</c:v>
                </c:pt>
                <c:pt idx="2378">
                  <c:v>9.407285199377613E-3</c:v>
                </c:pt>
                <c:pt idx="2379">
                  <c:v>9.4145691072609061E-3</c:v>
                </c:pt>
                <c:pt idx="2380">
                  <c:v>9.427672514909391E-3</c:v>
                </c:pt>
                <c:pt idx="2381">
                  <c:v>9.438969706388356E-3</c:v>
                </c:pt>
                <c:pt idx="2382">
                  <c:v>9.4390718156662778E-3</c:v>
                </c:pt>
                <c:pt idx="2383">
                  <c:v>9.4515230863694288E-3</c:v>
                </c:pt>
                <c:pt idx="2384">
                  <c:v>9.4771384415415216E-3</c:v>
                </c:pt>
                <c:pt idx="2385">
                  <c:v>9.4838374718804186E-3</c:v>
                </c:pt>
                <c:pt idx="2386">
                  <c:v>9.4845227881041883E-3</c:v>
                </c:pt>
                <c:pt idx="2387">
                  <c:v>9.5415300401047176E-3</c:v>
                </c:pt>
                <c:pt idx="2388">
                  <c:v>9.5543829858015794E-3</c:v>
                </c:pt>
                <c:pt idx="2389">
                  <c:v>9.5907604025118331E-3</c:v>
                </c:pt>
                <c:pt idx="2390">
                  <c:v>9.5946127616135524E-3</c:v>
                </c:pt>
                <c:pt idx="2391">
                  <c:v>9.6585753948887909E-3</c:v>
                </c:pt>
                <c:pt idx="2392">
                  <c:v>9.6652391831404394E-3</c:v>
                </c:pt>
                <c:pt idx="2393">
                  <c:v>9.7307662263672601E-3</c:v>
                </c:pt>
                <c:pt idx="2394">
                  <c:v>9.7356473170919777E-3</c:v>
                </c:pt>
                <c:pt idx="2395">
                  <c:v>9.7364469832341705E-3</c:v>
                </c:pt>
                <c:pt idx="2396">
                  <c:v>9.7464907632700548E-3</c:v>
                </c:pt>
                <c:pt idx="2397">
                  <c:v>9.7904746102579487E-3</c:v>
                </c:pt>
                <c:pt idx="2398">
                  <c:v>9.7959615066218753E-3</c:v>
                </c:pt>
                <c:pt idx="2399">
                  <c:v>9.799484686632276E-3</c:v>
                </c:pt>
                <c:pt idx="2400">
                  <c:v>9.8006011331583931E-3</c:v>
                </c:pt>
                <c:pt idx="2401">
                  <c:v>9.8244489189900364E-3</c:v>
                </c:pt>
                <c:pt idx="2402">
                  <c:v>9.8447288737071315E-3</c:v>
                </c:pt>
                <c:pt idx="2403">
                  <c:v>9.8470196437185908E-3</c:v>
                </c:pt>
                <c:pt idx="2404">
                  <c:v>9.8928854348341311E-3</c:v>
                </c:pt>
                <c:pt idx="2405">
                  <c:v>9.9038070457990734E-3</c:v>
                </c:pt>
                <c:pt idx="2406">
                  <c:v>9.9136082280255611E-3</c:v>
                </c:pt>
                <c:pt idx="2407">
                  <c:v>9.9216226225757875E-3</c:v>
                </c:pt>
                <c:pt idx="2408">
                  <c:v>9.9302492216999383E-3</c:v>
                </c:pt>
                <c:pt idx="2409">
                  <c:v>9.9319618545286037E-3</c:v>
                </c:pt>
                <c:pt idx="2410">
                  <c:v>9.954074784169098E-3</c:v>
                </c:pt>
                <c:pt idx="2411">
                  <c:v>9.9593151254238066E-3</c:v>
                </c:pt>
                <c:pt idx="2412">
                  <c:v>9.9669596248801451E-3</c:v>
                </c:pt>
                <c:pt idx="2413">
                  <c:v>9.9730255616952146E-3</c:v>
                </c:pt>
                <c:pt idx="2414">
                  <c:v>9.9835390486275877E-3</c:v>
                </c:pt>
                <c:pt idx="2415">
                  <c:v>9.9966367140615908E-3</c:v>
                </c:pt>
                <c:pt idx="2416">
                  <c:v>1.0003079761323086E-2</c:v>
                </c:pt>
                <c:pt idx="2417">
                  <c:v>1.0005898679508407E-2</c:v>
                </c:pt>
                <c:pt idx="2418">
                  <c:v>1.000748174612176E-2</c:v>
                </c:pt>
                <c:pt idx="2419">
                  <c:v>1.0014180473926881E-2</c:v>
                </c:pt>
                <c:pt idx="2420">
                  <c:v>1.003129526569535E-2</c:v>
                </c:pt>
                <c:pt idx="2421">
                  <c:v>1.0032288032521874E-2</c:v>
                </c:pt>
                <c:pt idx="2422">
                  <c:v>1.0050136689453648E-2</c:v>
                </c:pt>
                <c:pt idx="2423">
                  <c:v>1.005464555076796E-2</c:v>
                </c:pt>
                <c:pt idx="2424">
                  <c:v>1.0065399048824197E-2</c:v>
                </c:pt>
                <c:pt idx="2425">
                  <c:v>1.0081778124392926E-2</c:v>
                </c:pt>
                <c:pt idx="2426">
                  <c:v>1.009801208424399E-2</c:v>
                </c:pt>
                <c:pt idx="2427">
                  <c:v>1.0124385093525756E-2</c:v>
                </c:pt>
                <c:pt idx="2428">
                  <c:v>1.0126179339849495E-2</c:v>
                </c:pt>
                <c:pt idx="2429">
                  <c:v>1.012703477281951E-2</c:v>
                </c:pt>
                <c:pt idx="2430">
                  <c:v>1.0142892231610467E-2</c:v>
                </c:pt>
                <c:pt idx="2431">
                  <c:v>1.0151752841530914E-2</c:v>
                </c:pt>
                <c:pt idx="2432">
                  <c:v>1.0185831970013659E-2</c:v>
                </c:pt>
                <c:pt idx="2433">
                  <c:v>1.0190449306704652E-2</c:v>
                </c:pt>
                <c:pt idx="2434">
                  <c:v>1.0198828704505614E-2</c:v>
                </c:pt>
                <c:pt idx="2435">
                  <c:v>1.0208576669334724E-2</c:v>
                </c:pt>
                <c:pt idx="2436">
                  <c:v>1.0235837457010399E-2</c:v>
                </c:pt>
                <c:pt idx="2437">
                  <c:v>1.0259972745233492E-2</c:v>
                </c:pt>
                <c:pt idx="2438">
                  <c:v>1.0263853461603301E-2</c:v>
                </c:pt>
                <c:pt idx="2439">
                  <c:v>1.0266494011579086E-2</c:v>
                </c:pt>
                <c:pt idx="2440">
                  <c:v>1.0266667944392571E-2</c:v>
                </c:pt>
                <c:pt idx="2441">
                  <c:v>1.0268579414367762E-2</c:v>
                </c:pt>
                <c:pt idx="2442">
                  <c:v>1.0273077304645106E-2</c:v>
                </c:pt>
                <c:pt idx="2443">
                  <c:v>1.0283429874886396E-2</c:v>
                </c:pt>
                <c:pt idx="2444">
                  <c:v>1.0284617910155447E-2</c:v>
                </c:pt>
                <c:pt idx="2445">
                  <c:v>1.0313835946727412E-2</c:v>
                </c:pt>
                <c:pt idx="2446">
                  <c:v>1.0365466381806243E-2</c:v>
                </c:pt>
                <c:pt idx="2447">
                  <c:v>1.0390538997123722E-2</c:v>
                </c:pt>
                <c:pt idx="2448">
                  <c:v>1.0406980859054116E-2</c:v>
                </c:pt>
                <c:pt idx="2449">
                  <c:v>1.0408545491471521E-2</c:v>
                </c:pt>
                <c:pt idx="2450">
                  <c:v>1.0414365037774154E-2</c:v>
                </c:pt>
                <c:pt idx="2451">
                  <c:v>1.042792082725752E-2</c:v>
                </c:pt>
                <c:pt idx="2452">
                  <c:v>1.0436856209095291E-2</c:v>
                </c:pt>
                <c:pt idx="2453">
                  <c:v>1.0445175801007345E-2</c:v>
                </c:pt>
                <c:pt idx="2454">
                  <c:v>1.0459068323401599E-2</c:v>
                </c:pt>
                <c:pt idx="2455">
                  <c:v>1.048033276965521E-2</c:v>
                </c:pt>
                <c:pt idx="2456">
                  <c:v>1.0480998844917933E-2</c:v>
                </c:pt>
                <c:pt idx="2457">
                  <c:v>1.0489598895417007E-2</c:v>
                </c:pt>
                <c:pt idx="2458">
                  <c:v>1.0489901843506511E-2</c:v>
                </c:pt>
                <c:pt idx="2459">
                  <c:v>1.0496960501594987E-2</c:v>
                </c:pt>
                <c:pt idx="2460">
                  <c:v>1.0503245085119906E-2</c:v>
                </c:pt>
                <c:pt idx="2461">
                  <c:v>1.0505782967664246E-2</c:v>
                </c:pt>
                <c:pt idx="2462">
                  <c:v>1.0522694503971364E-2</c:v>
                </c:pt>
                <c:pt idx="2463">
                  <c:v>1.0543332804101135E-2</c:v>
                </c:pt>
                <c:pt idx="2464">
                  <c:v>1.054908651034081E-2</c:v>
                </c:pt>
                <c:pt idx="2465">
                  <c:v>1.0557292158789977E-2</c:v>
                </c:pt>
                <c:pt idx="2466">
                  <c:v>1.0572523196084926E-2</c:v>
                </c:pt>
                <c:pt idx="2467">
                  <c:v>1.0581411460949486E-2</c:v>
                </c:pt>
                <c:pt idx="2468">
                  <c:v>1.0629544014234993E-2</c:v>
                </c:pt>
                <c:pt idx="2469">
                  <c:v>1.0635472160974935E-2</c:v>
                </c:pt>
                <c:pt idx="2470">
                  <c:v>1.069199768192286E-2</c:v>
                </c:pt>
                <c:pt idx="2471">
                  <c:v>1.0707593078610911E-2</c:v>
                </c:pt>
                <c:pt idx="2472">
                  <c:v>1.070796655622841E-2</c:v>
                </c:pt>
                <c:pt idx="2473">
                  <c:v>1.0708405182676684E-2</c:v>
                </c:pt>
                <c:pt idx="2474">
                  <c:v>1.0724064788534937E-2</c:v>
                </c:pt>
                <c:pt idx="2475">
                  <c:v>1.0728973183848023E-2</c:v>
                </c:pt>
                <c:pt idx="2476">
                  <c:v>1.0736169899996595E-2</c:v>
                </c:pt>
                <c:pt idx="2477">
                  <c:v>1.074204564308201E-2</c:v>
                </c:pt>
                <c:pt idx="2478">
                  <c:v>1.0747276909766068E-2</c:v>
                </c:pt>
                <c:pt idx="2479">
                  <c:v>1.0753050989417146E-2</c:v>
                </c:pt>
                <c:pt idx="2480">
                  <c:v>1.0773442089234253E-2</c:v>
                </c:pt>
                <c:pt idx="2481">
                  <c:v>1.0802774551551986E-2</c:v>
                </c:pt>
                <c:pt idx="2482">
                  <c:v>1.0812268562716554E-2</c:v>
                </c:pt>
                <c:pt idx="2483">
                  <c:v>1.0821626825629371E-2</c:v>
                </c:pt>
                <c:pt idx="2484">
                  <c:v>1.0841979380916467E-2</c:v>
                </c:pt>
                <c:pt idx="2485">
                  <c:v>1.0874586092184169E-2</c:v>
                </c:pt>
                <c:pt idx="2486">
                  <c:v>1.0876709343018875E-2</c:v>
                </c:pt>
                <c:pt idx="2487">
                  <c:v>1.08976073011402E-2</c:v>
                </c:pt>
                <c:pt idx="2488">
                  <c:v>1.0917629257815253E-2</c:v>
                </c:pt>
                <c:pt idx="2489">
                  <c:v>1.0922616185103484E-2</c:v>
                </c:pt>
                <c:pt idx="2490">
                  <c:v>1.0931804553640845E-2</c:v>
                </c:pt>
                <c:pt idx="2491">
                  <c:v>1.0940127256742205E-2</c:v>
                </c:pt>
                <c:pt idx="2492">
                  <c:v>1.096373512973714E-2</c:v>
                </c:pt>
                <c:pt idx="2493">
                  <c:v>1.0965855874027763E-2</c:v>
                </c:pt>
                <c:pt idx="2494">
                  <c:v>1.0979394422989452E-2</c:v>
                </c:pt>
                <c:pt idx="2495">
                  <c:v>1.1033332639940108E-2</c:v>
                </c:pt>
                <c:pt idx="2496">
                  <c:v>1.1069978846262041E-2</c:v>
                </c:pt>
                <c:pt idx="2497">
                  <c:v>1.1072891697944343E-2</c:v>
                </c:pt>
                <c:pt idx="2498">
                  <c:v>1.1095413374407892E-2</c:v>
                </c:pt>
                <c:pt idx="2499">
                  <c:v>1.1122636059545776E-2</c:v>
                </c:pt>
                <c:pt idx="2500">
                  <c:v>1.112380847323835E-2</c:v>
                </c:pt>
                <c:pt idx="2501">
                  <c:v>1.1139033470362936E-2</c:v>
                </c:pt>
                <c:pt idx="2502">
                  <c:v>1.114690194509671E-2</c:v>
                </c:pt>
                <c:pt idx="2503">
                  <c:v>1.1153224352010715E-2</c:v>
                </c:pt>
                <c:pt idx="2504">
                  <c:v>1.1154276635698457E-2</c:v>
                </c:pt>
                <c:pt idx="2505">
                  <c:v>1.1168258776395712E-2</c:v>
                </c:pt>
                <c:pt idx="2506">
                  <c:v>1.1170206971299779E-2</c:v>
                </c:pt>
                <c:pt idx="2507">
                  <c:v>1.1174960299349168E-2</c:v>
                </c:pt>
                <c:pt idx="2508">
                  <c:v>1.1187711382997012E-2</c:v>
                </c:pt>
                <c:pt idx="2509">
                  <c:v>1.1211889060849467E-2</c:v>
                </c:pt>
                <c:pt idx="2510">
                  <c:v>1.1219487068617751E-2</c:v>
                </c:pt>
                <c:pt idx="2511">
                  <c:v>1.122739437625353E-2</c:v>
                </c:pt>
                <c:pt idx="2512">
                  <c:v>1.1241672700625038E-2</c:v>
                </c:pt>
                <c:pt idx="2513">
                  <c:v>1.124574952028623E-2</c:v>
                </c:pt>
                <c:pt idx="2514">
                  <c:v>1.1250238360982046E-2</c:v>
                </c:pt>
                <c:pt idx="2515">
                  <c:v>1.1286878106291143E-2</c:v>
                </c:pt>
                <c:pt idx="2516">
                  <c:v>1.1297362852262127E-2</c:v>
                </c:pt>
                <c:pt idx="2517">
                  <c:v>1.1362144533299423E-2</c:v>
                </c:pt>
                <c:pt idx="2518">
                  <c:v>1.1367127309884983E-2</c:v>
                </c:pt>
                <c:pt idx="2519">
                  <c:v>1.1376516138654758E-2</c:v>
                </c:pt>
                <c:pt idx="2520">
                  <c:v>1.1395697852622844E-2</c:v>
                </c:pt>
                <c:pt idx="2521">
                  <c:v>1.1398079190221289E-2</c:v>
                </c:pt>
                <c:pt idx="2522">
                  <c:v>1.1415658466129575E-2</c:v>
                </c:pt>
                <c:pt idx="2523">
                  <c:v>1.1426068414340351E-2</c:v>
                </c:pt>
                <c:pt idx="2524">
                  <c:v>1.1464390618545206E-2</c:v>
                </c:pt>
                <c:pt idx="2525">
                  <c:v>1.1519226425036555E-2</c:v>
                </c:pt>
                <c:pt idx="2526">
                  <c:v>1.1552279781469554E-2</c:v>
                </c:pt>
                <c:pt idx="2527">
                  <c:v>1.1567310750682402E-2</c:v>
                </c:pt>
                <c:pt idx="2528">
                  <c:v>1.1587228416328754E-2</c:v>
                </c:pt>
                <c:pt idx="2529">
                  <c:v>1.1621495745916421E-2</c:v>
                </c:pt>
                <c:pt idx="2530">
                  <c:v>1.1687923699532199E-2</c:v>
                </c:pt>
                <c:pt idx="2531">
                  <c:v>1.1694674475305256E-2</c:v>
                </c:pt>
                <c:pt idx="2532">
                  <c:v>1.1710201022899991E-2</c:v>
                </c:pt>
                <c:pt idx="2533">
                  <c:v>1.1711300610353303E-2</c:v>
                </c:pt>
                <c:pt idx="2534">
                  <c:v>1.1745888707177077E-2</c:v>
                </c:pt>
                <c:pt idx="2535">
                  <c:v>1.1748121162392877E-2</c:v>
                </c:pt>
                <c:pt idx="2536">
                  <c:v>1.1754365300484571E-2</c:v>
                </c:pt>
                <c:pt idx="2537">
                  <c:v>1.178254028064929E-2</c:v>
                </c:pt>
                <c:pt idx="2538">
                  <c:v>1.1784448343812315E-2</c:v>
                </c:pt>
                <c:pt idx="2539">
                  <c:v>1.178550716437754E-2</c:v>
                </c:pt>
                <c:pt idx="2540">
                  <c:v>1.1789167840513315E-2</c:v>
                </c:pt>
                <c:pt idx="2541">
                  <c:v>1.1794187486813046E-2</c:v>
                </c:pt>
                <c:pt idx="2542">
                  <c:v>1.1823766716489104E-2</c:v>
                </c:pt>
                <c:pt idx="2543">
                  <c:v>1.1885648186560349E-2</c:v>
                </c:pt>
                <c:pt idx="2544">
                  <c:v>1.1887851234055891E-2</c:v>
                </c:pt>
                <c:pt idx="2545">
                  <c:v>1.1897476782886107E-2</c:v>
                </c:pt>
                <c:pt idx="2546">
                  <c:v>1.1899498886147608E-2</c:v>
                </c:pt>
                <c:pt idx="2547">
                  <c:v>1.1901370247630494E-2</c:v>
                </c:pt>
                <c:pt idx="2548">
                  <c:v>1.1969990913621276E-2</c:v>
                </c:pt>
                <c:pt idx="2549">
                  <c:v>1.199511142310139E-2</c:v>
                </c:pt>
                <c:pt idx="2550">
                  <c:v>1.2009189028963307E-2</c:v>
                </c:pt>
                <c:pt idx="2551">
                  <c:v>1.2023905872881047E-2</c:v>
                </c:pt>
                <c:pt idx="2552">
                  <c:v>1.2024821923175777E-2</c:v>
                </c:pt>
                <c:pt idx="2553">
                  <c:v>1.2042071378301378E-2</c:v>
                </c:pt>
                <c:pt idx="2554">
                  <c:v>1.2042432983932372E-2</c:v>
                </c:pt>
                <c:pt idx="2555">
                  <c:v>1.2073639219654764E-2</c:v>
                </c:pt>
                <c:pt idx="2556">
                  <c:v>1.210547184296229E-2</c:v>
                </c:pt>
                <c:pt idx="2557">
                  <c:v>1.2137495227320105E-2</c:v>
                </c:pt>
                <c:pt idx="2558">
                  <c:v>1.2138789989136312E-2</c:v>
                </c:pt>
                <c:pt idx="2559">
                  <c:v>1.2140302810141668E-2</c:v>
                </c:pt>
                <c:pt idx="2560">
                  <c:v>1.2149843866078314E-2</c:v>
                </c:pt>
                <c:pt idx="2561">
                  <c:v>1.2186861945566063E-2</c:v>
                </c:pt>
                <c:pt idx="2562">
                  <c:v>1.2197541676556733E-2</c:v>
                </c:pt>
                <c:pt idx="2563">
                  <c:v>1.2199030583928128E-2</c:v>
                </c:pt>
                <c:pt idx="2564">
                  <c:v>1.2208186878644112E-2</c:v>
                </c:pt>
                <c:pt idx="2565">
                  <c:v>1.2254509670666103E-2</c:v>
                </c:pt>
                <c:pt idx="2566">
                  <c:v>1.2272196140574509E-2</c:v>
                </c:pt>
                <c:pt idx="2567">
                  <c:v>1.2311406822125948E-2</c:v>
                </c:pt>
                <c:pt idx="2568">
                  <c:v>1.2334807063789643E-2</c:v>
                </c:pt>
                <c:pt idx="2569">
                  <c:v>1.2336336008667903E-2</c:v>
                </c:pt>
                <c:pt idx="2570">
                  <c:v>1.2347953445307036E-2</c:v>
                </c:pt>
                <c:pt idx="2571">
                  <c:v>1.2350583170418039E-2</c:v>
                </c:pt>
                <c:pt idx="2572">
                  <c:v>1.2360100826995124E-2</c:v>
                </c:pt>
                <c:pt idx="2573">
                  <c:v>1.2398552246837946E-2</c:v>
                </c:pt>
                <c:pt idx="2574">
                  <c:v>1.2399255047426339E-2</c:v>
                </c:pt>
                <c:pt idx="2575">
                  <c:v>1.2428548827423835E-2</c:v>
                </c:pt>
                <c:pt idx="2576">
                  <c:v>1.2462437436434826E-2</c:v>
                </c:pt>
                <c:pt idx="2577">
                  <c:v>1.2465280611009488E-2</c:v>
                </c:pt>
                <c:pt idx="2578">
                  <c:v>1.2467366447125539E-2</c:v>
                </c:pt>
                <c:pt idx="2579">
                  <c:v>1.2475608461045118E-2</c:v>
                </c:pt>
                <c:pt idx="2580">
                  <c:v>1.2493395684140651E-2</c:v>
                </c:pt>
                <c:pt idx="2581">
                  <c:v>1.2494520206146609E-2</c:v>
                </c:pt>
                <c:pt idx="2582">
                  <c:v>1.2494810782365695E-2</c:v>
                </c:pt>
                <c:pt idx="2583">
                  <c:v>1.2516343841846522E-2</c:v>
                </c:pt>
                <c:pt idx="2584">
                  <c:v>1.252319725986073E-2</c:v>
                </c:pt>
                <c:pt idx="2585">
                  <c:v>1.2564749462943059E-2</c:v>
                </c:pt>
                <c:pt idx="2586">
                  <c:v>1.2597309799072587E-2</c:v>
                </c:pt>
                <c:pt idx="2587">
                  <c:v>1.2619663779040113E-2</c:v>
                </c:pt>
                <c:pt idx="2588">
                  <c:v>1.2623229239870248E-2</c:v>
                </c:pt>
                <c:pt idx="2589">
                  <c:v>1.26239184105017E-2</c:v>
                </c:pt>
                <c:pt idx="2590">
                  <c:v>1.2633270405707719E-2</c:v>
                </c:pt>
                <c:pt idx="2591">
                  <c:v>1.2636372379469574E-2</c:v>
                </c:pt>
                <c:pt idx="2592">
                  <c:v>1.2667662054314688E-2</c:v>
                </c:pt>
                <c:pt idx="2593">
                  <c:v>1.2703197600826277E-2</c:v>
                </c:pt>
                <c:pt idx="2594">
                  <c:v>1.2706000692757513E-2</c:v>
                </c:pt>
                <c:pt idx="2595">
                  <c:v>1.2713923043152331E-2</c:v>
                </c:pt>
                <c:pt idx="2596">
                  <c:v>1.2716442339917311E-2</c:v>
                </c:pt>
                <c:pt idx="2597">
                  <c:v>1.2719959995585173E-2</c:v>
                </c:pt>
                <c:pt idx="2598">
                  <c:v>1.2745847811906907E-2</c:v>
                </c:pt>
                <c:pt idx="2599">
                  <c:v>1.2759282987635068E-2</c:v>
                </c:pt>
                <c:pt idx="2600">
                  <c:v>1.2767076380752584E-2</c:v>
                </c:pt>
                <c:pt idx="2601">
                  <c:v>1.2770715156613655E-2</c:v>
                </c:pt>
                <c:pt idx="2602">
                  <c:v>1.2782931101198214E-2</c:v>
                </c:pt>
                <c:pt idx="2603">
                  <c:v>1.280663525007486E-2</c:v>
                </c:pt>
                <c:pt idx="2604">
                  <c:v>1.2808568038797263E-2</c:v>
                </c:pt>
                <c:pt idx="2605">
                  <c:v>1.2812517962721648E-2</c:v>
                </c:pt>
                <c:pt idx="2606">
                  <c:v>1.2822499999728176E-2</c:v>
                </c:pt>
                <c:pt idx="2607">
                  <c:v>1.2839813747556938E-2</c:v>
                </c:pt>
                <c:pt idx="2608">
                  <c:v>1.2842961307666156E-2</c:v>
                </c:pt>
                <c:pt idx="2609">
                  <c:v>1.2861645227154161E-2</c:v>
                </c:pt>
                <c:pt idx="2610">
                  <c:v>1.2867708505465147E-2</c:v>
                </c:pt>
                <c:pt idx="2611">
                  <c:v>1.2868536862658875E-2</c:v>
                </c:pt>
                <c:pt idx="2612">
                  <c:v>1.2874896371623645E-2</c:v>
                </c:pt>
                <c:pt idx="2613">
                  <c:v>1.2900023312303333E-2</c:v>
                </c:pt>
                <c:pt idx="2614">
                  <c:v>1.2905032737023925E-2</c:v>
                </c:pt>
                <c:pt idx="2615">
                  <c:v>1.291172145429309E-2</c:v>
                </c:pt>
                <c:pt idx="2616">
                  <c:v>1.2930589759229338E-2</c:v>
                </c:pt>
                <c:pt idx="2617">
                  <c:v>1.293180707631314E-2</c:v>
                </c:pt>
                <c:pt idx="2618">
                  <c:v>1.2961565082464155E-2</c:v>
                </c:pt>
                <c:pt idx="2619">
                  <c:v>1.2961619050959383E-2</c:v>
                </c:pt>
                <c:pt idx="2620">
                  <c:v>1.2979702090678114E-2</c:v>
                </c:pt>
                <c:pt idx="2621">
                  <c:v>1.2988009045237447E-2</c:v>
                </c:pt>
                <c:pt idx="2622">
                  <c:v>1.2997129310732936E-2</c:v>
                </c:pt>
                <c:pt idx="2623">
                  <c:v>1.3009505424350642E-2</c:v>
                </c:pt>
                <c:pt idx="2624">
                  <c:v>1.3015234015375077E-2</c:v>
                </c:pt>
                <c:pt idx="2625">
                  <c:v>1.3029016149185502E-2</c:v>
                </c:pt>
                <c:pt idx="2626">
                  <c:v>1.3105188078721186E-2</c:v>
                </c:pt>
                <c:pt idx="2627">
                  <c:v>1.3117198838619393E-2</c:v>
                </c:pt>
                <c:pt idx="2628">
                  <c:v>1.3136106735777586E-2</c:v>
                </c:pt>
                <c:pt idx="2629">
                  <c:v>1.3139656314417492E-2</c:v>
                </c:pt>
                <c:pt idx="2630">
                  <c:v>1.314168264623583E-2</c:v>
                </c:pt>
                <c:pt idx="2631">
                  <c:v>1.3197636327229256E-2</c:v>
                </c:pt>
                <c:pt idx="2632">
                  <c:v>1.321554833207661E-2</c:v>
                </c:pt>
                <c:pt idx="2633">
                  <c:v>1.3224066792122402E-2</c:v>
                </c:pt>
                <c:pt idx="2634">
                  <c:v>1.3226635613760918E-2</c:v>
                </c:pt>
                <c:pt idx="2635">
                  <c:v>1.3248199535052185E-2</c:v>
                </c:pt>
                <c:pt idx="2636">
                  <c:v>1.3249584754481791E-2</c:v>
                </c:pt>
                <c:pt idx="2637">
                  <c:v>1.3337662489906643E-2</c:v>
                </c:pt>
                <c:pt idx="2638">
                  <c:v>1.3349342935300212E-2</c:v>
                </c:pt>
                <c:pt idx="2639">
                  <c:v>1.3405504384347955E-2</c:v>
                </c:pt>
                <c:pt idx="2640">
                  <c:v>1.340892861220655E-2</c:v>
                </c:pt>
                <c:pt idx="2641">
                  <c:v>1.3443381438314139E-2</c:v>
                </c:pt>
                <c:pt idx="2642">
                  <c:v>1.3498988042954796E-2</c:v>
                </c:pt>
                <c:pt idx="2643">
                  <c:v>1.3501403188558303E-2</c:v>
                </c:pt>
                <c:pt idx="2644">
                  <c:v>1.3521147084123886E-2</c:v>
                </c:pt>
                <c:pt idx="2645">
                  <c:v>1.352411871623671E-2</c:v>
                </c:pt>
                <c:pt idx="2646">
                  <c:v>1.3574804927539486E-2</c:v>
                </c:pt>
                <c:pt idx="2647">
                  <c:v>1.3676194199087055E-2</c:v>
                </c:pt>
                <c:pt idx="2648">
                  <c:v>1.368991378427542E-2</c:v>
                </c:pt>
                <c:pt idx="2649">
                  <c:v>1.3740412143075975E-2</c:v>
                </c:pt>
                <c:pt idx="2650">
                  <c:v>1.37648256955889E-2</c:v>
                </c:pt>
                <c:pt idx="2651">
                  <c:v>1.3791711951071317E-2</c:v>
                </c:pt>
                <c:pt idx="2652">
                  <c:v>1.3799689907491031E-2</c:v>
                </c:pt>
                <c:pt idx="2653">
                  <c:v>1.382026629932831E-2</c:v>
                </c:pt>
                <c:pt idx="2654">
                  <c:v>1.3826036185691448E-2</c:v>
                </c:pt>
                <c:pt idx="2655">
                  <c:v>1.3870667442045015E-2</c:v>
                </c:pt>
                <c:pt idx="2656">
                  <c:v>1.387381224076778E-2</c:v>
                </c:pt>
                <c:pt idx="2657">
                  <c:v>1.3876898847696495E-2</c:v>
                </c:pt>
                <c:pt idx="2658">
                  <c:v>1.3889056554802659E-2</c:v>
                </c:pt>
                <c:pt idx="2659">
                  <c:v>1.3951674053906737E-2</c:v>
                </c:pt>
                <c:pt idx="2660">
                  <c:v>1.3953596659826761E-2</c:v>
                </c:pt>
                <c:pt idx="2661">
                  <c:v>1.396144876124672E-2</c:v>
                </c:pt>
                <c:pt idx="2662">
                  <c:v>1.399685252800098E-2</c:v>
                </c:pt>
                <c:pt idx="2663">
                  <c:v>1.399854901527009E-2</c:v>
                </c:pt>
                <c:pt idx="2664">
                  <c:v>1.4033475106632887E-2</c:v>
                </c:pt>
                <c:pt idx="2665">
                  <c:v>1.4072663810883235E-2</c:v>
                </c:pt>
                <c:pt idx="2666">
                  <c:v>1.4079256327953038E-2</c:v>
                </c:pt>
                <c:pt idx="2667">
                  <c:v>1.4082206835396294E-2</c:v>
                </c:pt>
                <c:pt idx="2668">
                  <c:v>1.4087477112797897E-2</c:v>
                </c:pt>
                <c:pt idx="2669">
                  <c:v>1.4181731046498891E-2</c:v>
                </c:pt>
                <c:pt idx="2670">
                  <c:v>1.4197639722517641E-2</c:v>
                </c:pt>
                <c:pt idx="2671">
                  <c:v>1.4226888014398753E-2</c:v>
                </c:pt>
                <c:pt idx="2672">
                  <c:v>1.4258165110562659E-2</c:v>
                </c:pt>
                <c:pt idx="2673">
                  <c:v>1.429968684387406E-2</c:v>
                </c:pt>
                <c:pt idx="2674">
                  <c:v>1.4316474548208946E-2</c:v>
                </c:pt>
                <c:pt idx="2675">
                  <c:v>1.4321517248008675E-2</c:v>
                </c:pt>
                <c:pt idx="2676">
                  <c:v>1.4334168125398339E-2</c:v>
                </c:pt>
                <c:pt idx="2677">
                  <c:v>1.4361861061999992E-2</c:v>
                </c:pt>
                <c:pt idx="2678">
                  <c:v>1.437129808516624E-2</c:v>
                </c:pt>
                <c:pt idx="2679">
                  <c:v>1.439329576723436E-2</c:v>
                </c:pt>
                <c:pt idx="2680">
                  <c:v>1.4394706451214434E-2</c:v>
                </c:pt>
                <c:pt idx="2681">
                  <c:v>1.4408205334746071E-2</c:v>
                </c:pt>
                <c:pt idx="2682">
                  <c:v>1.4409461403228407E-2</c:v>
                </c:pt>
                <c:pt idx="2683">
                  <c:v>1.4412574260537658E-2</c:v>
                </c:pt>
                <c:pt idx="2684">
                  <c:v>1.4418856820911152E-2</c:v>
                </c:pt>
                <c:pt idx="2685">
                  <c:v>1.4421159748398971E-2</c:v>
                </c:pt>
                <c:pt idx="2686">
                  <c:v>1.4424863379256747E-2</c:v>
                </c:pt>
                <c:pt idx="2687">
                  <c:v>1.4458678926305923E-2</c:v>
                </c:pt>
                <c:pt idx="2688">
                  <c:v>1.4475341126557684E-2</c:v>
                </c:pt>
                <c:pt idx="2689">
                  <c:v>1.4489315407685499E-2</c:v>
                </c:pt>
                <c:pt idx="2690">
                  <c:v>1.4519920833868882E-2</c:v>
                </c:pt>
                <c:pt idx="2691">
                  <c:v>1.4548165839829208E-2</c:v>
                </c:pt>
                <c:pt idx="2692">
                  <c:v>1.4550685461780954E-2</c:v>
                </c:pt>
                <c:pt idx="2693">
                  <c:v>1.4555443795115197E-2</c:v>
                </c:pt>
                <c:pt idx="2694">
                  <c:v>1.4566961393946309E-2</c:v>
                </c:pt>
                <c:pt idx="2695">
                  <c:v>1.4568234307484884E-2</c:v>
                </c:pt>
                <c:pt idx="2696">
                  <c:v>1.4571485059522882E-2</c:v>
                </c:pt>
                <c:pt idx="2697">
                  <c:v>1.4579900550292013E-2</c:v>
                </c:pt>
                <c:pt idx="2698">
                  <c:v>1.4585491552060237E-2</c:v>
                </c:pt>
                <c:pt idx="2699">
                  <c:v>1.4601453961861743E-2</c:v>
                </c:pt>
                <c:pt idx="2700">
                  <c:v>1.4645872779069924E-2</c:v>
                </c:pt>
                <c:pt idx="2701">
                  <c:v>1.4682678907785185E-2</c:v>
                </c:pt>
                <c:pt idx="2702">
                  <c:v>1.4736301208752911E-2</c:v>
                </c:pt>
                <c:pt idx="2703">
                  <c:v>1.4738000413001107E-2</c:v>
                </c:pt>
                <c:pt idx="2704">
                  <c:v>1.4793449697369843E-2</c:v>
                </c:pt>
                <c:pt idx="2705">
                  <c:v>1.4804204747513428E-2</c:v>
                </c:pt>
                <c:pt idx="2706">
                  <c:v>1.4812383418226993E-2</c:v>
                </c:pt>
                <c:pt idx="2707">
                  <c:v>1.4838863978170913E-2</c:v>
                </c:pt>
                <c:pt idx="2708">
                  <c:v>1.4873491273669437E-2</c:v>
                </c:pt>
                <c:pt idx="2709">
                  <c:v>1.4878461254248077E-2</c:v>
                </c:pt>
                <c:pt idx="2710">
                  <c:v>1.4944095586940431E-2</c:v>
                </c:pt>
                <c:pt idx="2711">
                  <c:v>1.4962137211544491E-2</c:v>
                </c:pt>
                <c:pt idx="2712">
                  <c:v>1.4981959418438162E-2</c:v>
                </c:pt>
                <c:pt idx="2713">
                  <c:v>1.4982825437293457E-2</c:v>
                </c:pt>
                <c:pt idx="2714">
                  <c:v>1.5004701523528174E-2</c:v>
                </c:pt>
                <c:pt idx="2715">
                  <c:v>1.5034088956453973E-2</c:v>
                </c:pt>
                <c:pt idx="2716">
                  <c:v>1.5064382063562753E-2</c:v>
                </c:pt>
                <c:pt idx="2717">
                  <c:v>1.5089672931574816E-2</c:v>
                </c:pt>
                <c:pt idx="2718">
                  <c:v>1.5106679317070881E-2</c:v>
                </c:pt>
                <c:pt idx="2719">
                  <c:v>1.5159264590280719E-2</c:v>
                </c:pt>
                <c:pt idx="2720">
                  <c:v>1.5194803982287342E-2</c:v>
                </c:pt>
                <c:pt idx="2721">
                  <c:v>1.5222424415749058E-2</c:v>
                </c:pt>
                <c:pt idx="2722">
                  <c:v>1.5263562716119061E-2</c:v>
                </c:pt>
                <c:pt idx="2723">
                  <c:v>1.5294738983263834E-2</c:v>
                </c:pt>
                <c:pt idx="2724">
                  <c:v>1.5298022586337945E-2</c:v>
                </c:pt>
                <c:pt idx="2725">
                  <c:v>1.539268419958395E-2</c:v>
                </c:pt>
                <c:pt idx="2726">
                  <c:v>1.5443573444230863E-2</c:v>
                </c:pt>
                <c:pt idx="2727">
                  <c:v>1.5476152042830593E-2</c:v>
                </c:pt>
                <c:pt idx="2728">
                  <c:v>1.5483735646249386E-2</c:v>
                </c:pt>
                <c:pt idx="2729">
                  <c:v>1.5551274164582241E-2</c:v>
                </c:pt>
                <c:pt idx="2730">
                  <c:v>1.5568722214230224E-2</c:v>
                </c:pt>
                <c:pt idx="2731">
                  <c:v>1.5581798575616146E-2</c:v>
                </c:pt>
                <c:pt idx="2732">
                  <c:v>1.5593192175646475E-2</c:v>
                </c:pt>
                <c:pt idx="2733">
                  <c:v>1.5594421487618249E-2</c:v>
                </c:pt>
                <c:pt idx="2734">
                  <c:v>1.5595367641161317E-2</c:v>
                </c:pt>
                <c:pt idx="2735">
                  <c:v>1.5658094781409559E-2</c:v>
                </c:pt>
                <c:pt idx="2736">
                  <c:v>1.5664912477863391E-2</c:v>
                </c:pt>
                <c:pt idx="2737">
                  <c:v>1.5735274513311026E-2</c:v>
                </c:pt>
                <c:pt idx="2738">
                  <c:v>1.5781270376355572E-2</c:v>
                </c:pt>
                <c:pt idx="2739">
                  <c:v>1.5807029732342048E-2</c:v>
                </c:pt>
                <c:pt idx="2740">
                  <c:v>1.5814955842588407E-2</c:v>
                </c:pt>
                <c:pt idx="2741">
                  <c:v>1.5825817389439001E-2</c:v>
                </c:pt>
                <c:pt idx="2742">
                  <c:v>1.5829494982074532E-2</c:v>
                </c:pt>
                <c:pt idx="2743">
                  <c:v>1.5844077365528397E-2</c:v>
                </c:pt>
                <c:pt idx="2744">
                  <c:v>1.5928146711610358E-2</c:v>
                </c:pt>
                <c:pt idx="2745">
                  <c:v>1.5962269016385422E-2</c:v>
                </c:pt>
                <c:pt idx="2746">
                  <c:v>1.5997159437471486E-2</c:v>
                </c:pt>
                <c:pt idx="2747">
                  <c:v>1.6007241962923136E-2</c:v>
                </c:pt>
                <c:pt idx="2748">
                  <c:v>1.6013974008109333E-2</c:v>
                </c:pt>
                <c:pt idx="2749">
                  <c:v>1.6017223832966332E-2</c:v>
                </c:pt>
                <c:pt idx="2750">
                  <c:v>1.6017532844582627E-2</c:v>
                </c:pt>
                <c:pt idx="2751">
                  <c:v>1.6160017478718203E-2</c:v>
                </c:pt>
                <c:pt idx="2752">
                  <c:v>1.619213402133024E-2</c:v>
                </c:pt>
                <c:pt idx="2753">
                  <c:v>1.626791575945985E-2</c:v>
                </c:pt>
                <c:pt idx="2754">
                  <c:v>1.6301144617347774E-2</c:v>
                </c:pt>
                <c:pt idx="2755">
                  <c:v>1.6315159277453972E-2</c:v>
                </c:pt>
                <c:pt idx="2756">
                  <c:v>1.632422681012824E-2</c:v>
                </c:pt>
                <c:pt idx="2757">
                  <c:v>1.6332331545262813E-2</c:v>
                </c:pt>
                <c:pt idx="2758">
                  <c:v>1.6352738529139543E-2</c:v>
                </c:pt>
                <c:pt idx="2759">
                  <c:v>1.6371206277803863E-2</c:v>
                </c:pt>
                <c:pt idx="2760">
                  <c:v>1.6379190683877942E-2</c:v>
                </c:pt>
                <c:pt idx="2761">
                  <c:v>1.6385716797225225E-2</c:v>
                </c:pt>
                <c:pt idx="2762">
                  <c:v>1.639968976405437E-2</c:v>
                </c:pt>
                <c:pt idx="2763">
                  <c:v>1.6406089077159347E-2</c:v>
                </c:pt>
                <c:pt idx="2764">
                  <c:v>1.6419649960163651E-2</c:v>
                </c:pt>
                <c:pt idx="2765">
                  <c:v>1.6450908711926893E-2</c:v>
                </c:pt>
                <c:pt idx="2766">
                  <c:v>1.6452967103252059E-2</c:v>
                </c:pt>
                <c:pt idx="2767">
                  <c:v>1.6485569278334999E-2</c:v>
                </c:pt>
                <c:pt idx="2768">
                  <c:v>1.6508456832467155E-2</c:v>
                </c:pt>
                <c:pt idx="2769">
                  <c:v>1.6530086158770274E-2</c:v>
                </c:pt>
                <c:pt idx="2770">
                  <c:v>1.6549822680157034E-2</c:v>
                </c:pt>
                <c:pt idx="2771">
                  <c:v>1.6573975757318005E-2</c:v>
                </c:pt>
                <c:pt idx="2772">
                  <c:v>1.6596933924521995E-2</c:v>
                </c:pt>
                <c:pt idx="2773">
                  <c:v>1.6613312650014089E-2</c:v>
                </c:pt>
                <c:pt idx="2774">
                  <c:v>1.6646091416568254E-2</c:v>
                </c:pt>
                <c:pt idx="2775">
                  <c:v>1.6675681265736264E-2</c:v>
                </c:pt>
                <c:pt idx="2776">
                  <c:v>1.6710684454402047E-2</c:v>
                </c:pt>
                <c:pt idx="2777">
                  <c:v>1.672221606757085E-2</c:v>
                </c:pt>
                <c:pt idx="2778">
                  <c:v>1.6741318133299155E-2</c:v>
                </c:pt>
                <c:pt idx="2779">
                  <c:v>1.6749296976786621E-2</c:v>
                </c:pt>
                <c:pt idx="2780">
                  <c:v>1.6753681897254902E-2</c:v>
                </c:pt>
                <c:pt idx="2781">
                  <c:v>1.6770347640330252E-2</c:v>
                </c:pt>
                <c:pt idx="2782">
                  <c:v>1.6778607490236741E-2</c:v>
                </c:pt>
                <c:pt idx="2783">
                  <c:v>1.6844427507294091E-2</c:v>
                </c:pt>
                <c:pt idx="2784">
                  <c:v>1.6847681222913469E-2</c:v>
                </c:pt>
                <c:pt idx="2785">
                  <c:v>1.6861823036938839E-2</c:v>
                </c:pt>
                <c:pt idx="2786">
                  <c:v>1.6885363937735987E-2</c:v>
                </c:pt>
                <c:pt idx="2787">
                  <c:v>1.6907486984542919E-2</c:v>
                </c:pt>
                <c:pt idx="2788">
                  <c:v>1.6918331372382189E-2</c:v>
                </c:pt>
                <c:pt idx="2789">
                  <c:v>1.694208449546375E-2</c:v>
                </c:pt>
                <c:pt idx="2790">
                  <c:v>1.6997359419916203E-2</c:v>
                </c:pt>
                <c:pt idx="2791">
                  <c:v>1.7004939066364688E-2</c:v>
                </c:pt>
                <c:pt idx="2792">
                  <c:v>1.7008970366346965E-2</c:v>
                </c:pt>
                <c:pt idx="2793">
                  <c:v>1.7015962301211829E-2</c:v>
                </c:pt>
                <c:pt idx="2794">
                  <c:v>1.701791475098946E-2</c:v>
                </c:pt>
                <c:pt idx="2795">
                  <c:v>1.7037042501279354E-2</c:v>
                </c:pt>
                <c:pt idx="2796">
                  <c:v>1.7040184158148675E-2</c:v>
                </c:pt>
                <c:pt idx="2797">
                  <c:v>1.7062821150993113E-2</c:v>
                </c:pt>
                <c:pt idx="2798">
                  <c:v>1.7092466719881294E-2</c:v>
                </c:pt>
                <c:pt idx="2799">
                  <c:v>1.7122250344436374E-2</c:v>
                </c:pt>
                <c:pt idx="2800">
                  <c:v>1.7137349174556116E-2</c:v>
                </c:pt>
                <c:pt idx="2801">
                  <c:v>1.7156837824230387E-2</c:v>
                </c:pt>
                <c:pt idx="2802">
                  <c:v>1.7257117132059907E-2</c:v>
                </c:pt>
                <c:pt idx="2803">
                  <c:v>1.7296235257817649E-2</c:v>
                </c:pt>
                <c:pt idx="2804">
                  <c:v>1.7387812543682379E-2</c:v>
                </c:pt>
                <c:pt idx="2805">
                  <c:v>1.7464677250356164E-2</c:v>
                </c:pt>
                <c:pt idx="2806">
                  <c:v>1.7484042034358049E-2</c:v>
                </c:pt>
                <c:pt idx="2807">
                  <c:v>1.7507106648044779E-2</c:v>
                </c:pt>
                <c:pt idx="2808">
                  <c:v>1.753347244771386E-2</c:v>
                </c:pt>
                <c:pt idx="2809">
                  <c:v>1.7550994860339619E-2</c:v>
                </c:pt>
                <c:pt idx="2810">
                  <c:v>1.7583252959133766E-2</c:v>
                </c:pt>
                <c:pt idx="2811">
                  <c:v>1.7583462167185537E-2</c:v>
                </c:pt>
                <c:pt idx="2812">
                  <c:v>1.7584330997850062E-2</c:v>
                </c:pt>
                <c:pt idx="2813">
                  <c:v>1.7600255138628063E-2</c:v>
                </c:pt>
                <c:pt idx="2814">
                  <c:v>1.7647853412254166E-2</c:v>
                </c:pt>
                <c:pt idx="2815">
                  <c:v>1.769862458200433E-2</c:v>
                </c:pt>
                <c:pt idx="2816">
                  <c:v>1.7716667650736317E-2</c:v>
                </c:pt>
                <c:pt idx="2817">
                  <c:v>1.7744138041323909E-2</c:v>
                </c:pt>
                <c:pt idx="2818">
                  <c:v>1.7758550489641145E-2</c:v>
                </c:pt>
                <c:pt idx="2819">
                  <c:v>1.7765920991404283E-2</c:v>
                </c:pt>
                <c:pt idx="2820">
                  <c:v>1.7773407368519401E-2</c:v>
                </c:pt>
                <c:pt idx="2821">
                  <c:v>1.7818921265970733E-2</c:v>
                </c:pt>
                <c:pt idx="2822">
                  <c:v>1.7822685244235803E-2</c:v>
                </c:pt>
                <c:pt idx="2823">
                  <c:v>1.7830258927489906E-2</c:v>
                </c:pt>
                <c:pt idx="2824">
                  <c:v>1.7841063754866715E-2</c:v>
                </c:pt>
                <c:pt idx="2825">
                  <c:v>1.7847650762826905E-2</c:v>
                </c:pt>
                <c:pt idx="2826">
                  <c:v>1.7888674491515433E-2</c:v>
                </c:pt>
                <c:pt idx="2827">
                  <c:v>1.7905647146224446E-2</c:v>
                </c:pt>
                <c:pt idx="2828">
                  <c:v>1.7911676628912021E-2</c:v>
                </c:pt>
                <c:pt idx="2829">
                  <c:v>1.793656191515991E-2</c:v>
                </c:pt>
                <c:pt idx="2830">
                  <c:v>1.7966969581452386E-2</c:v>
                </c:pt>
                <c:pt idx="2831">
                  <c:v>1.7994954201210334E-2</c:v>
                </c:pt>
                <c:pt idx="2832">
                  <c:v>1.801428363095714E-2</c:v>
                </c:pt>
                <c:pt idx="2833">
                  <c:v>1.804268421657218E-2</c:v>
                </c:pt>
                <c:pt idx="2834">
                  <c:v>1.8057405286630246E-2</c:v>
                </c:pt>
                <c:pt idx="2835">
                  <c:v>1.8101177208842412E-2</c:v>
                </c:pt>
                <c:pt idx="2836">
                  <c:v>1.8114575069779537E-2</c:v>
                </c:pt>
                <c:pt idx="2837">
                  <c:v>1.8149132871908336E-2</c:v>
                </c:pt>
                <c:pt idx="2838">
                  <c:v>1.8168067843200575E-2</c:v>
                </c:pt>
                <c:pt idx="2839">
                  <c:v>1.8243731689683962E-2</c:v>
                </c:pt>
                <c:pt idx="2840">
                  <c:v>1.825927481513534E-2</c:v>
                </c:pt>
                <c:pt idx="2841">
                  <c:v>1.8282539443352341E-2</c:v>
                </c:pt>
                <c:pt idx="2842">
                  <c:v>1.8291176662544206E-2</c:v>
                </c:pt>
                <c:pt idx="2843">
                  <c:v>1.8299036169205696E-2</c:v>
                </c:pt>
                <c:pt idx="2844">
                  <c:v>1.832327740082218E-2</c:v>
                </c:pt>
                <c:pt idx="2845">
                  <c:v>1.8327236636410227E-2</c:v>
                </c:pt>
                <c:pt idx="2846">
                  <c:v>1.8393181279726223E-2</c:v>
                </c:pt>
                <c:pt idx="2847">
                  <c:v>1.840897660780505E-2</c:v>
                </c:pt>
                <c:pt idx="2848">
                  <c:v>1.8425948104687784E-2</c:v>
                </c:pt>
                <c:pt idx="2849">
                  <c:v>1.843744279203885E-2</c:v>
                </c:pt>
                <c:pt idx="2850">
                  <c:v>1.845349705905952E-2</c:v>
                </c:pt>
                <c:pt idx="2851">
                  <c:v>1.8477549872278232E-2</c:v>
                </c:pt>
                <c:pt idx="2852">
                  <c:v>1.8516254755643002E-2</c:v>
                </c:pt>
                <c:pt idx="2853">
                  <c:v>1.854203170029689E-2</c:v>
                </c:pt>
                <c:pt idx="2854">
                  <c:v>1.8574303725918062E-2</c:v>
                </c:pt>
                <c:pt idx="2855">
                  <c:v>1.8595763455982794E-2</c:v>
                </c:pt>
                <c:pt idx="2856">
                  <c:v>1.8618119896503416E-2</c:v>
                </c:pt>
                <c:pt idx="2857">
                  <c:v>1.8644922386348295E-2</c:v>
                </c:pt>
                <c:pt idx="2858">
                  <c:v>1.8723954432603662E-2</c:v>
                </c:pt>
                <c:pt idx="2859">
                  <c:v>1.8736947042616636E-2</c:v>
                </c:pt>
                <c:pt idx="2860">
                  <c:v>1.8758042087906102E-2</c:v>
                </c:pt>
                <c:pt idx="2861">
                  <c:v>1.8871557850037135E-2</c:v>
                </c:pt>
                <c:pt idx="2862">
                  <c:v>1.8876741327109592E-2</c:v>
                </c:pt>
                <c:pt idx="2863">
                  <c:v>1.8884507502201719E-2</c:v>
                </c:pt>
                <c:pt idx="2864">
                  <c:v>1.8942814636478289E-2</c:v>
                </c:pt>
                <c:pt idx="2865">
                  <c:v>1.8946655974299231E-2</c:v>
                </c:pt>
                <c:pt idx="2866">
                  <c:v>1.8973141125631088E-2</c:v>
                </c:pt>
                <c:pt idx="2867">
                  <c:v>1.8975296244726492E-2</c:v>
                </c:pt>
                <c:pt idx="2868">
                  <c:v>1.9037351115821277E-2</c:v>
                </c:pt>
                <c:pt idx="2869">
                  <c:v>1.9083403681701361E-2</c:v>
                </c:pt>
                <c:pt idx="2870">
                  <c:v>1.911183217867185E-2</c:v>
                </c:pt>
                <c:pt idx="2871">
                  <c:v>1.9160587280884211E-2</c:v>
                </c:pt>
                <c:pt idx="2872">
                  <c:v>1.9184029973998262E-2</c:v>
                </c:pt>
                <c:pt idx="2873">
                  <c:v>1.9184593387829185E-2</c:v>
                </c:pt>
                <c:pt idx="2874">
                  <c:v>1.9217778482382819E-2</c:v>
                </c:pt>
                <c:pt idx="2875">
                  <c:v>1.9272115656559619E-2</c:v>
                </c:pt>
                <c:pt idx="2876">
                  <c:v>1.9367722524789022E-2</c:v>
                </c:pt>
                <c:pt idx="2877">
                  <c:v>1.9386905446113101E-2</c:v>
                </c:pt>
                <c:pt idx="2878">
                  <c:v>1.9544052801657497E-2</c:v>
                </c:pt>
                <c:pt idx="2879">
                  <c:v>1.9595792249859079E-2</c:v>
                </c:pt>
                <c:pt idx="2880">
                  <c:v>1.959694977172588E-2</c:v>
                </c:pt>
                <c:pt idx="2881">
                  <c:v>1.9623004649385045E-2</c:v>
                </c:pt>
                <c:pt idx="2882">
                  <c:v>1.9653058743416274E-2</c:v>
                </c:pt>
                <c:pt idx="2883">
                  <c:v>1.9668036111078369E-2</c:v>
                </c:pt>
                <c:pt idx="2884">
                  <c:v>1.9673952474892564E-2</c:v>
                </c:pt>
                <c:pt idx="2885">
                  <c:v>1.9711228688976012E-2</c:v>
                </c:pt>
                <c:pt idx="2886">
                  <c:v>1.9712242318097539E-2</c:v>
                </c:pt>
                <c:pt idx="2887">
                  <c:v>1.9721781659034043E-2</c:v>
                </c:pt>
                <c:pt idx="2888">
                  <c:v>1.972889819126511E-2</c:v>
                </c:pt>
                <c:pt idx="2889">
                  <c:v>1.9732459058061647E-2</c:v>
                </c:pt>
                <c:pt idx="2890">
                  <c:v>1.9746759955335147E-2</c:v>
                </c:pt>
                <c:pt idx="2891">
                  <c:v>1.9848543982021072E-2</c:v>
                </c:pt>
                <c:pt idx="2892">
                  <c:v>1.9907281871857085E-2</c:v>
                </c:pt>
                <c:pt idx="2893">
                  <c:v>1.9934577553046173E-2</c:v>
                </c:pt>
                <c:pt idx="2894">
                  <c:v>1.9957007140802396E-2</c:v>
                </c:pt>
                <c:pt idx="2895">
                  <c:v>1.9977871119993384E-2</c:v>
                </c:pt>
                <c:pt idx="2896">
                  <c:v>2.0135821840521428E-2</c:v>
                </c:pt>
                <c:pt idx="2897">
                  <c:v>2.0176487020320266E-2</c:v>
                </c:pt>
                <c:pt idx="2898">
                  <c:v>2.0244910284840101E-2</c:v>
                </c:pt>
                <c:pt idx="2899">
                  <c:v>2.0260179317369342E-2</c:v>
                </c:pt>
                <c:pt idx="2900">
                  <c:v>2.0263872605739586E-2</c:v>
                </c:pt>
                <c:pt idx="2901">
                  <c:v>2.0264817299062932E-2</c:v>
                </c:pt>
                <c:pt idx="2902">
                  <c:v>2.0321308948034966E-2</c:v>
                </c:pt>
                <c:pt idx="2903">
                  <c:v>2.0344065031434599E-2</c:v>
                </c:pt>
                <c:pt idx="2904">
                  <c:v>2.0372115093319154E-2</c:v>
                </c:pt>
                <c:pt idx="2905">
                  <c:v>2.0521789959215164E-2</c:v>
                </c:pt>
                <c:pt idx="2906">
                  <c:v>2.0636855780046925E-2</c:v>
                </c:pt>
                <c:pt idx="2907">
                  <c:v>2.0652574215955344E-2</c:v>
                </c:pt>
                <c:pt idx="2908">
                  <c:v>2.0674669916665556E-2</c:v>
                </c:pt>
                <c:pt idx="2909">
                  <c:v>2.0693890657200065E-2</c:v>
                </c:pt>
                <c:pt idx="2910">
                  <c:v>2.0708403124602759E-2</c:v>
                </c:pt>
                <c:pt idx="2911">
                  <c:v>2.073357675257137E-2</c:v>
                </c:pt>
                <c:pt idx="2912">
                  <c:v>2.0767055101232224E-2</c:v>
                </c:pt>
                <c:pt idx="2913">
                  <c:v>2.0775180775363111E-2</c:v>
                </c:pt>
                <c:pt idx="2914">
                  <c:v>2.0823507256309437E-2</c:v>
                </c:pt>
                <c:pt idx="2915">
                  <c:v>2.084627052465593E-2</c:v>
                </c:pt>
                <c:pt idx="2916">
                  <c:v>2.0847216389028977E-2</c:v>
                </c:pt>
                <c:pt idx="2917">
                  <c:v>2.0854589747597574E-2</c:v>
                </c:pt>
                <c:pt idx="2918">
                  <c:v>2.090108683726144E-2</c:v>
                </c:pt>
                <c:pt idx="2919">
                  <c:v>2.0952725134028682E-2</c:v>
                </c:pt>
                <c:pt idx="2920">
                  <c:v>2.099351091110524E-2</c:v>
                </c:pt>
                <c:pt idx="2921">
                  <c:v>2.1012722384552651E-2</c:v>
                </c:pt>
                <c:pt idx="2922">
                  <c:v>2.1029616649285376E-2</c:v>
                </c:pt>
                <c:pt idx="2923">
                  <c:v>2.1031665732353266E-2</c:v>
                </c:pt>
                <c:pt idx="2924">
                  <c:v>2.106740714914479E-2</c:v>
                </c:pt>
                <c:pt idx="2925">
                  <c:v>2.1081062242307214E-2</c:v>
                </c:pt>
                <c:pt idx="2926">
                  <c:v>2.1092017290289755E-2</c:v>
                </c:pt>
                <c:pt idx="2927">
                  <c:v>2.1110254036227349E-2</c:v>
                </c:pt>
                <c:pt idx="2928">
                  <c:v>2.1124902664579892E-2</c:v>
                </c:pt>
                <c:pt idx="2929">
                  <c:v>2.1187722904381978E-2</c:v>
                </c:pt>
                <c:pt idx="2930">
                  <c:v>2.1187888787270737E-2</c:v>
                </c:pt>
                <c:pt idx="2931">
                  <c:v>2.1192948386305366E-2</c:v>
                </c:pt>
                <c:pt idx="2932">
                  <c:v>2.1313874227189444E-2</c:v>
                </c:pt>
                <c:pt idx="2933">
                  <c:v>2.1335007823376717E-2</c:v>
                </c:pt>
                <c:pt idx="2934">
                  <c:v>2.1342393238451773E-2</c:v>
                </c:pt>
                <c:pt idx="2935">
                  <c:v>2.1385464418153033E-2</c:v>
                </c:pt>
                <c:pt idx="2936">
                  <c:v>2.1441007293914627E-2</c:v>
                </c:pt>
                <c:pt idx="2937">
                  <c:v>2.1441384975888989E-2</c:v>
                </c:pt>
                <c:pt idx="2938">
                  <c:v>2.1479417134227186E-2</c:v>
                </c:pt>
                <c:pt idx="2939">
                  <c:v>2.1507329792772811E-2</c:v>
                </c:pt>
                <c:pt idx="2940">
                  <c:v>2.1519894227000735E-2</c:v>
                </c:pt>
                <c:pt idx="2941">
                  <c:v>2.1526168829465675E-2</c:v>
                </c:pt>
                <c:pt idx="2942">
                  <c:v>2.1619547434790221E-2</c:v>
                </c:pt>
                <c:pt idx="2943">
                  <c:v>2.1671003831166047E-2</c:v>
                </c:pt>
                <c:pt idx="2944">
                  <c:v>2.1679119081206677E-2</c:v>
                </c:pt>
                <c:pt idx="2945">
                  <c:v>2.1687525447269929E-2</c:v>
                </c:pt>
                <c:pt idx="2946">
                  <c:v>2.1734173000063306E-2</c:v>
                </c:pt>
                <c:pt idx="2947">
                  <c:v>2.178152260973043E-2</c:v>
                </c:pt>
                <c:pt idx="2948">
                  <c:v>2.1834769259952314E-2</c:v>
                </c:pt>
                <c:pt idx="2949">
                  <c:v>2.1840544703012998E-2</c:v>
                </c:pt>
                <c:pt idx="2950">
                  <c:v>2.1853132354936688E-2</c:v>
                </c:pt>
                <c:pt idx="2951">
                  <c:v>2.1881524259484531E-2</c:v>
                </c:pt>
                <c:pt idx="2952">
                  <c:v>2.1893185514753721E-2</c:v>
                </c:pt>
                <c:pt idx="2953">
                  <c:v>2.1901933430880094E-2</c:v>
                </c:pt>
                <c:pt idx="2954">
                  <c:v>2.1967942627598935E-2</c:v>
                </c:pt>
                <c:pt idx="2955">
                  <c:v>2.1983356619899697E-2</c:v>
                </c:pt>
                <c:pt idx="2956">
                  <c:v>2.1992469632581058E-2</c:v>
                </c:pt>
                <c:pt idx="2957">
                  <c:v>2.1999384920436516E-2</c:v>
                </c:pt>
                <c:pt idx="2958">
                  <c:v>2.2006225423234937E-2</c:v>
                </c:pt>
                <c:pt idx="2959">
                  <c:v>2.2073674978922098E-2</c:v>
                </c:pt>
                <c:pt idx="2960">
                  <c:v>2.2169717958890223E-2</c:v>
                </c:pt>
                <c:pt idx="2961">
                  <c:v>2.2249385225744378E-2</c:v>
                </c:pt>
                <c:pt idx="2962">
                  <c:v>2.2275414487352263E-2</c:v>
                </c:pt>
                <c:pt idx="2963">
                  <c:v>2.2344526332803483E-2</c:v>
                </c:pt>
                <c:pt idx="2964">
                  <c:v>2.2368376749458907E-2</c:v>
                </c:pt>
                <c:pt idx="2965">
                  <c:v>2.239952307352211E-2</c:v>
                </c:pt>
                <c:pt idx="2966">
                  <c:v>2.2414016728383723E-2</c:v>
                </c:pt>
                <c:pt idx="2967">
                  <c:v>2.2460542581981935E-2</c:v>
                </c:pt>
                <c:pt idx="2968">
                  <c:v>2.2484269035990545E-2</c:v>
                </c:pt>
                <c:pt idx="2969">
                  <c:v>2.2596458558823418E-2</c:v>
                </c:pt>
                <c:pt idx="2970">
                  <c:v>2.2632663300058642E-2</c:v>
                </c:pt>
                <c:pt idx="2971">
                  <c:v>2.263648917537564E-2</c:v>
                </c:pt>
                <c:pt idx="2972">
                  <c:v>2.2738474933555519E-2</c:v>
                </c:pt>
                <c:pt idx="2973">
                  <c:v>2.2740207612090613E-2</c:v>
                </c:pt>
                <c:pt idx="2974">
                  <c:v>2.2786731884726796E-2</c:v>
                </c:pt>
                <c:pt idx="2975">
                  <c:v>2.2832260484242362E-2</c:v>
                </c:pt>
                <c:pt idx="2976">
                  <c:v>2.2882070364237617E-2</c:v>
                </c:pt>
                <c:pt idx="2977">
                  <c:v>2.2884779107161135E-2</c:v>
                </c:pt>
                <c:pt idx="2978">
                  <c:v>2.2974954907382106E-2</c:v>
                </c:pt>
                <c:pt idx="2979">
                  <c:v>2.2976990623880589E-2</c:v>
                </c:pt>
                <c:pt idx="2980">
                  <c:v>2.3039799564801289E-2</c:v>
                </c:pt>
                <c:pt idx="2981">
                  <c:v>2.3068949184277709E-2</c:v>
                </c:pt>
                <c:pt idx="2982">
                  <c:v>2.3084483137724598E-2</c:v>
                </c:pt>
                <c:pt idx="2983">
                  <c:v>2.3091771542498751E-2</c:v>
                </c:pt>
                <c:pt idx="2984">
                  <c:v>2.3116589362781825E-2</c:v>
                </c:pt>
                <c:pt idx="2985">
                  <c:v>2.3131744333680482E-2</c:v>
                </c:pt>
                <c:pt idx="2986">
                  <c:v>2.3185766653244899E-2</c:v>
                </c:pt>
                <c:pt idx="2987">
                  <c:v>2.3225242288881676E-2</c:v>
                </c:pt>
                <c:pt idx="2988">
                  <c:v>2.3245310514772521E-2</c:v>
                </c:pt>
                <c:pt idx="2989">
                  <c:v>2.3260855057620322E-2</c:v>
                </c:pt>
                <c:pt idx="2990">
                  <c:v>2.327126265636581E-2</c:v>
                </c:pt>
                <c:pt idx="2991">
                  <c:v>2.3346171377135461E-2</c:v>
                </c:pt>
                <c:pt idx="2992">
                  <c:v>2.3397954446332969E-2</c:v>
                </c:pt>
                <c:pt idx="2993">
                  <c:v>2.3494757836686864E-2</c:v>
                </c:pt>
                <c:pt idx="2994">
                  <c:v>2.352700858614476E-2</c:v>
                </c:pt>
                <c:pt idx="2995">
                  <c:v>2.354263745267593E-2</c:v>
                </c:pt>
                <c:pt idx="2996">
                  <c:v>2.354670612300791E-2</c:v>
                </c:pt>
                <c:pt idx="2997">
                  <c:v>2.3680020483556108E-2</c:v>
                </c:pt>
                <c:pt idx="2998">
                  <c:v>2.368612373385548E-2</c:v>
                </c:pt>
                <c:pt idx="2999">
                  <c:v>2.3881892676164584E-2</c:v>
                </c:pt>
                <c:pt idx="3000">
                  <c:v>2.4001201449986631E-2</c:v>
                </c:pt>
                <c:pt idx="3001">
                  <c:v>2.4050507942536381E-2</c:v>
                </c:pt>
                <c:pt idx="3002">
                  <c:v>2.405425561527319E-2</c:v>
                </c:pt>
                <c:pt idx="3003">
                  <c:v>2.4094166460768118E-2</c:v>
                </c:pt>
                <c:pt idx="3004">
                  <c:v>2.4213029140001119E-2</c:v>
                </c:pt>
                <c:pt idx="3005">
                  <c:v>2.4300426081902859E-2</c:v>
                </c:pt>
                <c:pt idx="3006">
                  <c:v>2.4378910562684153E-2</c:v>
                </c:pt>
                <c:pt idx="3007">
                  <c:v>2.4379661392966989E-2</c:v>
                </c:pt>
                <c:pt idx="3008">
                  <c:v>2.441325157708385E-2</c:v>
                </c:pt>
                <c:pt idx="3009">
                  <c:v>2.4460124706466413E-2</c:v>
                </c:pt>
                <c:pt idx="3010">
                  <c:v>2.447695179978604E-2</c:v>
                </c:pt>
                <c:pt idx="3011">
                  <c:v>2.4484629959060644E-2</c:v>
                </c:pt>
                <c:pt idx="3012">
                  <c:v>2.4505056460449204E-2</c:v>
                </c:pt>
                <c:pt idx="3013">
                  <c:v>2.4553644466892344E-2</c:v>
                </c:pt>
                <c:pt idx="3014">
                  <c:v>2.4586164927495213E-2</c:v>
                </c:pt>
                <c:pt idx="3015">
                  <c:v>2.4591177441128043E-2</c:v>
                </c:pt>
                <c:pt idx="3016">
                  <c:v>2.4655380255745207E-2</c:v>
                </c:pt>
                <c:pt idx="3017">
                  <c:v>2.4737085824907856E-2</c:v>
                </c:pt>
                <c:pt idx="3018">
                  <c:v>2.4836039561561662E-2</c:v>
                </c:pt>
                <c:pt idx="3019">
                  <c:v>2.4896513475004101E-2</c:v>
                </c:pt>
                <c:pt idx="3020">
                  <c:v>2.5043171387844509E-2</c:v>
                </c:pt>
                <c:pt idx="3021">
                  <c:v>2.5213614780591254E-2</c:v>
                </c:pt>
                <c:pt idx="3022">
                  <c:v>2.5280408251126429E-2</c:v>
                </c:pt>
                <c:pt idx="3023">
                  <c:v>2.5400412935605132E-2</c:v>
                </c:pt>
                <c:pt idx="3024">
                  <c:v>2.5437939328646797E-2</c:v>
                </c:pt>
                <c:pt idx="3025">
                  <c:v>2.5467980356686626E-2</c:v>
                </c:pt>
                <c:pt idx="3026">
                  <c:v>2.550488480229185E-2</c:v>
                </c:pt>
                <c:pt idx="3027">
                  <c:v>2.5532676769438822E-2</c:v>
                </c:pt>
                <c:pt idx="3028">
                  <c:v>2.5548899736574704E-2</c:v>
                </c:pt>
                <c:pt idx="3029">
                  <c:v>2.5575371662730051E-2</c:v>
                </c:pt>
                <c:pt idx="3030">
                  <c:v>2.5597261622864353E-2</c:v>
                </c:pt>
                <c:pt idx="3031">
                  <c:v>2.5846859900429342E-2</c:v>
                </c:pt>
                <c:pt idx="3032">
                  <c:v>2.5890912708920633E-2</c:v>
                </c:pt>
                <c:pt idx="3033">
                  <c:v>2.5902596162825864E-2</c:v>
                </c:pt>
                <c:pt idx="3034">
                  <c:v>2.603254022797219E-2</c:v>
                </c:pt>
                <c:pt idx="3035">
                  <c:v>2.6101890013363827E-2</c:v>
                </c:pt>
                <c:pt idx="3036">
                  <c:v>2.6157088700498266E-2</c:v>
                </c:pt>
                <c:pt idx="3037">
                  <c:v>2.62545761189803E-2</c:v>
                </c:pt>
                <c:pt idx="3038">
                  <c:v>2.6350637125645004E-2</c:v>
                </c:pt>
                <c:pt idx="3039">
                  <c:v>2.6426002886220656E-2</c:v>
                </c:pt>
                <c:pt idx="3040">
                  <c:v>2.6587015539941694E-2</c:v>
                </c:pt>
                <c:pt idx="3041">
                  <c:v>2.6599331623063716E-2</c:v>
                </c:pt>
                <c:pt idx="3042">
                  <c:v>2.6685442110547575E-2</c:v>
                </c:pt>
                <c:pt idx="3043">
                  <c:v>2.6763512973073889E-2</c:v>
                </c:pt>
                <c:pt idx="3044">
                  <c:v>2.6770233881280747E-2</c:v>
                </c:pt>
                <c:pt idx="3045">
                  <c:v>2.6992907073198902E-2</c:v>
                </c:pt>
                <c:pt idx="3046">
                  <c:v>2.7055923175815177E-2</c:v>
                </c:pt>
                <c:pt idx="3047">
                  <c:v>2.7454270256151991E-2</c:v>
                </c:pt>
                <c:pt idx="3048">
                  <c:v>2.7604603362020308E-2</c:v>
                </c:pt>
                <c:pt idx="3049">
                  <c:v>2.7629447714735633E-2</c:v>
                </c:pt>
                <c:pt idx="3050">
                  <c:v>2.770358401447659E-2</c:v>
                </c:pt>
                <c:pt idx="3051">
                  <c:v>2.7728407141573097E-2</c:v>
                </c:pt>
                <c:pt idx="3052">
                  <c:v>2.7773439415563983E-2</c:v>
                </c:pt>
                <c:pt idx="3053">
                  <c:v>2.7797277866978165E-2</c:v>
                </c:pt>
                <c:pt idx="3054">
                  <c:v>2.7836185304577432E-2</c:v>
                </c:pt>
                <c:pt idx="3055">
                  <c:v>2.7862574080577351E-2</c:v>
                </c:pt>
                <c:pt idx="3056">
                  <c:v>2.7908776202593355E-2</c:v>
                </c:pt>
                <c:pt idx="3057">
                  <c:v>2.8008135236035292E-2</c:v>
                </c:pt>
                <c:pt idx="3058">
                  <c:v>2.8081910317673264E-2</c:v>
                </c:pt>
                <c:pt idx="3059">
                  <c:v>2.8101590360756878E-2</c:v>
                </c:pt>
                <c:pt idx="3060">
                  <c:v>2.8207172250328094E-2</c:v>
                </c:pt>
                <c:pt idx="3061">
                  <c:v>2.8339976425993507E-2</c:v>
                </c:pt>
                <c:pt idx="3062">
                  <c:v>2.845728993795027E-2</c:v>
                </c:pt>
                <c:pt idx="3063">
                  <c:v>2.8466663961176808E-2</c:v>
                </c:pt>
                <c:pt idx="3064">
                  <c:v>2.8492816641587648E-2</c:v>
                </c:pt>
                <c:pt idx="3065">
                  <c:v>2.8540744421731157E-2</c:v>
                </c:pt>
                <c:pt idx="3066">
                  <c:v>2.8567067745876917E-2</c:v>
                </c:pt>
                <c:pt idx="3067">
                  <c:v>2.8799264457734397E-2</c:v>
                </c:pt>
                <c:pt idx="3068">
                  <c:v>2.8889350011567894E-2</c:v>
                </c:pt>
                <c:pt idx="3069">
                  <c:v>2.9005278855253724E-2</c:v>
                </c:pt>
                <c:pt idx="3070">
                  <c:v>2.9086924599309949E-2</c:v>
                </c:pt>
                <c:pt idx="3071">
                  <c:v>2.9100557054092091E-2</c:v>
                </c:pt>
                <c:pt idx="3072">
                  <c:v>2.9126303815286914E-2</c:v>
                </c:pt>
                <c:pt idx="3073">
                  <c:v>2.9205051651566949E-2</c:v>
                </c:pt>
                <c:pt idx="3074">
                  <c:v>2.9269545779105011E-2</c:v>
                </c:pt>
                <c:pt idx="3075">
                  <c:v>2.9417916329155691E-2</c:v>
                </c:pt>
                <c:pt idx="3076">
                  <c:v>2.9444507072383885E-2</c:v>
                </c:pt>
                <c:pt idx="3077">
                  <c:v>2.9692261892607208E-2</c:v>
                </c:pt>
                <c:pt idx="3078">
                  <c:v>2.973531100414184E-2</c:v>
                </c:pt>
                <c:pt idx="3079">
                  <c:v>2.982000038596766E-2</c:v>
                </c:pt>
                <c:pt idx="3080">
                  <c:v>3.0020910451024507E-2</c:v>
                </c:pt>
                <c:pt idx="3081">
                  <c:v>3.0039767747487067E-2</c:v>
                </c:pt>
                <c:pt idx="3082">
                  <c:v>3.0186099320728799E-2</c:v>
                </c:pt>
                <c:pt idx="3083">
                  <c:v>3.0192821938053616E-2</c:v>
                </c:pt>
                <c:pt idx="3084">
                  <c:v>3.0238278561185883E-2</c:v>
                </c:pt>
                <c:pt idx="3085">
                  <c:v>3.0505791288211181E-2</c:v>
                </c:pt>
                <c:pt idx="3086">
                  <c:v>3.0678254125319437E-2</c:v>
                </c:pt>
                <c:pt idx="3087">
                  <c:v>3.0713658119458032E-2</c:v>
                </c:pt>
                <c:pt idx="3088">
                  <c:v>3.0995329335515187E-2</c:v>
                </c:pt>
                <c:pt idx="3089">
                  <c:v>3.106144763809171E-2</c:v>
                </c:pt>
                <c:pt idx="3090">
                  <c:v>3.1181622470152215E-2</c:v>
                </c:pt>
                <c:pt idx="3091">
                  <c:v>3.1229219885810622E-2</c:v>
                </c:pt>
                <c:pt idx="3092">
                  <c:v>3.1242688797765927E-2</c:v>
                </c:pt>
                <c:pt idx="3093">
                  <c:v>3.1273304420453174E-2</c:v>
                </c:pt>
                <c:pt idx="3094">
                  <c:v>3.1550128283923451E-2</c:v>
                </c:pt>
                <c:pt idx="3095">
                  <c:v>3.1598492083542373E-2</c:v>
                </c:pt>
                <c:pt idx="3096">
                  <c:v>3.188671721316072E-2</c:v>
                </c:pt>
                <c:pt idx="3097">
                  <c:v>3.1896721527910232E-2</c:v>
                </c:pt>
                <c:pt idx="3098">
                  <c:v>3.1934369492986336E-2</c:v>
                </c:pt>
                <c:pt idx="3099">
                  <c:v>3.2027322766477795E-2</c:v>
                </c:pt>
                <c:pt idx="3100">
                  <c:v>3.2031999905909547E-2</c:v>
                </c:pt>
                <c:pt idx="3101">
                  <c:v>3.2827967725273854E-2</c:v>
                </c:pt>
                <c:pt idx="3102">
                  <c:v>3.2916522411886806E-2</c:v>
                </c:pt>
                <c:pt idx="3103">
                  <c:v>3.2987572646287822E-2</c:v>
                </c:pt>
                <c:pt idx="3104">
                  <c:v>3.3117253391594659E-2</c:v>
                </c:pt>
                <c:pt idx="3105">
                  <c:v>3.3152377623085094E-2</c:v>
                </c:pt>
                <c:pt idx="3106">
                  <c:v>3.3325520339848369E-2</c:v>
                </c:pt>
                <c:pt idx="3107">
                  <c:v>3.3412262812664739E-2</c:v>
                </c:pt>
                <c:pt idx="3108">
                  <c:v>3.3417438056202675E-2</c:v>
                </c:pt>
                <c:pt idx="3109">
                  <c:v>3.3662662939897281E-2</c:v>
                </c:pt>
                <c:pt idx="3110">
                  <c:v>3.3812219263853915E-2</c:v>
                </c:pt>
                <c:pt idx="3111">
                  <c:v>3.3965219510655453E-2</c:v>
                </c:pt>
                <c:pt idx="3112">
                  <c:v>3.4149751895529157E-2</c:v>
                </c:pt>
                <c:pt idx="3113">
                  <c:v>3.4482636338056816E-2</c:v>
                </c:pt>
                <c:pt idx="3114">
                  <c:v>3.4557841465914452E-2</c:v>
                </c:pt>
                <c:pt idx="3115">
                  <c:v>3.4700769350852534E-2</c:v>
                </c:pt>
                <c:pt idx="3116">
                  <c:v>3.574346725075328E-2</c:v>
                </c:pt>
                <c:pt idx="3117">
                  <c:v>3.5855682701007252E-2</c:v>
                </c:pt>
                <c:pt idx="3118">
                  <c:v>3.6400848374358974E-2</c:v>
                </c:pt>
                <c:pt idx="3119">
                  <c:v>3.6499657594362134E-2</c:v>
                </c:pt>
                <c:pt idx="3120">
                  <c:v>3.6714986644011516E-2</c:v>
                </c:pt>
                <c:pt idx="3121">
                  <c:v>3.6825095073083958E-2</c:v>
                </c:pt>
                <c:pt idx="3122">
                  <c:v>3.7091459319180675E-2</c:v>
                </c:pt>
                <c:pt idx="3123">
                  <c:v>3.7147922598569805E-2</c:v>
                </c:pt>
                <c:pt idx="3124">
                  <c:v>3.72898202942471E-2</c:v>
                </c:pt>
                <c:pt idx="3125">
                  <c:v>3.7608178829729111E-2</c:v>
                </c:pt>
                <c:pt idx="3126">
                  <c:v>3.7840665261243078E-2</c:v>
                </c:pt>
                <c:pt idx="3127">
                  <c:v>3.8398213772743439E-2</c:v>
                </c:pt>
                <c:pt idx="3128">
                  <c:v>3.8457982906257682E-2</c:v>
                </c:pt>
                <c:pt idx="3129">
                  <c:v>3.8742511738481422E-2</c:v>
                </c:pt>
                <c:pt idx="3130">
                  <c:v>3.8915652246944044E-2</c:v>
                </c:pt>
                <c:pt idx="3131">
                  <c:v>3.9245762055930555E-2</c:v>
                </c:pt>
                <c:pt idx="3132">
                  <c:v>3.9361332859903397E-2</c:v>
                </c:pt>
                <c:pt idx="3133">
                  <c:v>3.9421676846991049E-2</c:v>
                </c:pt>
                <c:pt idx="3134">
                  <c:v>3.9474686861029396E-2</c:v>
                </c:pt>
                <c:pt idx="3135">
                  <c:v>3.9799833916142502E-2</c:v>
                </c:pt>
                <c:pt idx="3136">
                  <c:v>4.0220306025865682E-2</c:v>
                </c:pt>
                <c:pt idx="3137">
                  <c:v>4.053637107566499E-2</c:v>
                </c:pt>
                <c:pt idx="3138">
                  <c:v>4.130697182853571E-2</c:v>
                </c:pt>
                <c:pt idx="3139">
                  <c:v>4.2022007903555814E-2</c:v>
                </c:pt>
                <c:pt idx="3140">
                  <c:v>4.2096418810716241E-2</c:v>
                </c:pt>
                <c:pt idx="3141">
                  <c:v>4.2114050157265215E-2</c:v>
                </c:pt>
                <c:pt idx="3142">
                  <c:v>4.2583638983072492E-2</c:v>
                </c:pt>
                <c:pt idx="3143">
                  <c:v>4.2980861764063016E-2</c:v>
                </c:pt>
                <c:pt idx="3144">
                  <c:v>4.4873310899051555E-2</c:v>
                </c:pt>
                <c:pt idx="3145">
                  <c:v>4.585843370900089E-2</c:v>
                </c:pt>
                <c:pt idx="3146">
                  <c:v>4.6068584303426086E-2</c:v>
                </c:pt>
                <c:pt idx="3147">
                  <c:v>4.650951775842449E-2</c:v>
                </c:pt>
                <c:pt idx="3148">
                  <c:v>4.6884594404226654E-2</c:v>
                </c:pt>
                <c:pt idx="3149">
                  <c:v>4.8108660932762559E-2</c:v>
                </c:pt>
                <c:pt idx="3150">
                  <c:v>4.8248805914823834E-2</c:v>
                </c:pt>
                <c:pt idx="3151">
                  <c:v>4.9341510534805844E-2</c:v>
                </c:pt>
                <c:pt idx="3152">
                  <c:v>4.9483522626999621E-2</c:v>
                </c:pt>
                <c:pt idx="3153">
                  <c:v>5.1093705094327202E-2</c:v>
                </c:pt>
                <c:pt idx="3154">
                  <c:v>5.3117406256504074E-2</c:v>
                </c:pt>
                <c:pt idx="3155">
                  <c:v>5.4450962018909754E-2</c:v>
                </c:pt>
                <c:pt idx="3156">
                  <c:v>5.5348886161086241E-2</c:v>
                </c:pt>
                <c:pt idx="3157">
                  <c:v>5.6241161225679681E-2</c:v>
                </c:pt>
                <c:pt idx="3158">
                  <c:v>5.7081360705361961E-2</c:v>
                </c:pt>
                <c:pt idx="3159">
                  <c:v>5.8202014870079477E-2</c:v>
                </c:pt>
                <c:pt idx="3160">
                  <c:v>5.8444273421448312E-2</c:v>
                </c:pt>
                <c:pt idx="3161">
                  <c:v>6.1623573796734554E-2</c:v>
                </c:pt>
                <c:pt idx="3162">
                  <c:v>6.2551197643381684E-2</c:v>
                </c:pt>
                <c:pt idx="3163">
                  <c:v>6.4118742127859729E-2</c:v>
                </c:pt>
                <c:pt idx="3164">
                  <c:v>6.6539039902274499E-2</c:v>
                </c:pt>
                <c:pt idx="3165">
                  <c:v>6.6851948878619893E-2</c:v>
                </c:pt>
                <c:pt idx="3166">
                  <c:v>6.8309572518034267E-2</c:v>
                </c:pt>
                <c:pt idx="3167">
                  <c:v>6.8383933805021391E-2</c:v>
                </c:pt>
                <c:pt idx="3168">
                  <c:v>7.034045159105129E-2</c:v>
                </c:pt>
                <c:pt idx="3169">
                  <c:v>7.2434718554414523E-2</c:v>
                </c:pt>
                <c:pt idx="3170">
                  <c:v>7.4367932025830585E-2</c:v>
                </c:pt>
                <c:pt idx="3171">
                  <c:v>7.5705291015728982E-2</c:v>
                </c:pt>
                <c:pt idx="3172">
                  <c:v>7.6253509229041283E-2</c:v>
                </c:pt>
                <c:pt idx="3173">
                  <c:v>8.2267894263721164E-2</c:v>
                </c:pt>
                <c:pt idx="3174">
                  <c:v>8.2336890660574369E-2</c:v>
                </c:pt>
                <c:pt idx="3175">
                  <c:v>9.089551548390773E-2</c:v>
                </c:pt>
                <c:pt idx="3176">
                  <c:v>0.10077049067490562</c:v>
                </c:pt>
                <c:pt idx="3177">
                  <c:v>0.10133700634027121</c:v>
                </c:pt>
                <c:pt idx="3178">
                  <c:v>0.10452202209251493</c:v>
                </c:pt>
                <c:pt idx="3179">
                  <c:v>0.14216900056843129</c:v>
                </c:pt>
                <c:pt idx="3180">
                  <c:v>0.15506739165511529</c:v>
                </c:pt>
              </c:numCache>
            </c:numRef>
          </c:xVal>
          <c:yVal>
            <c:numRef>
              <c:f>Sheet4!$K$2:$K$3182</c:f>
              <c:numCache>
                <c:formatCode>0.00%</c:formatCode>
                <c:ptCount val="3181"/>
                <c:pt idx="0">
                  <c:v>3.1436655139893113E-4</c:v>
                </c:pt>
                <c:pt idx="1">
                  <c:v>6.2873310279786226E-4</c:v>
                </c:pt>
                <c:pt idx="2">
                  <c:v>9.430996541967935E-4</c:v>
                </c:pt>
                <c:pt idx="3">
                  <c:v>1.2574662055957245E-3</c:v>
                </c:pt>
                <c:pt idx="4">
                  <c:v>1.5718327569946558E-3</c:v>
                </c:pt>
                <c:pt idx="5">
                  <c:v>1.886199308393587E-3</c:v>
                </c:pt>
                <c:pt idx="6">
                  <c:v>2.2005658597925182E-3</c:v>
                </c:pt>
                <c:pt idx="7">
                  <c:v>2.5149324111914491E-3</c:v>
                </c:pt>
                <c:pt idx="8">
                  <c:v>2.8292989625903803E-3</c:v>
                </c:pt>
                <c:pt idx="9">
                  <c:v>3.1436655139893115E-3</c:v>
                </c:pt>
                <c:pt idx="10">
                  <c:v>3.4580320653882428E-3</c:v>
                </c:pt>
                <c:pt idx="11">
                  <c:v>3.772398616787174E-3</c:v>
                </c:pt>
                <c:pt idx="12">
                  <c:v>4.0867651681861048E-3</c:v>
                </c:pt>
                <c:pt idx="13">
                  <c:v>4.4011317195850365E-3</c:v>
                </c:pt>
                <c:pt idx="14">
                  <c:v>4.7154982709839673E-3</c:v>
                </c:pt>
                <c:pt idx="15">
                  <c:v>5.0298648223828981E-3</c:v>
                </c:pt>
                <c:pt idx="16">
                  <c:v>5.3442313737818298E-3</c:v>
                </c:pt>
                <c:pt idx="17">
                  <c:v>5.6585979251807606E-3</c:v>
                </c:pt>
                <c:pt idx="18">
                  <c:v>5.9729644765796923E-3</c:v>
                </c:pt>
                <c:pt idx="19">
                  <c:v>6.2873310279786231E-3</c:v>
                </c:pt>
                <c:pt idx="20">
                  <c:v>6.6016975793775539E-3</c:v>
                </c:pt>
                <c:pt idx="21">
                  <c:v>6.9160641307764855E-3</c:v>
                </c:pt>
                <c:pt idx="22">
                  <c:v>7.2304306821754163E-3</c:v>
                </c:pt>
                <c:pt idx="23">
                  <c:v>7.544797233574348E-3</c:v>
                </c:pt>
                <c:pt idx="24">
                  <c:v>7.8591637849732797E-3</c:v>
                </c:pt>
                <c:pt idx="25">
                  <c:v>8.1735303363722096E-3</c:v>
                </c:pt>
                <c:pt idx="26">
                  <c:v>8.4878968877711413E-3</c:v>
                </c:pt>
                <c:pt idx="27">
                  <c:v>8.802263439170073E-3</c:v>
                </c:pt>
                <c:pt idx="28">
                  <c:v>9.1166299905690029E-3</c:v>
                </c:pt>
                <c:pt idx="29">
                  <c:v>9.4309965419679346E-3</c:v>
                </c:pt>
                <c:pt idx="30">
                  <c:v>9.7453630933668663E-3</c:v>
                </c:pt>
                <c:pt idx="31">
                  <c:v>1.0059729644765796E-2</c:v>
                </c:pt>
                <c:pt idx="32">
                  <c:v>1.0374096196164728E-2</c:v>
                </c:pt>
                <c:pt idx="33">
                  <c:v>1.068846274756366E-2</c:v>
                </c:pt>
                <c:pt idx="34">
                  <c:v>1.1002829298962591E-2</c:v>
                </c:pt>
                <c:pt idx="35">
                  <c:v>1.1317195850361521E-2</c:v>
                </c:pt>
                <c:pt idx="36">
                  <c:v>1.1631562401760453E-2</c:v>
                </c:pt>
                <c:pt idx="37">
                  <c:v>1.1945928953159385E-2</c:v>
                </c:pt>
                <c:pt idx="38">
                  <c:v>1.2260295504558314E-2</c:v>
                </c:pt>
                <c:pt idx="39">
                  <c:v>1.2574662055957246E-2</c:v>
                </c:pt>
                <c:pt idx="40">
                  <c:v>1.2889028607356178E-2</c:v>
                </c:pt>
                <c:pt idx="41">
                  <c:v>1.3203395158755108E-2</c:v>
                </c:pt>
                <c:pt idx="42">
                  <c:v>1.3517761710154039E-2</c:v>
                </c:pt>
                <c:pt idx="43">
                  <c:v>1.3832128261552971E-2</c:v>
                </c:pt>
                <c:pt idx="44">
                  <c:v>1.4146494812951903E-2</c:v>
                </c:pt>
                <c:pt idx="45">
                  <c:v>1.4460861364350833E-2</c:v>
                </c:pt>
                <c:pt idx="46">
                  <c:v>1.4775227915749764E-2</c:v>
                </c:pt>
                <c:pt idx="47">
                  <c:v>1.5089594467148696E-2</c:v>
                </c:pt>
                <c:pt idx="48">
                  <c:v>1.5403961018547626E-2</c:v>
                </c:pt>
                <c:pt idx="49">
                  <c:v>1.5718327569946559E-2</c:v>
                </c:pt>
                <c:pt idx="50">
                  <c:v>1.6032694121345489E-2</c:v>
                </c:pt>
                <c:pt idx="51">
                  <c:v>1.6347060672744419E-2</c:v>
                </c:pt>
                <c:pt idx="52">
                  <c:v>1.6661427224143353E-2</c:v>
                </c:pt>
                <c:pt idx="53">
                  <c:v>1.6975793775542283E-2</c:v>
                </c:pt>
                <c:pt idx="54">
                  <c:v>1.7290160326941213E-2</c:v>
                </c:pt>
                <c:pt idx="55">
                  <c:v>1.7604526878340146E-2</c:v>
                </c:pt>
                <c:pt idx="56">
                  <c:v>1.7918893429739076E-2</c:v>
                </c:pt>
                <c:pt idx="57">
                  <c:v>1.8233259981138006E-2</c:v>
                </c:pt>
                <c:pt idx="58">
                  <c:v>1.8547626532536939E-2</c:v>
                </c:pt>
                <c:pt idx="59">
                  <c:v>1.8861993083935869E-2</c:v>
                </c:pt>
                <c:pt idx="60">
                  <c:v>1.9176359635334799E-2</c:v>
                </c:pt>
                <c:pt idx="61">
                  <c:v>1.9490726186733733E-2</c:v>
                </c:pt>
                <c:pt idx="62">
                  <c:v>1.9805092738132662E-2</c:v>
                </c:pt>
                <c:pt idx="63">
                  <c:v>2.0119459289531592E-2</c:v>
                </c:pt>
                <c:pt idx="64">
                  <c:v>2.0433825840930526E-2</c:v>
                </c:pt>
                <c:pt idx="65">
                  <c:v>2.0748192392329456E-2</c:v>
                </c:pt>
                <c:pt idx="66">
                  <c:v>2.1062558943728386E-2</c:v>
                </c:pt>
                <c:pt idx="67">
                  <c:v>2.1376925495127319E-2</c:v>
                </c:pt>
                <c:pt idx="68">
                  <c:v>2.1691292046526249E-2</c:v>
                </c:pt>
                <c:pt idx="69">
                  <c:v>2.2005658597925182E-2</c:v>
                </c:pt>
                <c:pt idx="70">
                  <c:v>2.2320025149324112E-2</c:v>
                </c:pt>
                <c:pt idx="71">
                  <c:v>2.2634391700723042E-2</c:v>
                </c:pt>
                <c:pt idx="72">
                  <c:v>2.2948758252121976E-2</c:v>
                </c:pt>
                <c:pt idx="73">
                  <c:v>2.3263124803520906E-2</c:v>
                </c:pt>
                <c:pt idx="74">
                  <c:v>2.3577491354919836E-2</c:v>
                </c:pt>
                <c:pt idx="75">
                  <c:v>2.3891857906318769E-2</c:v>
                </c:pt>
                <c:pt idx="76">
                  <c:v>2.4206224457717699E-2</c:v>
                </c:pt>
                <c:pt idx="77">
                  <c:v>2.4520591009116629E-2</c:v>
                </c:pt>
                <c:pt idx="78">
                  <c:v>2.4834957560515562E-2</c:v>
                </c:pt>
                <c:pt idx="79">
                  <c:v>2.5149324111914492E-2</c:v>
                </c:pt>
                <c:pt idx="80">
                  <c:v>2.5463690663313422E-2</c:v>
                </c:pt>
                <c:pt idx="81">
                  <c:v>2.5778057214712356E-2</c:v>
                </c:pt>
                <c:pt idx="82">
                  <c:v>2.6092423766111286E-2</c:v>
                </c:pt>
                <c:pt idx="83">
                  <c:v>2.6406790317510215E-2</c:v>
                </c:pt>
                <c:pt idx="84">
                  <c:v>2.6721156868909149E-2</c:v>
                </c:pt>
                <c:pt idx="85">
                  <c:v>2.7035523420308079E-2</c:v>
                </c:pt>
                <c:pt idx="86">
                  <c:v>2.7349889971707009E-2</c:v>
                </c:pt>
                <c:pt idx="87">
                  <c:v>2.7664256523105942E-2</c:v>
                </c:pt>
                <c:pt idx="88">
                  <c:v>2.7978623074504872E-2</c:v>
                </c:pt>
                <c:pt idx="89">
                  <c:v>2.8292989625903806E-2</c:v>
                </c:pt>
                <c:pt idx="90">
                  <c:v>2.8607356177302735E-2</c:v>
                </c:pt>
                <c:pt idx="91">
                  <c:v>2.8921722728701665E-2</c:v>
                </c:pt>
                <c:pt idx="92">
                  <c:v>2.9236089280100599E-2</c:v>
                </c:pt>
                <c:pt idx="93">
                  <c:v>2.9550455831499529E-2</c:v>
                </c:pt>
                <c:pt idx="94">
                  <c:v>2.9864822382898459E-2</c:v>
                </c:pt>
                <c:pt idx="95">
                  <c:v>3.0179188934297392E-2</c:v>
                </c:pt>
                <c:pt idx="96">
                  <c:v>3.0493555485696322E-2</c:v>
                </c:pt>
                <c:pt idx="97">
                  <c:v>3.0807922037095252E-2</c:v>
                </c:pt>
                <c:pt idx="98">
                  <c:v>3.1122288588494185E-2</c:v>
                </c:pt>
                <c:pt idx="99">
                  <c:v>3.1436655139893119E-2</c:v>
                </c:pt>
                <c:pt idx="100">
                  <c:v>3.1751021691292049E-2</c:v>
                </c:pt>
                <c:pt idx="101">
                  <c:v>3.2065388242690979E-2</c:v>
                </c:pt>
                <c:pt idx="102">
                  <c:v>3.2379754794089909E-2</c:v>
                </c:pt>
                <c:pt idx="103">
                  <c:v>3.2694121345488839E-2</c:v>
                </c:pt>
                <c:pt idx="104">
                  <c:v>3.3008487896887768E-2</c:v>
                </c:pt>
                <c:pt idx="105">
                  <c:v>3.3322854448286705E-2</c:v>
                </c:pt>
                <c:pt idx="106">
                  <c:v>3.3637220999685635E-2</c:v>
                </c:pt>
                <c:pt idx="107">
                  <c:v>3.3951587551084565E-2</c:v>
                </c:pt>
                <c:pt idx="108">
                  <c:v>3.4265954102483495E-2</c:v>
                </c:pt>
                <c:pt idx="109">
                  <c:v>3.4580320653882425E-2</c:v>
                </c:pt>
                <c:pt idx="110">
                  <c:v>3.4894687205281355E-2</c:v>
                </c:pt>
                <c:pt idx="111">
                  <c:v>3.5209053756680292E-2</c:v>
                </c:pt>
                <c:pt idx="112">
                  <c:v>3.5523420308079222E-2</c:v>
                </c:pt>
                <c:pt idx="113">
                  <c:v>3.5837786859478152E-2</c:v>
                </c:pt>
                <c:pt idx="114">
                  <c:v>3.6152153410877082E-2</c:v>
                </c:pt>
                <c:pt idx="115">
                  <c:v>3.6466519962276012E-2</c:v>
                </c:pt>
                <c:pt idx="116">
                  <c:v>3.6780886513674942E-2</c:v>
                </c:pt>
                <c:pt idx="117">
                  <c:v>3.7095253065073878E-2</c:v>
                </c:pt>
                <c:pt idx="118">
                  <c:v>3.7409619616472808E-2</c:v>
                </c:pt>
                <c:pt idx="119">
                  <c:v>3.7723986167871738E-2</c:v>
                </c:pt>
                <c:pt idx="120">
                  <c:v>3.8038352719270668E-2</c:v>
                </c:pt>
                <c:pt idx="121">
                  <c:v>3.8352719270669598E-2</c:v>
                </c:pt>
                <c:pt idx="122">
                  <c:v>3.8667085822068535E-2</c:v>
                </c:pt>
                <c:pt idx="123">
                  <c:v>3.8981452373467465E-2</c:v>
                </c:pt>
                <c:pt idx="124">
                  <c:v>3.9295818924866395E-2</c:v>
                </c:pt>
                <c:pt idx="125">
                  <c:v>3.9610185476265325E-2</c:v>
                </c:pt>
                <c:pt idx="126">
                  <c:v>3.9924552027664255E-2</c:v>
                </c:pt>
                <c:pt idx="127">
                  <c:v>4.0238918579063185E-2</c:v>
                </c:pt>
                <c:pt idx="128">
                  <c:v>4.0553285130462122E-2</c:v>
                </c:pt>
                <c:pt idx="129">
                  <c:v>4.0867651681861052E-2</c:v>
                </c:pt>
                <c:pt idx="130">
                  <c:v>4.1182018233259982E-2</c:v>
                </c:pt>
                <c:pt idx="131">
                  <c:v>4.1496384784658912E-2</c:v>
                </c:pt>
                <c:pt idx="132">
                  <c:v>4.1810751336057841E-2</c:v>
                </c:pt>
                <c:pt idx="133">
                  <c:v>4.2125117887456771E-2</c:v>
                </c:pt>
                <c:pt idx="134">
                  <c:v>4.2439484438855708E-2</c:v>
                </c:pt>
                <c:pt idx="135">
                  <c:v>4.2753850990254638E-2</c:v>
                </c:pt>
                <c:pt idx="136">
                  <c:v>4.3068217541653568E-2</c:v>
                </c:pt>
                <c:pt idx="137">
                  <c:v>4.3382584093052498E-2</c:v>
                </c:pt>
                <c:pt idx="138">
                  <c:v>4.3696950644451428E-2</c:v>
                </c:pt>
                <c:pt idx="139">
                  <c:v>4.4011317195850365E-2</c:v>
                </c:pt>
                <c:pt idx="140">
                  <c:v>4.4325683747249295E-2</c:v>
                </c:pt>
                <c:pt idx="141">
                  <c:v>4.4640050298648225E-2</c:v>
                </c:pt>
                <c:pt idx="142">
                  <c:v>4.4954416850047155E-2</c:v>
                </c:pt>
                <c:pt idx="143">
                  <c:v>4.5268783401446085E-2</c:v>
                </c:pt>
                <c:pt idx="144">
                  <c:v>4.5583149952845015E-2</c:v>
                </c:pt>
                <c:pt idx="145">
                  <c:v>4.5897516504243951E-2</c:v>
                </c:pt>
                <c:pt idx="146">
                  <c:v>4.6211883055642881E-2</c:v>
                </c:pt>
                <c:pt idx="147">
                  <c:v>4.6526249607041811E-2</c:v>
                </c:pt>
                <c:pt idx="148">
                  <c:v>4.6840616158440741E-2</c:v>
                </c:pt>
                <c:pt idx="149">
                  <c:v>4.7154982709839671E-2</c:v>
                </c:pt>
                <c:pt idx="150">
                  <c:v>4.7469349261238601E-2</c:v>
                </c:pt>
                <c:pt idx="151">
                  <c:v>4.7783715812637538E-2</c:v>
                </c:pt>
                <c:pt idx="152">
                  <c:v>4.8098082364036468E-2</c:v>
                </c:pt>
                <c:pt idx="153">
                  <c:v>4.8412448915435398E-2</c:v>
                </c:pt>
                <c:pt idx="154">
                  <c:v>4.8726815466834328E-2</c:v>
                </c:pt>
                <c:pt idx="155">
                  <c:v>4.9041182018233258E-2</c:v>
                </c:pt>
                <c:pt idx="156">
                  <c:v>4.9355548569632188E-2</c:v>
                </c:pt>
                <c:pt idx="157">
                  <c:v>4.9669915121031125E-2</c:v>
                </c:pt>
                <c:pt idx="158">
                  <c:v>4.9984281672430055E-2</c:v>
                </c:pt>
                <c:pt idx="159">
                  <c:v>5.0298648223828984E-2</c:v>
                </c:pt>
                <c:pt idx="160">
                  <c:v>5.0613014775227914E-2</c:v>
                </c:pt>
                <c:pt idx="161">
                  <c:v>5.0927381326626844E-2</c:v>
                </c:pt>
                <c:pt idx="162">
                  <c:v>5.1241747878025781E-2</c:v>
                </c:pt>
                <c:pt idx="163">
                  <c:v>5.1556114429424711E-2</c:v>
                </c:pt>
                <c:pt idx="164">
                  <c:v>5.1870480980823641E-2</c:v>
                </c:pt>
                <c:pt idx="165">
                  <c:v>5.2184847532222571E-2</c:v>
                </c:pt>
                <c:pt idx="166">
                  <c:v>5.2499214083621501E-2</c:v>
                </c:pt>
                <c:pt idx="167">
                  <c:v>5.2813580635020431E-2</c:v>
                </c:pt>
                <c:pt idx="168">
                  <c:v>5.3127947186419368E-2</c:v>
                </c:pt>
                <c:pt idx="169">
                  <c:v>5.3442313737818298E-2</c:v>
                </c:pt>
                <c:pt idx="170">
                  <c:v>5.3756680289217228E-2</c:v>
                </c:pt>
                <c:pt idx="171">
                  <c:v>5.4071046840616158E-2</c:v>
                </c:pt>
                <c:pt idx="172">
                  <c:v>5.4385413392015088E-2</c:v>
                </c:pt>
                <c:pt idx="173">
                  <c:v>5.4699779943414018E-2</c:v>
                </c:pt>
                <c:pt idx="174">
                  <c:v>5.5014146494812954E-2</c:v>
                </c:pt>
                <c:pt idx="175">
                  <c:v>5.5328513046211884E-2</c:v>
                </c:pt>
                <c:pt idx="176">
                  <c:v>5.5642879597610814E-2</c:v>
                </c:pt>
                <c:pt idx="177">
                  <c:v>5.5957246149009744E-2</c:v>
                </c:pt>
                <c:pt idx="178">
                  <c:v>5.6271612700408674E-2</c:v>
                </c:pt>
                <c:pt idx="179">
                  <c:v>5.6585979251807611E-2</c:v>
                </c:pt>
                <c:pt idx="180">
                  <c:v>5.6900345803206541E-2</c:v>
                </c:pt>
                <c:pt idx="181">
                  <c:v>5.7214712354605471E-2</c:v>
                </c:pt>
                <c:pt idx="182">
                  <c:v>5.7529078906004401E-2</c:v>
                </c:pt>
                <c:pt idx="183">
                  <c:v>5.7843445457403331E-2</c:v>
                </c:pt>
                <c:pt idx="184">
                  <c:v>5.8157812008802261E-2</c:v>
                </c:pt>
                <c:pt idx="185">
                  <c:v>5.8472178560201198E-2</c:v>
                </c:pt>
                <c:pt idx="186">
                  <c:v>5.8786545111600128E-2</c:v>
                </c:pt>
                <c:pt idx="187">
                  <c:v>5.9100911662999057E-2</c:v>
                </c:pt>
                <c:pt idx="188">
                  <c:v>5.9415278214397987E-2</c:v>
                </c:pt>
                <c:pt idx="189">
                  <c:v>5.9729644765796917E-2</c:v>
                </c:pt>
                <c:pt idx="190">
                  <c:v>6.0044011317195847E-2</c:v>
                </c:pt>
                <c:pt idx="191">
                  <c:v>6.0358377868594784E-2</c:v>
                </c:pt>
                <c:pt idx="192">
                  <c:v>6.0672744419993714E-2</c:v>
                </c:pt>
                <c:pt idx="193">
                  <c:v>6.0987110971392644E-2</c:v>
                </c:pt>
                <c:pt idx="194">
                  <c:v>6.1301477522791574E-2</c:v>
                </c:pt>
                <c:pt idx="195">
                  <c:v>6.1615844074190504E-2</c:v>
                </c:pt>
                <c:pt idx="196">
                  <c:v>6.1930210625589434E-2</c:v>
                </c:pt>
                <c:pt idx="197">
                  <c:v>6.2244577176988371E-2</c:v>
                </c:pt>
                <c:pt idx="198">
                  <c:v>6.2558943728387301E-2</c:v>
                </c:pt>
                <c:pt idx="199">
                  <c:v>6.2873310279786238E-2</c:v>
                </c:pt>
                <c:pt idx="200">
                  <c:v>6.3187676831185161E-2</c:v>
                </c:pt>
                <c:pt idx="201">
                  <c:v>6.3502043382584097E-2</c:v>
                </c:pt>
                <c:pt idx="202">
                  <c:v>6.381640993398302E-2</c:v>
                </c:pt>
                <c:pt idx="203">
                  <c:v>6.4130776485381957E-2</c:v>
                </c:pt>
                <c:pt idx="204">
                  <c:v>6.444514303678088E-2</c:v>
                </c:pt>
                <c:pt idx="205">
                  <c:v>6.4759509588179817E-2</c:v>
                </c:pt>
                <c:pt idx="206">
                  <c:v>6.5073876139578754E-2</c:v>
                </c:pt>
                <c:pt idx="207">
                  <c:v>6.5388242690977677E-2</c:v>
                </c:pt>
                <c:pt idx="208">
                  <c:v>6.5702609242376614E-2</c:v>
                </c:pt>
                <c:pt idx="209">
                  <c:v>6.6016975793775537E-2</c:v>
                </c:pt>
                <c:pt idx="210">
                  <c:v>6.6331342345174474E-2</c:v>
                </c:pt>
                <c:pt idx="211">
                  <c:v>6.6645708896573411E-2</c:v>
                </c:pt>
                <c:pt idx="212">
                  <c:v>6.6960075447972334E-2</c:v>
                </c:pt>
                <c:pt idx="213">
                  <c:v>6.7274441999371271E-2</c:v>
                </c:pt>
                <c:pt idx="214">
                  <c:v>6.7588808550770194E-2</c:v>
                </c:pt>
                <c:pt idx="215">
                  <c:v>6.790317510216913E-2</c:v>
                </c:pt>
                <c:pt idx="216">
                  <c:v>6.8217541653568053E-2</c:v>
                </c:pt>
                <c:pt idx="217">
                  <c:v>6.853190820496699E-2</c:v>
                </c:pt>
                <c:pt idx="218">
                  <c:v>6.8846274756365927E-2</c:v>
                </c:pt>
                <c:pt idx="219">
                  <c:v>6.916064130776485E-2</c:v>
                </c:pt>
                <c:pt idx="220">
                  <c:v>6.9475007859163787E-2</c:v>
                </c:pt>
                <c:pt idx="221">
                  <c:v>6.978937441056271E-2</c:v>
                </c:pt>
                <c:pt idx="222">
                  <c:v>7.0103740961961647E-2</c:v>
                </c:pt>
                <c:pt idx="223">
                  <c:v>7.0418107513360584E-2</c:v>
                </c:pt>
                <c:pt idx="224">
                  <c:v>7.0732474064759507E-2</c:v>
                </c:pt>
                <c:pt idx="225">
                  <c:v>7.1046840616158444E-2</c:v>
                </c:pt>
                <c:pt idx="226">
                  <c:v>7.1361207167557367E-2</c:v>
                </c:pt>
                <c:pt idx="227">
                  <c:v>7.1675573718956304E-2</c:v>
                </c:pt>
                <c:pt idx="228">
                  <c:v>7.198994027035524E-2</c:v>
                </c:pt>
                <c:pt idx="229">
                  <c:v>7.2304306821754163E-2</c:v>
                </c:pt>
                <c:pt idx="230">
                  <c:v>7.26186733731531E-2</c:v>
                </c:pt>
                <c:pt idx="231">
                  <c:v>7.2933039924552023E-2</c:v>
                </c:pt>
                <c:pt idx="232">
                  <c:v>7.324740647595096E-2</c:v>
                </c:pt>
                <c:pt idx="233">
                  <c:v>7.3561773027349883E-2</c:v>
                </c:pt>
                <c:pt idx="234">
                  <c:v>7.387613957874882E-2</c:v>
                </c:pt>
                <c:pt idx="235">
                  <c:v>7.4190506130147757E-2</c:v>
                </c:pt>
                <c:pt idx="236">
                  <c:v>7.450487268154668E-2</c:v>
                </c:pt>
                <c:pt idx="237">
                  <c:v>7.4819239232945617E-2</c:v>
                </c:pt>
                <c:pt idx="238">
                  <c:v>7.513360578434454E-2</c:v>
                </c:pt>
                <c:pt idx="239">
                  <c:v>7.5447972335743477E-2</c:v>
                </c:pt>
                <c:pt idx="240">
                  <c:v>7.5762338887142414E-2</c:v>
                </c:pt>
                <c:pt idx="241">
                  <c:v>7.6076705438541337E-2</c:v>
                </c:pt>
                <c:pt idx="242">
                  <c:v>7.6391071989940273E-2</c:v>
                </c:pt>
                <c:pt idx="243">
                  <c:v>7.6705438541339196E-2</c:v>
                </c:pt>
                <c:pt idx="244">
                  <c:v>7.7019805092738133E-2</c:v>
                </c:pt>
                <c:pt idx="245">
                  <c:v>7.733417164413707E-2</c:v>
                </c:pt>
                <c:pt idx="246">
                  <c:v>7.7648538195535993E-2</c:v>
                </c:pt>
                <c:pt idx="247">
                  <c:v>7.796290474693493E-2</c:v>
                </c:pt>
                <c:pt idx="248">
                  <c:v>7.8277271298333853E-2</c:v>
                </c:pt>
                <c:pt idx="249">
                  <c:v>7.859163784973279E-2</c:v>
                </c:pt>
                <c:pt idx="250">
                  <c:v>7.8906004401131713E-2</c:v>
                </c:pt>
                <c:pt idx="251">
                  <c:v>7.922037095253065E-2</c:v>
                </c:pt>
                <c:pt idx="252">
                  <c:v>7.9534737503929587E-2</c:v>
                </c:pt>
                <c:pt idx="253">
                  <c:v>7.984910405532851E-2</c:v>
                </c:pt>
                <c:pt idx="254">
                  <c:v>8.0163470606727447E-2</c:v>
                </c:pt>
                <c:pt idx="255">
                  <c:v>8.047783715812637E-2</c:v>
                </c:pt>
                <c:pt idx="256">
                  <c:v>8.0792203709525306E-2</c:v>
                </c:pt>
                <c:pt idx="257">
                  <c:v>8.1106570260924243E-2</c:v>
                </c:pt>
                <c:pt idx="258">
                  <c:v>8.1420936812323166E-2</c:v>
                </c:pt>
                <c:pt idx="259">
                  <c:v>8.1735303363722103E-2</c:v>
                </c:pt>
                <c:pt idx="260">
                  <c:v>8.2049669915121026E-2</c:v>
                </c:pt>
                <c:pt idx="261">
                  <c:v>8.2364036466519963E-2</c:v>
                </c:pt>
                <c:pt idx="262">
                  <c:v>8.26784030179189E-2</c:v>
                </c:pt>
                <c:pt idx="263">
                  <c:v>8.2992769569317823E-2</c:v>
                </c:pt>
                <c:pt idx="264">
                  <c:v>8.330713612071676E-2</c:v>
                </c:pt>
                <c:pt idx="265">
                  <c:v>8.3621502672115683E-2</c:v>
                </c:pt>
                <c:pt idx="266">
                  <c:v>8.393586922351462E-2</c:v>
                </c:pt>
                <c:pt idx="267">
                  <c:v>8.4250235774913543E-2</c:v>
                </c:pt>
                <c:pt idx="268">
                  <c:v>8.456460232631248E-2</c:v>
                </c:pt>
                <c:pt idx="269">
                  <c:v>8.4878968877711417E-2</c:v>
                </c:pt>
                <c:pt idx="270">
                  <c:v>8.519333542911034E-2</c:v>
                </c:pt>
                <c:pt idx="271">
                  <c:v>8.5507701980509276E-2</c:v>
                </c:pt>
                <c:pt idx="272">
                  <c:v>8.5822068531908199E-2</c:v>
                </c:pt>
                <c:pt idx="273">
                  <c:v>8.6136435083307136E-2</c:v>
                </c:pt>
                <c:pt idx="274">
                  <c:v>8.6450801634706073E-2</c:v>
                </c:pt>
                <c:pt idx="275">
                  <c:v>8.6765168186104996E-2</c:v>
                </c:pt>
                <c:pt idx="276">
                  <c:v>8.7079534737503933E-2</c:v>
                </c:pt>
                <c:pt idx="277">
                  <c:v>8.7393901288902856E-2</c:v>
                </c:pt>
                <c:pt idx="278">
                  <c:v>8.7708267840301793E-2</c:v>
                </c:pt>
                <c:pt idx="279">
                  <c:v>8.802263439170073E-2</c:v>
                </c:pt>
                <c:pt idx="280">
                  <c:v>8.8337000943099653E-2</c:v>
                </c:pt>
                <c:pt idx="281">
                  <c:v>8.865136749449859E-2</c:v>
                </c:pt>
                <c:pt idx="282">
                  <c:v>8.8965734045897513E-2</c:v>
                </c:pt>
                <c:pt idx="283">
                  <c:v>8.928010059729645E-2</c:v>
                </c:pt>
                <c:pt idx="284">
                  <c:v>8.9594467148695373E-2</c:v>
                </c:pt>
                <c:pt idx="285">
                  <c:v>8.9908833700094309E-2</c:v>
                </c:pt>
                <c:pt idx="286">
                  <c:v>9.0223200251493246E-2</c:v>
                </c:pt>
                <c:pt idx="287">
                  <c:v>9.0537566802892169E-2</c:v>
                </c:pt>
                <c:pt idx="288">
                  <c:v>9.0851933354291106E-2</c:v>
                </c:pt>
                <c:pt idx="289">
                  <c:v>9.1166299905690029E-2</c:v>
                </c:pt>
                <c:pt idx="290">
                  <c:v>9.1480666457088966E-2</c:v>
                </c:pt>
                <c:pt idx="291">
                  <c:v>9.1795033008487903E-2</c:v>
                </c:pt>
                <c:pt idx="292">
                  <c:v>9.2109399559886826E-2</c:v>
                </c:pt>
                <c:pt idx="293">
                  <c:v>9.2423766111285763E-2</c:v>
                </c:pt>
                <c:pt idx="294">
                  <c:v>9.2738132662684686E-2</c:v>
                </c:pt>
                <c:pt idx="295">
                  <c:v>9.3052499214083623E-2</c:v>
                </c:pt>
                <c:pt idx="296">
                  <c:v>9.336686576548256E-2</c:v>
                </c:pt>
                <c:pt idx="297">
                  <c:v>9.3681232316881483E-2</c:v>
                </c:pt>
                <c:pt idx="298">
                  <c:v>9.3995598868280419E-2</c:v>
                </c:pt>
                <c:pt idx="299">
                  <c:v>9.4309965419679342E-2</c:v>
                </c:pt>
                <c:pt idx="300">
                  <c:v>9.4624331971078279E-2</c:v>
                </c:pt>
                <c:pt idx="301">
                  <c:v>9.4938698522477202E-2</c:v>
                </c:pt>
                <c:pt idx="302">
                  <c:v>9.5253065073876139E-2</c:v>
                </c:pt>
                <c:pt idx="303">
                  <c:v>9.5567431625275076E-2</c:v>
                </c:pt>
                <c:pt idx="304">
                  <c:v>9.5881798176673999E-2</c:v>
                </c:pt>
                <c:pt idx="305">
                  <c:v>9.6196164728072936E-2</c:v>
                </c:pt>
                <c:pt idx="306">
                  <c:v>9.6510531279471859E-2</c:v>
                </c:pt>
                <c:pt idx="307">
                  <c:v>9.6824897830870796E-2</c:v>
                </c:pt>
                <c:pt idx="308">
                  <c:v>9.7139264382269733E-2</c:v>
                </c:pt>
                <c:pt idx="309">
                  <c:v>9.7453630933668656E-2</c:v>
                </c:pt>
                <c:pt idx="310">
                  <c:v>9.7767997485067593E-2</c:v>
                </c:pt>
                <c:pt idx="311">
                  <c:v>9.8082364036466516E-2</c:v>
                </c:pt>
                <c:pt idx="312">
                  <c:v>9.8396730587865452E-2</c:v>
                </c:pt>
                <c:pt idx="313">
                  <c:v>9.8711097139264375E-2</c:v>
                </c:pt>
                <c:pt idx="314">
                  <c:v>9.9025463690663312E-2</c:v>
                </c:pt>
                <c:pt idx="315">
                  <c:v>9.9339830242062249E-2</c:v>
                </c:pt>
                <c:pt idx="316">
                  <c:v>9.9654196793461172E-2</c:v>
                </c:pt>
                <c:pt idx="317">
                  <c:v>9.9968563344860109E-2</c:v>
                </c:pt>
                <c:pt idx="318">
                  <c:v>0.10028292989625903</c:v>
                </c:pt>
                <c:pt idx="319">
                  <c:v>0.10059729644765797</c:v>
                </c:pt>
                <c:pt idx="320">
                  <c:v>0.10091166299905691</c:v>
                </c:pt>
                <c:pt idx="321">
                  <c:v>0.10122602955045583</c:v>
                </c:pt>
                <c:pt idx="322">
                  <c:v>0.10154039610185477</c:v>
                </c:pt>
                <c:pt idx="323">
                  <c:v>0.10185476265325369</c:v>
                </c:pt>
                <c:pt idx="324">
                  <c:v>0.10216912920465263</c:v>
                </c:pt>
                <c:pt idx="325">
                  <c:v>0.10248349575605156</c:v>
                </c:pt>
                <c:pt idx="326">
                  <c:v>0.10279786230745049</c:v>
                </c:pt>
                <c:pt idx="327">
                  <c:v>0.10311222885884942</c:v>
                </c:pt>
                <c:pt idx="328">
                  <c:v>0.10342659541024835</c:v>
                </c:pt>
                <c:pt idx="329">
                  <c:v>0.10374096196164728</c:v>
                </c:pt>
                <c:pt idx="330">
                  <c:v>0.10405532851304621</c:v>
                </c:pt>
                <c:pt idx="331">
                  <c:v>0.10436969506444514</c:v>
                </c:pt>
                <c:pt idx="332">
                  <c:v>0.10468406161584408</c:v>
                </c:pt>
                <c:pt idx="333">
                  <c:v>0.104998428167243</c:v>
                </c:pt>
                <c:pt idx="334">
                  <c:v>0.10531279471864194</c:v>
                </c:pt>
                <c:pt idx="335">
                  <c:v>0.10562716127004086</c:v>
                </c:pt>
                <c:pt idx="336">
                  <c:v>0.1059415278214398</c:v>
                </c:pt>
                <c:pt idx="337">
                  <c:v>0.10625589437283874</c:v>
                </c:pt>
                <c:pt idx="338">
                  <c:v>0.10657026092423766</c:v>
                </c:pt>
                <c:pt idx="339">
                  <c:v>0.1068846274756366</c:v>
                </c:pt>
                <c:pt idx="340">
                  <c:v>0.10719899402703552</c:v>
                </c:pt>
                <c:pt idx="341">
                  <c:v>0.10751336057843446</c:v>
                </c:pt>
                <c:pt idx="342">
                  <c:v>0.10782772712983339</c:v>
                </c:pt>
                <c:pt idx="343">
                  <c:v>0.10814209368123232</c:v>
                </c:pt>
                <c:pt idx="344">
                  <c:v>0.10845646023263125</c:v>
                </c:pt>
                <c:pt idx="345">
                  <c:v>0.10877082678403018</c:v>
                </c:pt>
                <c:pt idx="346">
                  <c:v>0.10908519333542911</c:v>
                </c:pt>
                <c:pt idx="347">
                  <c:v>0.10939955988682804</c:v>
                </c:pt>
                <c:pt idx="348">
                  <c:v>0.10971392643822697</c:v>
                </c:pt>
                <c:pt idx="349">
                  <c:v>0.11002829298962591</c:v>
                </c:pt>
                <c:pt idx="350">
                  <c:v>0.11034265954102483</c:v>
                </c:pt>
                <c:pt idx="351">
                  <c:v>0.11065702609242377</c:v>
                </c:pt>
                <c:pt idx="352">
                  <c:v>0.11097139264382269</c:v>
                </c:pt>
                <c:pt idx="353">
                  <c:v>0.11128575919522163</c:v>
                </c:pt>
                <c:pt idx="354">
                  <c:v>0.11160012574662057</c:v>
                </c:pt>
                <c:pt idx="355">
                  <c:v>0.11191449229801949</c:v>
                </c:pt>
                <c:pt idx="356">
                  <c:v>0.11222885884941843</c:v>
                </c:pt>
                <c:pt idx="357">
                  <c:v>0.11254322540081735</c:v>
                </c:pt>
                <c:pt idx="358">
                  <c:v>0.11285759195221629</c:v>
                </c:pt>
                <c:pt idx="359">
                  <c:v>0.11317195850361522</c:v>
                </c:pt>
                <c:pt idx="360">
                  <c:v>0.11348632505501415</c:v>
                </c:pt>
                <c:pt idx="361">
                  <c:v>0.11380069160641308</c:v>
                </c:pt>
                <c:pt idx="362">
                  <c:v>0.114115058157812</c:v>
                </c:pt>
                <c:pt idx="363">
                  <c:v>0.11442942470921094</c:v>
                </c:pt>
                <c:pt idx="364">
                  <c:v>0.11474379126060986</c:v>
                </c:pt>
                <c:pt idx="365">
                  <c:v>0.1150581578120088</c:v>
                </c:pt>
                <c:pt idx="366">
                  <c:v>0.11537252436340774</c:v>
                </c:pt>
                <c:pt idx="367">
                  <c:v>0.11568689091480666</c:v>
                </c:pt>
                <c:pt idx="368">
                  <c:v>0.1160012574662056</c:v>
                </c:pt>
                <c:pt idx="369">
                  <c:v>0.11631562401760452</c:v>
                </c:pt>
                <c:pt idx="370">
                  <c:v>0.11662999056900346</c:v>
                </c:pt>
                <c:pt idx="371">
                  <c:v>0.1169443571204024</c:v>
                </c:pt>
                <c:pt idx="372">
                  <c:v>0.11725872367180132</c:v>
                </c:pt>
                <c:pt idx="373">
                  <c:v>0.11757309022320026</c:v>
                </c:pt>
                <c:pt idx="374">
                  <c:v>0.11788745677459918</c:v>
                </c:pt>
                <c:pt idx="375">
                  <c:v>0.11820182332599811</c:v>
                </c:pt>
                <c:pt idx="376">
                  <c:v>0.11851618987739705</c:v>
                </c:pt>
                <c:pt idx="377">
                  <c:v>0.11883055642879597</c:v>
                </c:pt>
                <c:pt idx="378">
                  <c:v>0.11914492298019491</c:v>
                </c:pt>
                <c:pt idx="379">
                  <c:v>0.11945928953159383</c:v>
                </c:pt>
                <c:pt idx="380">
                  <c:v>0.11977365608299277</c:v>
                </c:pt>
                <c:pt idx="381">
                  <c:v>0.12008802263439169</c:v>
                </c:pt>
                <c:pt idx="382">
                  <c:v>0.12040238918579063</c:v>
                </c:pt>
                <c:pt idx="383">
                  <c:v>0.12071675573718957</c:v>
                </c:pt>
                <c:pt idx="384">
                  <c:v>0.12103112228858849</c:v>
                </c:pt>
                <c:pt idx="385">
                  <c:v>0.12134548883998743</c:v>
                </c:pt>
                <c:pt idx="386">
                  <c:v>0.12165985539138635</c:v>
                </c:pt>
                <c:pt idx="387">
                  <c:v>0.12197422194278529</c:v>
                </c:pt>
                <c:pt idx="388">
                  <c:v>0.12228858849418422</c:v>
                </c:pt>
                <c:pt idx="389">
                  <c:v>0.12260295504558315</c:v>
                </c:pt>
                <c:pt idx="390">
                  <c:v>0.12291732159698208</c:v>
                </c:pt>
                <c:pt idx="391">
                  <c:v>0.12323168814838101</c:v>
                </c:pt>
                <c:pt idx="392">
                  <c:v>0.12354605469977994</c:v>
                </c:pt>
                <c:pt idx="393">
                  <c:v>0.12386042125117887</c:v>
                </c:pt>
                <c:pt idx="394">
                  <c:v>0.1241747878025778</c:v>
                </c:pt>
                <c:pt idx="395">
                  <c:v>0.12448915435397674</c:v>
                </c:pt>
                <c:pt idx="396">
                  <c:v>0.12480352090537566</c:v>
                </c:pt>
                <c:pt idx="397">
                  <c:v>0.1251178874567746</c:v>
                </c:pt>
                <c:pt idx="398">
                  <c:v>0.12543225400817354</c:v>
                </c:pt>
                <c:pt idx="399">
                  <c:v>0.12574662055957248</c:v>
                </c:pt>
                <c:pt idx="400">
                  <c:v>0.12606098711097138</c:v>
                </c:pt>
                <c:pt idx="401">
                  <c:v>0.12637535366237032</c:v>
                </c:pt>
                <c:pt idx="402">
                  <c:v>0.12668972021376926</c:v>
                </c:pt>
                <c:pt idx="403">
                  <c:v>0.12700408676516819</c:v>
                </c:pt>
                <c:pt idx="404">
                  <c:v>0.1273184533165671</c:v>
                </c:pt>
                <c:pt idx="405">
                  <c:v>0.12763281986796604</c:v>
                </c:pt>
                <c:pt idx="406">
                  <c:v>0.12794718641936498</c:v>
                </c:pt>
                <c:pt idx="407">
                  <c:v>0.12826155297076391</c:v>
                </c:pt>
                <c:pt idx="408">
                  <c:v>0.12857591952216285</c:v>
                </c:pt>
                <c:pt idx="409">
                  <c:v>0.12889028607356176</c:v>
                </c:pt>
                <c:pt idx="410">
                  <c:v>0.1292046526249607</c:v>
                </c:pt>
                <c:pt idx="411">
                  <c:v>0.12951901917635963</c:v>
                </c:pt>
                <c:pt idx="412">
                  <c:v>0.12983338572775857</c:v>
                </c:pt>
                <c:pt idx="413">
                  <c:v>0.13014775227915751</c:v>
                </c:pt>
                <c:pt idx="414">
                  <c:v>0.13046211883055642</c:v>
                </c:pt>
                <c:pt idx="415">
                  <c:v>0.13077648538195535</c:v>
                </c:pt>
                <c:pt idx="416">
                  <c:v>0.13109085193335429</c:v>
                </c:pt>
                <c:pt idx="417">
                  <c:v>0.13140521848475323</c:v>
                </c:pt>
                <c:pt idx="418">
                  <c:v>0.13171958503615216</c:v>
                </c:pt>
                <c:pt idx="419">
                  <c:v>0.13203395158755107</c:v>
                </c:pt>
                <c:pt idx="420">
                  <c:v>0.13234831813895001</c:v>
                </c:pt>
                <c:pt idx="421">
                  <c:v>0.13266268469034895</c:v>
                </c:pt>
                <c:pt idx="422">
                  <c:v>0.13297705124174788</c:v>
                </c:pt>
                <c:pt idx="423">
                  <c:v>0.13329141779314682</c:v>
                </c:pt>
                <c:pt idx="424">
                  <c:v>0.13360578434454573</c:v>
                </c:pt>
                <c:pt idx="425">
                  <c:v>0.13392015089594467</c:v>
                </c:pt>
                <c:pt idx="426">
                  <c:v>0.1342345174473436</c:v>
                </c:pt>
                <c:pt idx="427">
                  <c:v>0.13454888399874254</c:v>
                </c:pt>
                <c:pt idx="428">
                  <c:v>0.13486325055014148</c:v>
                </c:pt>
                <c:pt idx="429">
                  <c:v>0.13517761710154039</c:v>
                </c:pt>
                <c:pt idx="430">
                  <c:v>0.13549198365293932</c:v>
                </c:pt>
                <c:pt idx="431">
                  <c:v>0.13580635020433826</c:v>
                </c:pt>
                <c:pt idx="432">
                  <c:v>0.1361207167557372</c:v>
                </c:pt>
                <c:pt idx="433">
                  <c:v>0.13643508330713611</c:v>
                </c:pt>
                <c:pt idx="434">
                  <c:v>0.13674944985853504</c:v>
                </c:pt>
                <c:pt idx="435">
                  <c:v>0.13706381640993398</c:v>
                </c:pt>
                <c:pt idx="436">
                  <c:v>0.13737818296133292</c:v>
                </c:pt>
                <c:pt idx="437">
                  <c:v>0.13769254951273185</c:v>
                </c:pt>
                <c:pt idx="438">
                  <c:v>0.13800691606413076</c:v>
                </c:pt>
                <c:pt idx="439">
                  <c:v>0.1383212826155297</c:v>
                </c:pt>
                <c:pt idx="440">
                  <c:v>0.13863564916692864</c:v>
                </c:pt>
                <c:pt idx="441">
                  <c:v>0.13895001571832757</c:v>
                </c:pt>
                <c:pt idx="442">
                  <c:v>0.13926438226972651</c:v>
                </c:pt>
                <c:pt idx="443">
                  <c:v>0.13957874882112542</c:v>
                </c:pt>
                <c:pt idx="444">
                  <c:v>0.13989311537252436</c:v>
                </c:pt>
                <c:pt idx="445">
                  <c:v>0.14020748192392329</c:v>
                </c:pt>
                <c:pt idx="446">
                  <c:v>0.14052184847532223</c:v>
                </c:pt>
                <c:pt idx="447">
                  <c:v>0.14083621502672117</c:v>
                </c:pt>
                <c:pt idx="448">
                  <c:v>0.14115058157812008</c:v>
                </c:pt>
                <c:pt idx="449">
                  <c:v>0.14146494812951901</c:v>
                </c:pt>
                <c:pt idx="450">
                  <c:v>0.14177931468091795</c:v>
                </c:pt>
                <c:pt idx="451">
                  <c:v>0.14209368123231689</c:v>
                </c:pt>
                <c:pt idx="452">
                  <c:v>0.14240804778371582</c:v>
                </c:pt>
                <c:pt idx="453">
                  <c:v>0.14272241433511473</c:v>
                </c:pt>
                <c:pt idx="454">
                  <c:v>0.14303678088651367</c:v>
                </c:pt>
                <c:pt idx="455">
                  <c:v>0.14335114743791261</c:v>
                </c:pt>
                <c:pt idx="456">
                  <c:v>0.14366551398931154</c:v>
                </c:pt>
                <c:pt idx="457">
                  <c:v>0.14397988054071048</c:v>
                </c:pt>
                <c:pt idx="458">
                  <c:v>0.14429424709210939</c:v>
                </c:pt>
                <c:pt idx="459">
                  <c:v>0.14460861364350833</c:v>
                </c:pt>
                <c:pt idx="460">
                  <c:v>0.14492298019490726</c:v>
                </c:pt>
                <c:pt idx="461">
                  <c:v>0.1452373467463062</c:v>
                </c:pt>
                <c:pt idx="462">
                  <c:v>0.14555171329770514</c:v>
                </c:pt>
                <c:pt idx="463">
                  <c:v>0.14586607984910405</c:v>
                </c:pt>
                <c:pt idx="464">
                  <c:v>0.14618044640050298</c:v>
                </c:pt>
                <c:pt idx="465">
                  <c:v>0.14649481295190192</c:v>
                </c:pt>
                <c:pt idx="466">
                  <c:v>0.14680917950330086</c:v>
                </c:pt>
                <c:pt idx="467">
                  <c:v>0.14712354605469977</c:v>
                </c:pt>
                <c:pt idx="468">
                  <c:v>0.1474379126060987</c:v>
                </c:pt>
                <c:pt idx="469">
                  <c:v>0.14775227915749764</c:v>
                </c:pt>
                <c:pt idx="470">
                  <c:v>0.14806664570889658</c:v>
                </c:pt>
                <c:pt idx="471">
                  <c:v>0.14838101226029551</c:v>
                </c:pt>
                <c:pt idx="472">
                  <c:v>0.14869537881169442</c:v>
                </c:pt>
                <c:pt idx="473">
                  <c:v>0.14900974536309336</c:v>
                </c:pt>
                <c:pt idx="474">
                  <c:v>0.1493241119144923</c:v>
                </c:pt>
                <c:pt idx="475">
                  <c:v>0.14963847846589123</c:v>
                </c:pt>
                <c:pt idx="476">
                  <c:v>0.14995284501729017</c:v>
                </c:pt>
                <c:pt idx="477">
                  <c:v>0.15026721156868908</c:v>
                </c:pt>
                <c:pt idx="478">
                  <c:v>0.15058157812008802</c:v>
                </c:pt>
                <c:pt idx="479">
                  <c:v>0.15089594467148695</c:v>
                </c:pt>
                <c:pt idx="480">
                  <c:v>0.15121031122288589</c:v>
                </c:pt>
                <c:pt idx="481">
                  <c:v>0.15152467777428483</c:v>
                </c:pt>
                <c:pt idx="482">
                  <c:v>0.15183904432568374</c:v>
                </c:pt>
                <c:pt idx="483">
                  <c:v>0.15215341087708267</c:v>
                </c:pt>
                <c:pt idx="484">
                  <c:v>0.15246777742848161</c:v>
                </c:pt>
                <c:pt idx="485">
                  <c:v>0.15278214397988055</c:v>
                </c:pt>
                <c:pt idx="486">
                  <c:v>0.15309651053127948</c:v>
                </c:pt>
                <c:pt idx="487">
                  <c:v>0.15341087708267839</c:v>
                </c:pt>
                <c:pt idx="488">
                  <c:v>0.15372524363407733</c:v>
                </c:pt>
                <c:pt idx="489">
                  <c:v>0.15403961018547627</c:v>
                </c:pt>
                <c:pt idx="490">
                  <c:v>0.1543539767368752</c:v>
                </c:pt>
                <c:pt idx="491">
                  <c:v>0.15466834328827414</c:v>
                </c:pt>
                <c:pt idx="492">
                  <c:v>0.15498270983967305</c:v>
                </c:pt>
                <c:pt idx="493">
                  <c:v>0.15529707639107199</c:v>
                </c:pt>
                <c:pt idx="494">
                  <c:v>0.15561144294247092</c:v>
                </c:pt>
                <c:pt idx="495">
                  <c:v>0.15592580949386986</c:v>
                </c:pt>
                <c:pt idx="496">
                  <c:v>0.1562401760452688</c:v>
                </c:pt>
                <c:pt idx="497">
                  <c:v>0.15655454259666771</c:v>
                </c:pt>
                <c:pt idx="498">
                  <c:v>0.15686890914806664</c:v>
                </c:pt>
                <c:pt idx="499">
                  <c:v>0.15718327569946558</c:v>
                </c:pt>
                <c:pt idx="500">
                  <c:v>0.15749764225086452</c:v>
                </c:pt>
                <c:pt idx="501">
                  <c:v>0.15781200880226343</c:v>
                </c:pt>
                <c:pt idx="502">
                  <c:v>0.15812637535366236</c:v>
                </c:pt>
                <c:pt idx="503">
                  <c:v>0.1584407419050613</c:v>
                </c:pt>
                <c:pt idx="504">
                  <c:v>0.15875510845646024</c:v>
                </c:pt>
                <c:pt idx="505">
                  <c:v>0.15906947500785917</c:v>
                </c:pt>
                <c:pt idx="506">
                  <c:v>0.15938384155925808</c:v>
                </c:pt>
                <c:pt idx="507">
                  <c:v>0.15969820811065702</c:v>
                </c:pt>
                <c:pt idx="508">
                  <c:v>0.16001257466205596</c:v>
                </c:pt>
                <c:pt idx="509">
                  <c:v>0.16032694121345489</c:v>
                </c:pt>
                <c:pt idx="510">
                  <c:v>0.16064130776485383</c:v>
                </c:pt>
                <c:pt idx="511">
                  <c:v>0.16095567431625274</c:v>
                </c:pt>
                <c:pt idx="512">
                  <c:v>0.16127004086765168</c:v>
                </c:pt>
                <c:pt idx="513">
                  <c:v>0.16158440741905061</c:v>
                </c:pt>
                <c:pt idx="514">
                  <c:v>0.16189877397044955</c:v>
                </c:pt>
                <c:pt idx="515">
                  <c:v>0.16221314052184849</c:v>
                </c:pt>
                <c:pt idx="516">
                  <c:v>0.1625275070732474</c:v>
                </c:pt>
                <c:pt idx="517">
                  <c:v>0.16284187362464633</c:v>
                </c:pt>
                <c:pt idx="518">
                  <c:v>0.16315624017604527</c:v>
                </c:pt>
                <c:pt idx="519">
                  <c:v>0.16347060672744421</c:v>
                </c:pt>
                <c:pt idx="520">
                  <c:v>0.16378497327884314</c:v>
                </c:pt>
                <c:pt idx="521">
                  <c:v>0.16409933983024205</c:v>
                </c:pt>
                <c:pt idx="522">
                  <c:v>0.16441370638164099</c:v>
                </c:pt>
                <c:pt idx="523">
                  <c:v>0.16472807293303993</c:v>
                </c:pt>
                <c:pt idx="524">
                  <c:v>0.16504243948443886</c:v>
                </c:pt>
                <c:pt idx="525">
                  <c:v>0.1653568060358378</c:v>
                </c:pt>
                <c:pt idx="526">
                  <c:v>0.16567117258723671</c:v>
                </c:pt>
                <c:pt idx="527">
                  <c:v>0.16598553913863565</c:v>
                </c:pt>
                <c:pt idx="528">
                  <c:v>0.16629990569003458</c:v>
                </c:pt>
                <c:pt idx="529">
                  <c:v>0.16661427224143352</c:v>
                </c:pt>
                <c:pt idx="530">
                  <c:v>0.16692863879283243</c:v>
                </c:pt>
                <c:pt idx="531">
                  <c:v>0.16724300534423137</c:v>
                </c:pt>
                <c:pt idx="532">
                  <c:v>0.1675573718956303</c:v>
                </c:pt>
                <c:pt idx="533">
                  <c:v>0.16787173844702924</c:v>
                </c:pt>
                <c:pt idx="534">
                  <c:v>0.16818610499842818</c:v>
                </c:pt>
                <c:pt idx="535">
                  <c:v>0.16850047154982709</c:v>
                </c:pt>
                <c:pt idx="536">
                  <c:v>0.16881483810122602</c:v>
                </c:pt>
                <c:pt idx="537">
                  <c:v>0.16912920465262496</c:v>
                </c:pt>
                <c:pt idx="538">
                  <c:v>0.1694435712040239</c:v>
                </c:pt>
                <c:pt idx="539">
                  <c:v>0.16975793775542283</c:v>
                </c:pt>
                <c:pt idx="540">
                  <c:v>0.17007230430682174</c:v>
                </c:pt>
                <c:pt idx="541">
                  <c:v>0.17038667085822068</c:v>
                </c:pt>
                <c:pt idx="542">
                  <c:v>0.17070103740961962</c:v>
                </c:pt>
                <c:pt idx="543">
                  <c:v>0.17101540396101855</c:v>
                </c:pt>
                <c:pt idx="544">
                  <c:v>0.17132977051241749</c:v>
                </c:pt>
                <c:pt idx="545">
                  <c:v>0.1716441370638164</c:v>
                </c:pt>
                <c:pt idx="546">
                  <c:v>0.17195850361521534</c:v>
                </c:pt>
                <c:pt idx="547">
                  <c:v>0.17227287016661427</c:v>
                </c:pt>
                <c:pt idx="548">
                  <c:v>0.17258723671801321</c:v>
                </c:pt>
                <c:pt idx="549">
                  <c:v>0.17290160326941215</c:v>
                </c:pt>
                <c:pt idx="550">
                  <c:v>0.17321596982081106</c:v>
                </c:pt>
                <c:pt idx="551">
                  <c:v>0.17353033637220999</c:v>
                </c:pt>
                <c:pt idx="552">
                  <c:v>0.17384470292360893</c:v>
                </c:pt>
                <c:pt idx="553">
                  <c:v>0.17415906947500787</c:v>
                </c:pt>
                <c:pt idx="554">
                  <c:v>0.1744734360264068</c:v>
                </c:pt>
                <c:pt idx="555">
                  <c:v>0.17478780257780571</c:v>
                </c:pt>
                <c:pt idx="556">
                  <c:v>0.17510216912920465</c:v>
                </c:pt>
                <c:pt idx="557">
                  <c:v>0.17541653568060359</c:v>
                </c:pt>
                <c:pt idx="558">
                  <c:v>0.17573090223200252</c:v>
                </c:pt>
                <c:pt idx="559">
                  <c:v>0.17604526878340146</c:v>
                </c:pt>
                <c:pt idx="560">
                  <c:v>0.17635963533480037</c:v>
                </c:pt>
                <c:pt idx="561">
                  <c:v>0.17667400188619931</c:v>
                </c:pt>
                <c:pt idx="562">
                  <c:v>0.17698836843759824</c:v>
                </c:pt>
                <c:pt idx="563">
                  <c:v>0.17730273498899718</c:v>
                </c:pt>
                <c:pt idx="564">
                  <c:v>0.17761710154039609</c:v>
                </c:pt>
                <c:pt idx="565">
                  <c:v>0.17793146809179503</c:v>
                </c:pt>
                <c:pt idx="566">
                  <c:v>0.17824583464319396</c:v>
                </c:pt>
                <c:pt idx="567">
                  <c:v>0.1785602011945929</c:v>
                </c:pt>
                <c:pt idx="568">
                  <c:v>0.17887456774599184</c:v>
                </c:pt>
                <c:pt idx="569">
                  <c:v>0.17918893429739075</c:v>
                </c:pt>
                <c:pt idx="570">
                  <c:v>0.17950330084878968</c:v>
                </c:pt>
                <c:pt idx="571">
                  <c:v>0.17981766740018862</c:v>
                </c:pt>
                <c:pt idx="572">
                  <c:v>0.18013203395158756</c:v>
                </c:pt>
                <c:pt idx="573">
                  <c:v>0.18044640050298649</c:v>
                </c:pt>
                <c:pt idx="574">
                  <c:v>0.1807607670543854</c:v>
                </c:pt>
                <c:pt idx="575">
                  <c:v>0.18107513360578434</c:v>
                </c:pt>
                <c:pt idx="576">
                  <c:v>0.18138950015718328</c:v>
                </c:pt>
                <c:pt idx="577">
                  <c:v>0.18170386670858221</c:v>
                </c:pt>
                <c:pt idx="578">
                  <c:v>0.18201823325998115</c:v>
                </c:pt>
                <c:pt idx="579">
                  <c:v>0.18233259981138006</c:v>
                </c:pt>
                <c:pt idx="580">
                  <c:v>0.182646966362779</c:v>
                </c:pt>
                <c:pt idx="581">
                  <c:v>0.18296133291417793</c:v>
                </c:pt>
                <c:pt idx="582">
                  <c:v>0.18327569946557687</c:v>
                </c:pt>
                <c:pt idx="583">
                  <c:v>0.18359006601697581</c:v>
                </c:pt>
                <c:pt idx="584">
                  <c:v>0.18390443256837471</c:v>
                </c:pt>
                <c:pt idx="585">
                  <c:v>0.18421879911977365</c:v>
                </c:pt>
                <c:pt idx="586">
                  <c:v>0.18453316567117259</c:v>
                </c:pt>
                <c:pt idx="587">
                  <c:v>0.18484753222257153</c:v>
                </c:pt>
                <c:pt idx="588">
                  <c:v>0.18516189877397046</c:v>
                </c:pt>
                <c:pt idx="589">
                  <c:v>0.18547626532536937</c:v>
                </c:pt>
                <c:pt idx="590">
                  <c:v>0.18579063187676831</c:v>
                </c:pt>
                <c:pt idx="591">
                  <c:v>0.18610499842816725</c:v>
                </c:pt>
                <c:pt idx="592">
                  <c:v>0.18641936497956618</c:v>
                </c:pt>
                <c:pt idx="593">
                  <c:v>0.18673373153096512</c:v>
                </c:pt>
                <c:pt idx="594">
                  <c:v>0.18704809808236403</c:v>
                </c:pt>
                <c:pt idx="595">
                  <c:v>0.18736246463376297</c:v>
                </c:pt>
                <c:pt idx="596">
                  <c:v>0.1876768311851619</c:v>
                </c:pt>
                <c:pt idx="597">
                  <c:v>0.18799119773656084</c:v>
                </c:pt>
                <c:pt idx="598">
                  <c:v>0.18830556428795975</c:v>
                </c:pt>
                <c:pt idx="599">
                  <c:v>0.18861993083935868</c:v>
                </c:pt>
                <c:pt idx="600">
                  <c:v>0.18893429739075762</c:v>
                </c:pt>
                <c:pt idx="601">
                  <c:v>0.18924866394215656</c:v>
                </c:pt>
                <c:pt idx="602">
                  <c:v>0.1895630304935555</c:v>
                </c:pt>
                <c:pt idx="603">
                  <c:v>0.1898773970449544</c:v>
                </c:pt>
                <c:pt idx="604">
                  <c:v>0.19019176359635334</c:v>
                </c:pt>
                <c:pt idx="605">
                  <c:v>0.19050613014775228</c:v>
                </c:pt>
                <c:pt idx="606">
                  <c:v>0.19082049669915122</c:v>
                </c:pt>
                <c:pt idx="607">
                  <c:v>0.19113486325055015</c:v>
                </c:pt>
                <c:pt idx="608">
                  <c:v>0.19144922980194906</c:v>
                </c:pt>
                <c:pt idx="609">
                  <c:v>0.191763596353348</c:v>
                </c:pt>
                <c:pt idx="610">
                  <c:v>0.19207796290474694</c:v>
                </c:pt>
                <c:pt idx="611">
                  <c:v>0.19239232945614587</c:v>
                </c:pt>
                <c:pt idx="612">
                  <c:v>0.19270669600754481</c:v>
                </c:pt>
                <c:pt idx="613">
                  <c:v>0.19302106255894372</c:v>
                </c:pt>
                <c:pt idx="614">
                  <c:v>0.19333542911034265</c:v>
                </c:pt>
                <c:pt idx="615">
                  <c:v>0.19364979566174159</c:v>
                </c:pt>
                <c:pt idx="616">
                  <c:v>0.19396416221314053</c:v>
                </c:pt>
                <c:pt idx="617">
                  <c:v>0.19427852876453947</c:v>
                </c:pt>
                <c:pt idx="618">
                  <c:v>0.19459289531593837</c:v>
                </c:pt>
                <c:pt idx="619">
                  <c:v>0.19490726186733731</c:v>
                </c:pt>
                <c:pt idx="620">
                  <c:v>0.19522162841873625</c:v>
                </c:pt>
                <c:pt idx="621">
                  <c:v>0.19553599497013519</c:v>
                </c:pt>
                <c:pt idx="622">
                  <c:v>0.19585036152153412</c:v>
                </c:pt>
                <c:pt idx="623">
                  <c:v>0.19616472807293303</c:v>
                </c:pt>
                <c:pt idx="624">
                  <c:v>0.19647909462433197</c:v>
                </c:pt>
                <c:pt idx="625">
                  <c:v>0.1967934611757309</c:v>
                </c:pt>
                <c:pt idx="626">
                  <c:v>0.19710782772712984</c:v>
                </c:pt>
                <c:pt idx="627">
                  <c:v>0.19742219427852875</c:v>
                </c:pt>
                <c:pt idx="628">
                  <c:v>0.19773656082992769</c:v>
                </c:pt>
                <c:pt idx="629">
                  <c:v>0.19805092738132662</c:v>
                </c:pt>
                <c:pt idx="630">
                  <c:v>0.19836529393272556</c:v>
                </c:pt>
                <c:pt idx="631">
                  <c:v>0.1986796604841245</c:v>
                </c:pt>
                <c:pt idx="632">
                  <c:v>0.19899402703552341</c:v>
                </c:pt>
                <c:pt idx="633">
                  <c:v>0.19930839358692234</c:v>
                </c:pt>
                <c:pt idx="634">
                  <c:v>0.19962276013832128</c:v>
                </c:pt>
                <c:pt idx="635">
                  <c:v>0.19993712668972022</c:v>
                </c:pt>
                <c:pt idx="636">
                  <c:v>0.20025149324111916</c:v>
                </c:pt>
                <c:pt idx="637">
                  <c:v>0.20056585979251806</c:v>
                </c:pt>
                <c:pt idx="638">
                  <c:v>0.200880226343917</c:v>
                </c:pt>
                <c:pt idx="639">
                  <c:v>0.20119459289531594</c:v>
                </c:pt>
                <c:pt idx="640">
                  <c:v>0.20150895944671487</c:v>
                </c:pt>
                <c:pt idx="641">
                  <c:v>0.20182332599811381</c:v>
                </c:pt>
                <c:pt idx="642">
                  <c:v>0.20213769254951272</c:v>
                </c:pt>
                <c:pt idx="643">
                  <c:v>0.20245205910091166</c:v>
                </c:pt>
                <c:pt idx="644">
                  <c:v>0.20276642565231059</c:v>
                </c:pt>
                <c:pt idx="645">
                  <c:v>0.20308079220370953</c:v>
                </c:pt>
                <c:pt idx="646">
                  <c:v>0.20339515875510847</c:v>
                </c:pt>
                <c:pt idx="647">
                  <c:v>0.20370952530650738</c:v>
                </c:pt>
                <c:pt idx="648">
                  <c:v>0.20402389185790631</c:v>
                </c:pt>
                <c:pt idx="649">
                  <c:v>0.20433825840930525</c:v>
                </c:pt>
                <c:pt idx="650">
                  <c:v>0.20465262496070419</c:v>
                </c:pt>
                <c:pt idx="651">
                  <c:v>0.20496699151210312</c:v>
                </c:pt>
                <c:pt idx="652">
                  <c:v>0.20528135806350203</c:v>
                </c:pt>
                <c:pt idx="653">
                  <c:v>0.20559572461490097</c:v>
                </c:pt>
                <c:pt idx="654">
                  <c:v>0.20591009116629991</c:v>
                </c:pt>
                <c:pt idx="655">
                  <c:v>0.20622445771769884</c:v>
                </c:pt>
                <c:pt idx="656">
                  <c:v>0.20653882426909778</c:v>
                </c:pt>
                <c:pt idx="657">
                  <c:v>0.20685319082049669</c:v>
                </c:pt>
                <c:pt idx="658">
                  <c:v>0.20716755737189563</c:v>
                </c:pt>
                <c:pt idx="659">
                  <c:v>0.20748192392329456</c:v>
                </c:pt>
                <c:pt idx="660">
                  <c:v>0.2077962904746935</c:v>
                </c:pt>
                <c:pt idx="661">
                  <c:v>0.20811065702609241</c:v>
                </c:pt>
                <c:pt idx="662">
                  <c:v>0.20842502357749135</c:v>
                </c:pt>
                <c:pt idx="663">
                  <c:v>0.20873939012889028</c:v>
                </c:pt>
                <c:pt idx="664">
                  <c:v>0.20905375668028922</c:v>
                </c:pt>
                <c:pt idx="665">
                  <c:v>0.20936812323168816</c:v>
                </c:pt>
                <c:pt idx="666">
                  <c:v>0.20968248978308707</c:v>
                </c:pt>
                <c:pt idx="667">
                  <c:v>0.209996856334486</c:v>
                </c:pt>
                <c:pt idx="668">
                  <c:v>0.21031122288588494</c:v>
                </c:pt>
                <c:pt idx="669">
                  <c:v>0.21062558943728388</c:v>
                </c:pt>
                <c:pt idx="670">
                  <c:v>0.21093995598868281</c:v>
                </c:pt>
                <c:pt idx="671">
                  <c:v>0.21125432254008172</c:v>
                </c:pt>
                <c:pt idx="672">
                  <c:v>0.21156868909148066</c:v>
                </c:pt>
                <c:pt idx="673">
                  <c:v>0.2118830556428796</c:v>
                </c:pt>
                <c:pt idx="674">
                  <c:v>0.21219742219427853</c:v>
                </c:pt>
                <c:pt idx="675">
                  <c:v>0.21251178874567747</c:v>
                </c:pt>
                <c:pt idx="676">
                  <c:v>0.21282615529707638</c:v>
                </c:pt>
                <c:pt idx="677">
                  <c:v>0.21314052184847532</c:v>
                </c:pt>
                <c:pt idx="678">
                  <c:v>0.21345488839987425</c:v>
                </c:pt>
                <c:pt idx="679">
                  <c:v>0.21376925495127319</c:v>
                </c:pt>
                <c:pt idx="680">
                  <c:v>0.21408362150267213</c:v>
                </c:pt>
                <c:pt idx="681">
                  <c:v>0.21439798805407104</c:v>
                </c:pt>
                <c:pt idx="682">
                  <c:v>0.21471235460546997</c:v>
                </c:pt>
                <c:pt idx="683">
                  <c:v>0.21502672115686891</c:v>
                </c:pt>
                <c:pt idx="684">
                  <c:v>0.21534108770826785</c:v>
                </c:pt>
                <c:pt idx="685">
                  <c:v>0.21565545425966678</c:v>
                </c:pt>
                <c:pt idx="686">
                  <c:v>0.21596982081106569</c:v>
                </c:pt>
                <c:pt idx="687">
                  <c:v>0.21628418736246463</c:v>
                </c:pt>
                <c:pt idx="688">
                  <c:v>0.21659855391386357</c:v>
                </c:pt>
                <c:pt idx="689">
                  <c:v>0.2169129204652625</c:v>
                </c:pt>
                <c:pt idx="690">
                  <c:v>0.21722728701666141</c:v>
                </c:pt>
                <c:pt idx="691">
                  <c:v>0.21754165356806035</c:v>
                </c:pt>
                <c:pt idx="692">
                  <c:v>0.21785602011945929</c:v>
                </c:pt>
                <c:pt idx="693">
                  <c:v>0.21817038667085822</c:v>
                </c:pt>
                <c:pt idx="694">
                  <c:v>0.21848475322225716</c:v>
                </c:pt>
                <c:pt idx="695">
                  <c:v>0.21879911977365607</c:v>
                </c:pt>
                <c:pt idx="696">
                  <c:v>0.21911348632505501</c:v>
                </c:pt>
                <c:pt idx="697">
                  <c:v>0.21942785287645394</c:v>
                </c:pt>
                <c:pt idx="698">
                  <c:v>0.21974221942785288</c:v>
                </c:pt>
                <c:pt idx="699">
                  <c:v>0.22005658597925182</c:v>
                </c:pt>
                <c:pt idx="700">
                  <c:v>0.22037095253065073</c:v>
                </c:pt>
                <c:pt idx="701">
                  <c:v>0.22068531908204966</c:v>
                </c:pt>
                <c:pt idx="702">
                  <c:v>0.2209996856334486</c:v>
                </c:pt>
                <c:pt idx="703">
                  <c:v>0.22131405218484754</c:v>
                </c:pt>
                <c:pt idx="704">
                  <c:v>0.22162841873624647</c:v>
                </c:pt>
                <c:pt idx="705">
                  <c:v>0.22194278528764538</c:v>
                </c:pt>
                <c:pt idx="706">
                  <c:v>0.22225715183904432</c:v>
                </c:pt>
                <c:pt idx="707">
                  <c:v>0.22257151839044326</c:v>
                </c:pt>
                <c:pt idx="708">
                  <c:v>0.22288588494184219</c:v>
                </c:pt>
                <c:pt idx="709">
                  <c:v>0.22320025149324113</c:v>
                </c:pt>
                <c:pt idx="710">
                  <c:v>0.22351461804464004</c:v>
                </c:pt>
                <c:pt idx="711">
                  <c:v>0.22382898459603898</c:v>
                </c:pt>
                <c:pt idx="712">
                  <c:v>0.22414335114743791</c:v>
                </c:pt>
                <c:pt idx="713">
                  <c:v>0.22445771769883685</c:v>
                </c:pt>
                <c:pt idx="714">
                  <c:v>0.22477208425023579</c:v>
                </c:pt>
                <c:pt idx="715">
                  <c:v>0.2250864508016347</c:v>
                </c:pt>
                <c:pt idx="716">
                  <c:v>0.22540081735303363</c:v>
                </c:pt>
                <c:pt idx="717">
                  <c:v>0.22571518390443257</c:v>
                </c:pt>
                <c:pt idx="718">
                  <c:v>0.22602955045583151</c:v>
                </c:pt>
                <c:pt idx="719">
                  <c:v>0.22634391700723044</c:v>
                </c:pt>
                <c:pt idx="720">
                  <c:v>0.22665828355862935</c:v>
                </c:pt>
                <c:pt idx="721">
                  <c:v>0.22697265011002829</c:v>
                </c:pt>
                <c:pt idx="722">
                  <c:v>0.22728701666142723</c:v>
                </c:pt>
                <c:pt idx="723">
                  <c:v>0.22760138321282616</c:v>
                </c:pt>
                <c:pt idx="724">
                  <c:v>0.22791574976422507</c:v>
                </c:pt>
                <c:pt idx="725">
                  <c:v>0.22823011631562401</c:v>
                </c:pt>
                <c:pt idx="726">
                  <c:v>0.22854448286702295</c:v>
                </c:pt>
                <c:pt idx="727">
                  <c:v>0.22885884941842188</c:v>
                </c:pt>
                <c:pt idx="728">
                  <c:v>0.22917321596982082</c:v>
                </c:pt>
                <c:pt idx="729">
                  <c:v>0.22948758252121973</c:v>
                </c:pt>
                <c:pt idx="730">
                  <c:v>0.22980194907261867</c:v>
                </c:pt>
                <c:pt idx="731">
                  <c:v>0.2301163156240176</c:v>
                </c:pt>
                <c:pt idx="732">
                  <c:v>0.23043068217541654</c:v>
                </c:pt>
                <c:pt idx="733">
                  <c:v>0.23074504872681548</c:v>
                </c:pt>
                <c:pt idx="734">
                  <c:v>0.23105941527821439</c:v>
                </c:pt>
                <c:pt idx="735">
                  <c:v>0.23137378182961332</c:v>
                </c:pt>
                <c:pt idx="736">
                  <c:v>0.23168814838101226</c:v>
                </c:pt>
                <c:pt idx="737">
                  <c:v>0.2320025149324112</c:v>
                </c:pt>
                <c:pt idx="738">
                  <c:v>0.23231688148381013</c:v>
                </c:pt>
                <c:pt idx="739">
                  <c:v>0.23263124803520904</c:v>
                </c:pt>
                <c:pt idx="740">
                  <c:v>0.23294561458660798</c:v>
                </c:pt>
                <c:pt idx="741">
                  <c:v>0.23325998113800692</c:v>
                </c:pt>
                <c:pt idx="742">
                  <c:v>0.23357434768940585</c:v>
                </c:pt>
                <c:pt idx="743">
                  <c:v>0.23388871424080479</c:v>
                </c:pt>
                <c:pt idx="744">
                  <c:v>0.2342030807922037</c:v>
                </c:pt>
                <c:pt idx="745">
                  <c:v>0.23451744734360264</c:v>
                </c:pt>
                <c:pt idx="746">
                  <c:v>0.23483181389500157</c:v>
                </c:pt>
                <c:pt idx="747">
                  <c:v>0.23514618044640051</c:v>
                </c:pt>
                <c:pt idx="748">
                  <c:v>0.23546054699779945</c:v>
                </c:pt>
                <c:pt idx="749">
                  <c:v>0.23577491354919836</c:v>
                </c:pt>
                <c:pt idx="750">
                  <c:v>0.23608928010059729</c:v>
                </c:pt>
                <c:pt idx="751">
                  <c:v>0.23640364665199623</c:v>
                </c:pt>
                <c:pt idx="752">
                  <c:v>0.23671801320339517</c:v>
                </c:pt>
                <c:pt idx="753">
                  <c:v>0.2370323797547941</c:v>
                </c:pt>
                <c:pt idx="754">
                  <c:v>0.23734674630619301</c:v>
                </c:pt>
                <c:pt idx="755">
                  <c:v>0.23766111285759195</c:v>
                </c:pt>
                <c:pt idx="756">
                  <c:v>0.23797547940899089</c:v>
                </c:pt>
                <c:pt idx="757">
                  <c:v>0.23828984596038982</c:v>
                </c:pt>
                <c:pt idx="758">
                  <c:v>0.23860421251178873</c:v>
                </c:pt>
                <c:pt idx="759">
                  <c:v>0.23891857906318767</c:v>
                </c:pt>
                <c:pt idx="760">
                  <c:v>0.23923294561458661</c:v>
                </c:pt>
                <c:pt idx="761">
                  <c:v>0.23954731216598554</c:v>
                </c:pt>
                <c:pt idx="762">
                  <c:v>0.23986167871738448</c:v>
                </c:pt>
                <c:pt idx="763">
                  <c:v>0.24017604526878339</c:v>
                </c:pt>
                <c:pt idx="764">
                  <c:v>0.24049041182018233</c:v>
                </c:pt>
                <c:pt idx="765">
                  <c:v>0.24080477837158126</c:v>
                </c:pt>
                <c:pt idx="766">
                  <c:v>0.2411191449229802</c:v>
                </c:pt>
                <c:pt idx="767">
                  <c:v>0.24143351147437914</c:v>
                </c:pt>
                <c:pt idx="768">
                  <c:v>0.24174787802577805</c:v>
                </c:pt>
                <c:pt idx="769">
                  <c:v>0.24206224457717698</c:v>
                </c:pt>
                <c:pt idx="770">
                  <c:v>0.24237661112857592</c:v>
                </c:pt>
                <c:pt idx="771">
                  <c:v>0.24269097767997486</c:v>
                </c:pt>
                <c:pt idx="772">
                  <c:v>0.24300534423137379</c:v>
                </c:pt>
                <c:pt idx="773">
                  <c:v>0.2433197107827727</c:v>
                </c:pt>
                <c:pt idx="774">
                  <c:v>0.24363407733417164</c:v>
                </c:pt>
                <c:pt idx="775">
                  <c:v>0.24394844388557058</c:v>
                </c:pt>
                <c:pt idx="776">
                  <c:v>0.24426281043696951</c:v>
                </c:pt>
                <c:pt idx="777">
                  <c:v>0.24457717698836845</c:v>
                </c:pt>
                <c:pt idx="778">
                  <c:v>0.24489154353976736</c:v>
                </c:pt>
                <c:pt idx="779">
                  <c:v>0.2452059100911663</c:v>
                </c:pt>
                <c:pt idx="780">
                  <c:v>0.24552027664256523</c:v>
                </c:pt>
                <c:pt idx="781">
                  <c:v>0.24583464319396417</c:v>
                </c:pt>
                <c:pt idx="782">
                  <c:v>0.24614900974536311</c:v>
                </c:pt>
                <c:pt idx="783">
                  <c:v>0.24646337629676202</c:v>
                </c:pt>
                <c:pt idx="784">
                  <c:v>0.24677774284816095</c:v>
                </c:pt>
                <c:pt idx="785">
                  <c:v>0.24709210939955989</c:v>
                </c:pt>
                <c:pt idx="786">
                  <c:v>0.24740647595095883</c:v>
                </c:pt>
                <c:pt idx="787">
                  <c:v>0.24772084250235774</c:v>
                </c:pt>
                <c:pt idx="788">
                  <c:v>0.24803520905375667</c:v>
                </c:pt>
                <c:pt idx="789">
                  <c:v>0.24834957560515561</c:v>
                </c:pt>
                <c:pt idx="790">
                  <c:v>0.24866394215655455</c:v>
                </c:pt>
                <c:pt idx="791">
                  <c:v>0.24897830870795348</c:v>
                </c:pt>
                <c:pt idx="792">
                  <c:v>0.24929267525935239</c:v>
                </c:pt>
                <c:pt idx="793">
                  <c:v>0.24960704181075133</c:v>
                </c:pt>
                <c:pt idx="794">
                  <c:v>0.24992140836215027</c:v>
                </c:pt>
                <c:pt idx="795">
                  <c:v>0.2502357749135492</c:v>
                </c:pt>
                <c:pt idx="796">
                  <c:v>0.25055014146494814</c:v>
                </c:pt>
                <c:pt idx="797">
                  <c:v>0.25086450801634708</c:v>
                </c:pt>
                <c:pt idx="798">
                  <c:v>0.25117887456774601</c:v>
                </c:pt>
                <c:pt idx="799">
                  <c:v>0.25149324111914495</c:v>
                </c:pt>
                <c:pt idx="800">
                  <c:v>0.25180760767054383</c:v>
                </c:pt>
                <c:pt idx="801">
                  <c:v>0.25212197422194277</c:v>
                </c:pt>
                <c:pt idx="802">
                  <c:v>0.25243634077334171</c:v>
                </c:pt>
                <c:pt idx="803">
                  <c:v>0.25275070732474064</c:v>
                </c:pt>
                <c:pt idx="804">
                  <c:v>0.25306507387613958</c:v>
                </c:pt>
                <c:pt idx="805">
                  <c:v>0.25337944042753852</c:v>
                </c:pt>
                <c:pt idx="806">
                  <c:v>0.25369380697893745</c:v>
                </c:pt>
                <c:pt idx="807">
                  <c:v>0.25400817353033639</c:v>
                </c:pt>
                <c:pt idx="808">
                  <c:v>0.25432254008173533</c:v>
                </c:pt>
                <c:pt idx="809">
                  <c:v>0.25463690663313421</c:v>
                </c:pt>
                <c:pt idx="810">
                  <c:v>0.25495127318453314</c:v>
                </c:pt>
                <c:pt idx="811">
                  <c:v>0.25526563973593208</c:v>
                </c:pt>
                <c:pt idx="812">
                  <c:v>0.25558000628733102</c:v>
                </c:pt>
                <c:pt idx="813">
                  <c:v>0.25589437283872996</c:v>
                </c:pt>
                <c:pt idx="814">
                  <c:v>0.25620873939012889</c:v>
                </c:pt>
                <c:pt idx="815">
                  <c:v>0.25652310594152783</c:v>
                </c:pt>
                <c:pt idx="816">
                  <c:v>0.25683747249292677</c:v>
                </c:pt>
                <c:pt idx="817">
                  <c:v>0.2571518390443257</c:v>
                </c:pt>
                <c:pt idx="818">
                  <c:v>0.25746620559572464</c:v>
                </c:pt>
                <c:pt idx="819">
                  <c:v>0.25778057214712352</c:v>
                </c:pt>
                <c:pt idx="820">
                  <c:v>0.25809493869852246</c:v>
                </c:pt>
                <c:pt idx="821">
                  <c:v>0.25840930524992139</c:v>
                </c:pt>
                <c:pt idx="822">
                  <c:v>0.25872367180132033</c:v>
                </c:pt>
                <c:pt idx="823">
                  <c:v>0.25903803835271927</c:v>
                </c:pt>
                <c:pt idx="824">
                  <c:v>0.25935240490411821</c:v>
                </c:pt>
                <c:pt idx="825">
                  <c:v>0.25966677145551714</c:v>
                </c:pt>
                <c:pt idx="826">
                  <c:v>0.25998113800691608</c:v>
                </c:pt>
                <c:pt idx="827">
                  <c:v>0.26029550455831502</c:v>
                </c:pt>
                <c:pt idx="828">
                  <c:v>0.26060987110971395</c:v>
                </c:pt>
                <c:pt idx="829">
                  <c:v>0.26092423766111283</c:v>
                </c:pt>
                <c:pt idx="830">
                  <c:v>0.26123860421251177</c:v>
                </c:pt>
                <c:pt idx="831">
                  <c:v>0.26155297076391071</c:v>
                </c:pt>
                <c:pt idx="832">
                  <c:v>0.26186733731530965</c:v>
                </c:pt>
                <c:pt idx="833">
                  <c:v>0.26218170386670858</c:v>
                </c:pt>
                <c:pt idx="834">
                  <c:v>0.26249607041810752</c:v>
                </c:pt>
                <c:pt idx="835">
                  <c:v>0.26281043696950646</c:v>
                </c:pt>
                <c:pt idx="836">
                  <c:v>0.26312480352090539</c:v>
                </c:pt>
                <c:pt idx="837">
                  <c:v>0.26343917007230433</c:v>
                </c:pt>
                <c:pt idx="838">
                  <c:v>0.26375353662370321</c:v>
                </c:pt>
                <c:pt idx="839">
                  <c:v>0.26406790317510215</c:v>
                </c:pt>
                <c:pt idx="840">
                  <c:v>0.26438226972650108</c:v>
                </c:pt>
                <c:pt idx="841">
                  <c:v>0.26469663627790002</c:v>
                </c:pt>
                <c:pt idx="842">
                  <c:v>0.26501100282929896</c:v>
                </c:pt>
                <c:pt idx="843">
                  <c:v>0.2653253693806979</c:v>
                </c:pt>
                <c:pt idx="844">
                  <c:v>0.26563973593209683</c:v>
                </c:pt>
                <c:pt idx="845">
                  <c:v>0.26595410248349577</c:v>
                </c:pt>
                <c:pt idx="846">
                  <c:v>0.26626846903489471</c:v>
                </c:pt>
                <c:pt idx="847">
                  <c:v>0.26658283558629364</c:v>
                </c:pt>
                <c:pt idx="848">
                  <c:v>0.26689720213769252</c:v>
                </c:pt>
                <c:pt idx="849">
                  <c:v>0.26721156868909146</c:v>
                </c:pt>
                <c:pt idx="850">
                  <c:v>0.2675259352404904</c:v>
                </c:pt>
                <c:pt idx="851">
                  <c:v>0.26784030179188933</c:v>
                </c:pt>
                <c:pt idx="852">
                  <c:v>0.26815466834328827</c:v>
                </c:pt>
                <c:pt idx="853">
                  <c:v>0.26846903489468721</c:v>
                </c:pt>
                <c:pt idx="854">
                  <c:v>0.26878340144608615</c:v>
                </c:pt>
                <c:pt idx="855">
                  <c:v>0.26909776799748508</c:v>
                </c:pt>
                <c:pt idx="856">
                  <c:v>0.26941213454888402</c:v>
                </c:pt>
                <c:pt idx="857">
                  <c:v>0.26972650110028296</c:v>
                </c:pt>
                <c:pt idx="858">
                  <c:v>0.27004086765168184</c:v>
                </c:pt>
                <c:pt idx="859">
                  <c:v>0.27035523420308077</c:v>
                </c:pt>
                <c:pt idx="860">
                  <c:v>0.27066960075447971</c:v>
                </c:pt>
                <c:pt idx="861">
                  <c:v>0.27098396730587865</c:v>
                </c:pt>
                <c:pt idx="862">
                  <c:v>0.27129833385727758</c:v>
                </c:pt>
                <c:pt idx="863">
                  <c:v>0.27161270040867652</c:v>
                </c:pt>
                <c:pt idx="864">
                  <c:v>0.27192706696007546</c:v>
                </c:pt>
                <c:pt idx="865">
                  <c:v>0.2722414335114744</c:v>
                </c:pt>
                <c:pt idx="866">
                  <c:v>0.27255580006287333</c:v>
                </c:pt>
                <c:pt idx="867">
                  <c:v>0.27287016661427221</c:v>
                </c:pt>
                <c:pt idx="868">
                  <c:v>0.27318453316567115</c:v>
                </c:pt>
                <c:pt idx="869">
                  <c:v>0.27349889971707009</c:v>
                </c:pt>
                <c:pt idx="870">
                  <c:v>0.27381326626846902</c:v>
                </c:pt>
                <c:pt idx="871">
                  <c:v>0.27412763281986796</c:v>
                </c:pt>
                <c:pt idx="872">
                  <c:v>0.2744419993712669</c:v>
                </c:pt>
                <c:pt idx="873">
                  <c:v>0.27475636592266584</c:v>
                </c:pt>
                <c:pt idx="874">
                  <c:v>0.27507073247406477</c:v>
                </c:pt>
                <c:pt idx="875">
                  <c:v>0.27538509902546371</c:v>
                </c:pt>
                <c:pt idx="876">
                  <c:v>0.27569946557686265</c:v>
                </c:pt>
                <c:pt idx="877">
                  <c:v>0.27601383212826153</c:v>
                </c:pt>
                <c:pt idx="878">
                  <c:v>0.27632819867966046</c:v>
                </c:pt>
                <c:pt idx="879">
                  <c:v>0.2766425652310594</c:v>
                </c:pt>
                <c:pt idx="880">
                  <c:v>0.27695693178245834</c:v>
                </c:pt>
                <c:pt idx="881">
                  <c:v>0.27727129833385727</c:v>
                </c:pt>
                <c:pt idx="882">
                  <c:v>0.27758566488525621</c:v>
                </c:pt>
                <c:pt idx="883">
                  <c:v>0.27790003143665515</c:v>
                </c:pt>
                <c:pt idx="884">
                  <c:v>0.27821439798805409</c:v>
                </c:pt>
                <c:pt idx="885">
                  <c:v>0.27852876453945302</c:v>
                </c:pt>
                <c:pt idx="886">
                  <c:v>0.27884313109085196</c:v>
                </c:pt>
                <c:pt idx="887">
                  <c:v>0.27915749764225084</c:v>
                </c:pt>
                <c:pt idx="888">
                  <c:v>0.27947186419364978</c:v>
                </c:pt>
                <c:pt idx="889">
                  <c:v>0.27978623074504871</c:v>
                </c:pt>
                <c:pt idx="890">
                  <c:v>0.28010059729644765</c:v>
                </c:pt>
                <c:pt idx="891">
                  <c:v>0.28041496384784659</c:v>
                </c:pt>
                <c:pt idx="892">
                  <c:v>0.28072933039924552</c:v>
                </c:pt>
                <c:pt idx="893">
                  <c:v>0.28104369695064446</c:v>
                </c:pt>
                <c:pt idx="894">
                  <c:v>0.2813580635020434</c:v>
                </c:pt>
                <c:pt idx="895">
                  <c:v>0.28167243005344234</c:v>
                </c:pt>
                <c:pt idx="896">
                  <c:v>0.28198679660484127</c:v>
                </c:pt>
                <c:pt idx="897">
                  <c:v>0.28230116315624015</c:v>
                </c:pt>
                <c:pt idx="898">
                  <c:v>0.28261552970763909</c:v>
                </c:pt>
                <c:pt idx="899">
                  <c:v>0.28292989625903803</c:v>
                </c:pt>
                <c:pt idx="900">
                  <c:v>0.28324426281043696</c:v>
                </c:pt>
                <c:pt idx="901">
                  <c:v>0.2835586293618359</c:v>
                </c:pt>
                <c:pt idx="902">
                  <c:v>0.28387299591323484</c:v>
                </c:pt>
                <c:pt idx="903">
                  <c:v>0.28418736246463377</c:v>
                </c:pt>
                <c:pt idx="904">
                  <c:v>0.28450172901603271</c:v>
                </c:pt>
                <c:pt idx="905">
                  <c:v>0.28481609556743165</c:v>
                </c:pt>
                <c:pt idx="906">
                  <c:v>0.28513046211883053</c:v>
                </c:pt>
                <c:pt idx="907">
                  <c:v>0.28544482867022947</c:v>
                </c:pt>
                <c:pt idx="908">
                  <c:v>0.2857591952216284</c:v>
                </c:pt>
                <c:pt idx="909">
                  <c:v>0.28607356177302734</c:v>
                </c:pt>
                <c:pt idx="910">
                  <c:v>0.28638792832442628</c:v>
                </c:pt>
                <c:pt idx="911">
                  <c:v>0.28670229487582521</c:v>
                </c:pt>
                <c:pt idx="912">
                  <c:v>0.28701666142722415</c:v>
                </c:pt>
                <c:pt idx="913">
                  <c:v>0.28733102797862309</c:v>
                </c:pt>
                <c:pt idx="914">
                  <c:v>0.28764539453002202</c:v>
                </c:pt>
                <c:pt idx="915">
                  <c:v>0.28795976108142096</c:v>
                </c:pt>
                <c:pt idx="916">
                  <c:v>0.28827412763281984</c:v>
                </c:pt>
                <c:pt idx="917">
                  <c:v>0.28858849418421878</c:v>
                </c:pt>
                <c:pt idx="918">
                  <c:v>0.28890286073561772</c:v>
                </c:pt>
                <c:pt idx="919">
                  <c:v>0.28921722728701665</c:v>
                </c:pt>
                <c:pt idx="920">
                  <c:v>0.28953159383841559</c:v>
                </c:pt>
                <c:pt idx="921">
                  <c:v>0.28984596038981453</c:v>
                </c:pt>
                <c:pt idx="922">
                  <c:v>0.29016032694121346</c:v>
                </c:pt>
                <c:pt idx="923">
                  <c:v>0.2904746934926124</c:v>
                </c:pt>
                <c:pt idx="924">
                  <c:v>0.29078906004401134</c:v>
                </c:pt>
                <c:pt idx="925">
                  <c:v>0.29110342659541028</c:v>
                </c:pt>
                <c:pt idx="926">
                  <c:v>0.29141779314680916</c:v>
                </c:pt>
                <c:pt idx="927">
                  <c:v>0.29173215969820809</c:v>
                </c:pt>
                <c:pt idx="928">
                  <c:v>0.29204652624960703</c:v>
                </c:pt>
                <c:pt idx="929">
                  <c:v>0.29236089280100597</c:v>
                </c:pt>
                <c:pt idx="930">
                  <c:v>0.2926752593524049</c:v>
                </c:pt>
                <c:pt idx="931">
                  <c:v>0.29298962590380384</c:v>
                </c:pt>
                <c:pt idx="932">
                  <c:v>0.29330399245520278</c:v>
                </c:pt>
                <c:pt idx="933">
                  <c:v>0.29361835900660171</c:v>
                </c:pt>
                <c:pt idx="934">
                  <c:v>0.29393272555800065</c:v>
                </c:pt>
                <c:pt idx="935">
                  <c:v>0.29424709210939953</c:v>
                </c:pt>
                <c:pt idx="936">
                  <c:v>0.29456145866079847</c:v>
                </c:pt>
                <c:pt idx="937">
                  <c:v>0.29487582521219741</c:v>
                </c:pt>
                <c:pt idx="938">
                  <c:v>0.29519019176359634</c:v>
                </c:pt>
                <c:pt idx="939">
                  <c:v>0.29550455831499528</c:v>
                </c:pt>
                <c:pt idx="940">
                  <c:v>0.29581892486639422</c:v>
                </c:pt>
                <c:pt idx="941">
                  <c:v>0.29613329141779315</c:v>
                </c:pt>
                <c:pt idx="942">
                  <c:v>0.29644765796919209</c:v>
                </c:pt>
                <c:pt idx="943">
                  <c:v>0.29676202452059103</c:v>
                </c:pt>
                <c:pt idx="944">
                  <c:v>0.29707639107198996</c:v>
                </c:pt>
                <c:pt idx="945">
                  <c:v>0.29739075762338885</c:v>
                </c:pt>
                <c:pt idx="946">
                  <c:v>0.29770512417478778</c:v>
                </c:pt>
                <c:pt idx="947">
                  <c:v>0.29801949072618672</c:v>
                </c:pt>
                <c:pt idx="948">
                  <c:v>0.29833385727758566</c:v>
                </c:pt>
                <c:pt idx="949">
                  <c:v>0.29864822382898459</c:v>
                </c:pt>
                <c:pt idx="950">
                  <c:v>0.29896259038038353</c:v>
                </c:pt>
                <c:pt idx="951">
                  <c:v>0.29927695693178247</c:v>
                </c:pt>
                <c:pt idx="952">
                  <c:v>0.2995913234831814</c:v>
                </c:pt>
                <c:pt idx="953">
                  <c:v>0.29990569003458034</c:v>
                </c:pt>
                <c:pt idx="954">
                  <c:v>0.30022005658597928</c:v>
                </c:pt>
                <c:pt idx="955">
                  <c:v>0.30053442313737816</c:v>
                </c:pt>
                <c:pt idx="956">
                  <c:v>0.3008487896887771</c:v>
                </c:pt>
                <c:pt idx="957">
                  <c:v>0.30116315624017603</c:v>
                </c:pt>
                <c:pt idx="958">
                  <c:v>0.30147752279157497</c:v>
                </c:pt>
                <c:pt idx="959">
                  <c:v>0.30179188934297391</c:v>
                </c:pt>
                <c:pt idx="960">
                  <c:v>0.30210625589437284</c:v>
                </c:pt>
                <c:pt idx="961">
                  <c:v>0.30242062244577178</c:v>
                </c:pt>
                <c:pt idx="962">
                  <c:v>0.30273498899717072</c:v>
                </c:pt>
                <c:pt idx="963">
                  <c:v>0.30304935554856965</c:v>
                </c:pt>
                <c:pt idx="964">
                  <c:v>0.30336372209996854</c:v>
                </c:pt>
                <c:pt idx="965">
                  <c:v>0.30367808865136747</c:v>
                </c:pt>
                <c:pt idx="966">
                  <c:v>0.30399245520276641</c:v>
                </c:pt>
                <c:pt idx="967">
                  <c:v>0.30430682175416535</c:v>
                </c:pt>
                <c:pt idx="968">
                  <c:v>0.30462118830556428</c:v>
                </c:pt>
                <c:pt idx="969">
                  <c:v>0.30493555485696322</c:v>
                </c:pt>
                <c:pt idx="970">
                  <c:v>0.30524992140836216</c:v>
                </c:pt>
                <c:pt idx="971">
                  <c:v>0.30556428795976109</c:v>
                </c:pt>
                <c:pt idx="972">
                  <c:v>0.30587865451116003</c:v>
                </c:pt>
                <c:pt idx="973">
                  <c:v>0.30619302106255897</c:v>
                </c:pt>
                <c:pt idx="974">
                  <c:v>0.30650738761395785</c:v>
                </c:pt>
                <c:pt idx="975">
                  <c:v>0.30682175416535679</c:v>
                </c:pt>
                <c:pt idx="976">
                  <c:v>0.30713612071675572</c:v>
                </c:pt>
                <c:pt idx="977">
                  <c:v>0.30745048726815466</c:v>
                </c:pt>
                <c:pt idx="978">
                  <c:v>0.3077648538195536</c:v>
                </c:pt>
                <c:pt idx="979">
                  <c:v>0.30807922037095253</c:v>
                </c:pt>
                <c:pt idx="980">
                  <c:v>0.30839358692235147</c:v>
                </c:pt>
                <c:pt idx="981">
                  <c:v>0.30870795347375041</c:v>
                </c:pt>
                <c:pt idx="982">
                  <c:v>0.30902232002514934</c:v>
                </c:pt>
                <c:pt idx="983">
                  <c:v>0.30933668657654828</c:v>
                </c:pt>
                <c:pt idx="984">
                  <c:v>0.30965105312794716</c:v>
                </c:pt>
                <c:pt idx="985">
                  <c:v>0.3099654196793461</c:v>
                </c:pt>
                <c:pt idx="986">
                  <c:v>0.31027978623074504</c:v>
                </c:pt>
                <c:pt idx="987">
                  <c:v>0.31059415278214397</c:v>
                </c:pt>
                <c:pt idx="988">
                  <c:v>0.31090851933354291</c:v>
                </c:pt>
                <c:pt idx="989">
                  <c:v>0.31122288588494185</c:v>
                </c:pt>
                <c:pt idx="990">
                  <c:v>0.31153725243634078</c:v>
                </c:pt>
                <c:pt idx="991">
                  <c:v>0.31185161898773972</c:v>
                </c:pt>
                <c:pt idx="992">
                  <c:v>0.31216598553913866</c:v>
                </c:pt>
                <c:pt idx="993">
                  <c:v>0.31248035209053759</c:v>
                </c:pt>
                <c:pt idx="994">
                  <c:v>0.31279471864193648</c:v>
                </c:pt>
                <c:pt idx="995">
                  <c:v>0.31310908519333541</c:v>
                </c:pt>
                <c:pt idx="996">
                  <c:v>0.31342345174473435</c:v>
                </c:pt>
                <c:pt idx="997">
                  <c:v>0.31373781829613329</c:v>
                </c:pt>
                <c:pt idx="998">
                  <c:v>0.31405218484753222</c:v>
                </c:pt>
                <c:pt idx="999">
                  <c:v>0.31436655139893116</c:v>
                </c:pt>
                <c:pt idx="1000">
                  <c:v>0.3146809179503301</c:v>
                </c:pt>
                <c:pt idx="1001">
                  <c:v>0.31499528450172903</c:v>
                </c:pt>
                <c:pt idx="1002">
                  <c:v>0.31530965105312797</c:v>
                </c:pt>
                <c:pt idx="1003">
                  <c:v>0.31562401760452685</c:v>
                </c:pt>
                <c:pt idx="1004">
                  <c:v>0.31593838415592579</c:v>
                </c:pt>
                <c:pt idx="1005">
                  <c:v>0.31625275070732473</c:v>
                </c:pt>
                <c:pt idx="1006">
                  <c:v>0.31656711725872366</c:v>
                </c:pt>
                <c:pt idx="1007">
                  <c:v>0.3168814838101226</c:v>
                </c:pt>
                <c:pt idx="1008">
                  <c:v>0.31719585036152154</c:v>
                </c:pt>
                <c:pt idx="1009">
                  <c:v>0.31751021691292047</c:v>
                </c:pt>
                <c:pt idx="1010">
                  <c:v>0.31782458346431941</c:v>
                </c:pt>
                <c:pt idx="1011">
                  <c:v>0.31813895001571835</c:v>
                </c:pt>
                <c:pt idx="1012">
                  <c:v>0.31845331656711728</c:v>
                </c:pt>
                <c:pt idx="1013">
                  <c:v>0.31876768311851617</c:v>
                </c:pt>
                <c:pt idx="1014">
                  <c:v>0.3190820496699151</c:v>
                </c:pt>
                <c:pt idx="1015">
                  <c:v>0.31939641622131404</c:v>
                </c:pt>
                <c:pt idx="1016">
                  <c:v>0.31971078277271298</c:v>
                </c:pt>
                <c:pt idx="1017">
                  <c:v>0.32002514932411191</c:v>
                </c:pt>
                <c:pt idx="1018">
                  <c:v>0.32033951587551085</c:v>
                </c:pt>
                <c:pt idx="1019">
                  <c:v>0.32065388242690979</c:v>
                </c:pt>
                <c:pt idx="1020">
                  <c:v>0.32096824897830872</c:v>
                </c:pt>
                <c:pt idx="1021">
                  <c:v>0.32128261552970766</c:v>
                </c:pt>
                <c:pt idx="1022">
                  <c:v>0.3215969820811066</c:v>
                </c:pt>
                <c:pt idx="1023">
                  <c:v>0.32191134863250548</c:v>
                </c:pt>
                <c:pt idx="1024">
                  <c:v>0.32222571518390442</c:v>
                </c:pt>
                <c:pt idx="1025">
                  <c:v>0.32254008173530335</c:v>
                </c:pt>
                <c:pt idx="1026">
                  <c:v>0.32285444828670229</c:v>
                </c:pt>
                <c:pt idx="1027">
                  <c:v>0.32316881483810123</c:v>
                </c:pt>
                <c:pt idx="1028">
                  <c:v>0.32348318138950016</c:v>
                </c:pt>
                <c:pt idx="1029">
                  <c:v>0.3237975479408991</c:v>
                </c:pt>
                <c:pt idx="1030">
                  <c:v>0.32411191449229804</c:v>
                </c:pt>
                <c:pt idx="1031">
                  <c:v>0.32442628104369697</c:v>
                </c:pt>
                <c:pt idx="1032">
                  <c:v>0.32474064759509585</c:v>
                </c:pt>
                <c:pt idx="1033">
                  <c:v>0.32505501414649479</c:v>
                </c:pt>
                <c:pt idx="1034">
                  <c:v>0.32536938069789373</c:v>
                </c:pt>
                <c:pt idx="1035">
                  <c:v>0.32568374724929267</c:v>
                </c:pt>
                <c:pt idx="1036">
                  <c:v>0.3259981138006916</c:v>
                </c:pt>
                <c:pt idx="1037">
                  <c:v>0.32631248035209054</c:v>
                </c:pt>
                <c:pt idx="1038">
                  <c:v>0.32662684690348948</c:v>
                </c:pt>
                <c:pt idx="1039">
                  <c:v>0.32694121345488841</c:v>
                </c:pt>
                <c:pt idx="1040">
                  <c:v>0.32725558000628735</c:v>
                </c:pt>
                <c:pt idx="1041">
                  <c:v>0.32756994655768629</c:v>
                </c:pt>
                <c:pt idx="1042">
                  <c:v>0.32788431310908517</c:v>
                </c:pt>
                <c:pt idx="1043">
                  <c:v>0.32819867966048411</c:v>
                </c:pt>
                <c:pt idx="1044">
                  <c:v>0.32851304621188304</c:v>
                </c:pt>
                <c:pt idx="1045">
                  <c:v>0.32882741276328198</c:v>
                </c:pt>
                <c:pt idx="1046">
                  <c:v>0.32914177931468092</c:v>
                </c:pt>
                <c:pt idx="1047">
                  <c:v>0.32945614586607985</c:v>
                </c:pt>
                <c:pt idx="1048">
                  <c:v>0.32977051241747879</c:v>
                </c:pt>
                <c:pt idx="1049">
                  <c:v>0.33008487896887773</c:v>
                </c:pt>
                <c:pt idx="1050">
                  <c:v>0.33039924552027666</c:v>
                </c:pt>
                <c:pt idx="1051">
                  <c:v>0.3307136120716756</c:v>
                </c:pt>
                <c:pt idx="1052">
                  <c:v>0.33102797862307448</c:v>
                </c:pt>
                <c:pt idx="1053">
                  <c:v>0.33134234517447342</c:v>
                </c:pt>
                <c:pt idx="1054">
                  <c:v>0.33165671172587236</c:v>
                </c:pt>
                <c:pt idx="1055">
                  <c:v>0.33197107827727129</c:v>
                </c:pt>
                <c:pt idx="1056">
                  <c:v>0.33228544482867023</c:v>
                </c:pt>
                <c:pt idx="1057">
                  <c:v>0.33259981138006917</c:v>
                </c:pt>
                <c:pt idx="1058">
                  <c:v>0.3329141779314681</c:v>
                </c:pt>
                <c:pt idx="1059">
                  <c:v>0.33322854448286704</c:v>
                </c:pt>
                <c:pt idx="1060">
                  <c:v>0.33354291103426598</c:v>
                </c:pt>
                <c:pt idx="1061">
                  <c:v>0.33385727758566486</c:v>
                </c:pt>
                <c:pt idx="1062">
                  <c:v>0.33417164413706379</c:v>
                </c:pt>
                <c:pt idx="1063">
                  <c:v>0.33448601068846273</c:v>
                </c:pt>
                <c:pt idx="1064">
                  <c:v>0.33480037723986167</c:v>
                </c:pt>
                <c:pt idx="1065">
                  <c:v>0.33511474379126061</c:v>
                </c:pt>
                <c:pt idx="1066">
                  <c:v>0.33542911034265954</c:v>
                </c:pt>
                <c:pt idx="1067">
                  <c:v>0.33574347689405848</c:v>
                </c:pt>
                <c:pt idx="1068">
                  <c:v>0.33605784344545742</c:v>
                </c:pt>
                <c:pt idx="1069">
                  <c:v>0.33637220999685635</c:v>
                </c:pt>
                <c:pt idx="1070">
                  <c:v>0.33668657654825529</c:v>
                </c:pt>
                <c:pt idx="1071">
                  <c:v>0.33700094309965417</c:v>
                </c:pt>
                <c:pt idx="1072">
                  <c:v>0.33731530965105311</c:v>
                </c:pt>
                <c:pt idx="1073">
                  <c:v>0.33762967620245204</c:v>
                </c:pt>
                <c:pt idx="1074">
                  <c:v>0.33794404275385098</c:v>
                </c:pt>
                <c:pt idx="1075">
                  <c:v>0.33825840930524992</c:v>
                </c:pt>
                <c:pt idx="1076">
                  <c:v>0.33857277585664886</c:v>
                </c:pt>
                <c:pt idx="1077">
                  <c:v>0.33888714240804779</c:v>
                </c:pt>
                <c:pt idx="1078">
                  <c:v>0.33920150895944673</c:v>
                </c:pt>
                <c:pt idx="1079">
                  <c:v>0.33951587551084567</c:v>
                </c:pt>
                <c:pt idx="1080">
                  <c:v>0.3398302420622446</c:v>
                </c:pt>
                <c:pt idx="1081">
                  <c:v>0.34014460861364348</c:v>
                </c:pt>
                <c:pt idx="1082">
                  <c:v>0.34045897516504242</c:v>
                </c:pt>
                <c:pt idx="1083">
                  <c:v>0.34077334171644136</c:v>
                </c:pt>
                <c:pt idx="1084">
                  <c:v>0.34108770826784029</c:v>
                </c:pt>
                <c:pt idx="1085">
                  <c:v>0.34140207481923923</c:v>
                </c:pt>
                <c:pt idx="1086">
                  <c:v>0.34171644137063817</c:v>
                </c:pt>
                <c:pt idx="1087">
                  <c:v>0.34203080792203711</c:v>
                </c:pt>
                <c:pt idx="1088">
                  <c:v>0.34234517447343604</c:v>
                </c:pt>
                <c:pt idx="1089">
                  <c:v>0.34265954102483498</c:v>
                </c:pt>
                <c:pt idx="1090">
                  <c:v>0.34297390757623392</c:v>
                </c:pt>
                <c:pt idx="1091">
                  <c:v>0.3432882741276328</c:v>
                </c:pt>
                <c:pt idx="1092">
                  <c:v>0.34360264067903173</c:v>
                </c:pt>
                <c:pt idx="1093">
                  <c:v>0.34391700723043067</c:v>
                </c:pt>
                <c:pt idx="1094">
                  <c:v>0.34423137378182961</c:v>
                </c:pt>
                <c:pt idx="1095">
                  <c:v>0.34454574033322855</c:v>
                </c:pt>
                <c:pt idx="1096">
                  <c:v>0.34486010688462748</c:v>
                </c:pt>
                <c:pt idx="1097">
                  <c:v>0.34517447343602642</c:v>
                </c:pt>
                <c:pt idx="1098">
                  <c:v>0.34548883998742536</c:v>
                </c:pt>
                <c:pt idx="1099">
                  <c:v>0.34580320653882429</c:v>
                </c:pt>
                <c:pt idx="1100">
                  <c:v>0.34611757309022317</c:v>
                </c:pt>
                <c:pt idx="1101">
                  <c:v>0.34643193964162211</c:v>
                </c:pt>
                <c:pt idx="1102">
                  <c:v>0.34674630619302105</c:v>
                </c:pt>
                <c:pt idx="1103">
                  <c:v>0.34706067274441998</c:v>
                </c:pt>
                <c:pt idx="1104">
                  <c:v>0.34737503929581892</c:v>
                </c:pt>
                <c:pt idx="1105">
                  <c:v>0.34768940584721786</c:v>
                </c:pt>
                <c:pt idx="1106">
                  <c:v>0.3480037723986168</c:v>
                </c:pt>
                <c:pt idx="1107">
                  <c:v>0.34831813895001573</c:v>
                </c:pt>
                <c:pt idx="1108">
                  <c:v>0.34863250550141467</c:v>
                </c:pt>
                <c:pt idx="1109">
                  <c:v>0.34894687205281361</c:v>
                </c:pt>
                <c:pt idx="1110">
                  <c:v>0.34926123860421249</c:v>
                </c:pt>
                <c:pt idx="1111">
                  <c:v>0.34957560515561142</c:v>
                </c:pt>
                <c:pt idx="1112">
                  <c:v>0.34988997170701036</c:v>
                </c:pt>
                <c:pt idx="1113">
                  <c:v>0.3502043382584093</c:v>
                </c:pt>
                <c:pt idx="1114">
                  <c:v>0.35051870480980823</c:v>
                </c:pt>
                <c:pt idx="1115">
                  <c:v>0.35083307136120717</c:v>
                </c:pt>
                <c:pt idx="1116">
                  <c:v>0.35114743791260611</c:v>
                </c:pt>
                <c:pt idx="1117">
                  <c:v>0.35146180446400505</c:v>
                </c:pt>
                <c:pt idx="1118">
                  <c:v>0.35177617101540398</c:v>
                </c:pt>
                <c:pt idx="1119">
                  <c:v>0.35209053756680292</c:v>
                </c:pt>
                <c:pt idx="1120">
                  <c:v>0.3524049041182018</c:v>
                </c:pt>
                <c:pt idx="1121">
                  <c:v>0.35271927066960074</c:v>
                </c:pt>
                <c:pt idx="1122">
                  <c:v>0.35303363722099967</c:v>
                </c:pt>
                <c:pt idx="1123">
                  <c:v>0.35334800377239861</c:v>
                </c:pt>
                <c:pt idx="1124">
                  <c:v>0.35366237032379755</c:v>
                </c:pt>
                <c:pt idx="1125">
                  <c:v>0.35397673687519648</c:v>
                </c:pt>
                <c:pt idx="1126">
                  <c:v>0.35429110342659542</c:v>
                </c:pt>
                <c:pt idx="1127">
                  <c:v>0.35460546997799436</c:v>
                </c:pt>
                <c:pt idx="1128">
                  <c:v>0.3549198365293933</c:v>
                </c:pt>
                <c:pt idx="1129">
                  <c:v>0.35523420308079218</c:v>
                </c:pt>
                <c:pt idx="1130">
                  <c:v>0.35554856963219111</c:v>
                </c:pt>
                <c:pt idx="1131">
                  <c:v>0.35586293618359005</c:v>
                </c:pt>
                <c:pt idx="1132">
                  <c:v>0.35617730273498899</c:v>
                </c:pt>
                <c:pt idx="1133">
                  <c:v>0.35649166928638792</c:v>
                </c:pt>
                <c:pt idx="1134">
                  <c:v>0.35680603583778686</c:v>
                </c:pt>
                <c:pt idx="1135">
                  <c:v>0.3571204023891858</c:v>
                </c:pt>
                <c:pt idx="1136">
                  <c:v>0.35743476894058474</c:v>
                </c:pt>
                <c:pt idx="1137">
                  <c:v>0.35774913549198367</c:v>
                </c:pt>
                <c:pt idx="1138">
                  <c:v>0.35806350204338261</c:v>
                </c:pt>
                <c:pt idx="1139">
                  <c:v>0.35837786859478149</c:v>
                </c:pt>
                <c:pt idx="1140">
                  <c:v>0.35869223514618043</c:v>
                </c:pt>
                <c:pt idx="1141">
                  <c:v>0.35900660169757936</c:v>
                </c:pt>
                <c:pt idx="1142">
                  <c:v>0.3593209682489783</c:v>
                </c:pt>
                <c:pt idx="1143">
                  <c:v>0.35963533480037724</c:v>
                </c:pt>
                <c:pt idx="1144">
                  <c:v>0.35994970135177617</c:v>
                </c:pt>
                <c:pt idx="1145">
                  <c:v>0.36026406790317511</c:v>
                </c:pt>
                <c:pt idx="1146">
                  <c:v>0.36057843445457405</c:v>
                </c:pt>
                <c:pt idx="1147">
                  <c:v>0.36089280100597299</c:v>
                </c:pt>
                <c:pt idx="1148">
                  <c:v>0.36120716755737192</c:v>
                </c:pt>
                <c:pt idx="1149">
                  <c:v>0.3615215341087708</c:v>
                </c:pt>
                <c:pt idx="1150">
                  <c:v>0.36183590066016974</c:v>
                </c:pt>
                <c:pt idx="1151">
                  <c:v>0.36215026721156868</c:v>
                </c:pt>
                <c:pt idx="1152">
                  <c:v>0.36246463376296761</c:v>
                </c:pt>
                <c:pt idx="1153">
                  <c:v>0.36277900031436655</c:v>
                </c:pt>
                <c:pt idx="1154">
                  <c:v>0.36309336686576549</c:v>
                </c:pt>
                <c:pt idx="1155">
                  <c:v>0.36340773341716442</c:v>
                </c:pt>
                <c:pt idx="1156">
                  <c:v>0.36372209996856336</c:v>
                </c:pt>
                <c:pt idx="1157">
                  <c:v>0.3640364665199623</c:v>
                </c:pt>
                <c:pt idx="1158">
                  <c:v>0.36435083307136118</c:v>
                </c:pt>
                <c:pt idx="1159">
                  <c:v>0.36466519962276012</c:v>
                </c:pt>
                <c:pt idx="1160">
                  <c:v>0.36497956617415905</c:v>
                </c:pt>
                <c:pt idx="1161">
                  <c:v>0.36529393272555799</c:v>
                </c:pt>
                <c:pt idx="1162">
                  <c:v>0.36560829927695693</c:v>
                </c:pt>
                <c:pt idx="1163">
                  <c:v>0.36592266582835586</c:v>
                </c:pt>
                <c:pt idx="1164">
                  <c:v>0.3662370323797548</c:v>
                </c:pt>
                <c:pt idx="1165">
                  <c:v>0.36655139893115374</c:v>
                </c:pt>
                <c:pt idx="1166">
                  <c:v>0.36686576548255267</c:v>
                </c:pt>
                <c:pt idx="1167">
                  <c:v>0.36718013203395161</c:v>
                </c:pt>
                <c:pt idx="1168">
                  <c:v>0.36749449858535049</c:v>
                </c:pt>
                <c:pt idx="1169">
                  <c:v>0.36780886513674943</c:v>
                </c:pt>
                <c:pt idx="1170">
                  <c:v>0.36812323168814837</c:v>
                </c:pt>
                <c:pt idx="1171">
                  <c:v>0.3684375982395473</c:v>
                </c:pt>
                <c:pt idx="1172">
                  <c:v>0.36875196479094624</c:v>
                </c:pt>
                <c:pt idx="1173">
                  <c:v>0.36906633134234518</c:v>
                </c:pt>
                <c:pt idx="1174">
                  <c:v>0.36938069789374411</c:v>
                </c:pt>
                <c:pt idx="1175">
                  <c:v>0.36969506444514305</c:v>
                </c:pt>
                <c:pt idx="1176">
                  <c:v>0.37000943099654199</c:v>
                </c:pt>
                <c:pt idx="1177">
                  <c:v>0.37032379754794092</c:v>
                </c:pt>
                <c:pt idx="1178">
                  <c:v>0.37063816409933981</c:v>
                </c:pt>
                <c:pt idx="1179">
                  <c:v>0.37095253065073874</c:v>
                </c:pt>
                <c:pt idx="1180">
                  <c:v>0.37126689720213768</c:v>
                </c:pt>
                <c:pt idx="1181">
                  <c:v>0.37158126375353662</c:v>
                </c:pt>
                <c:pt idx="1182">
                  <c:v>0.37189563030493555</c:v>
                </c:pt>
                <c:pt idx="1183">
                  <c:v>0.37220999685633449</c:v>
                </c:pt>
                <c:pt idx="1184">
                  <c:v>0.37252436340773343</c:v>
                </c:pt>
                <c:pt idx="1185">
                  <c:v>0.37283872995913236</c:v>
                </c:pt>
                <c:pt idx="1186">
                  <c:v>0.3731530965105313</c:v>
                </c:pt>
                <c:pt idx="1187">
                  <c:v>0.37346746306193024</c:v>
                </c:pt>
                <c:pt idx="1188">
                  <c:v>0.37378182961332912</c:v>
                </c:pt>
                <c:pt idx="1189">
                  <c:v>0.37409619616472806</c:v>
                </c:pt>
                <c:pt idx="1190">
                  <c:v>0.37441056271612699</c:v>
                </c:pt>
                <c:pt idx="1191">
                  <c:v>0.37472492926752593</c:v>
                </c:pt>
                <c:pt idx="1192">
                  <c:v>0.37503929581892487</c:v>
                </c:pt>
                <c:pt idx="1193">
                  <c:v>0.3753536623703238</c:v>
                </c:pt>
                <c:pt idx="1194">
                  <c:v>0.37566802892172274</c:v>
                </c:pt>
                <c:pt idx="1195">
                  <c:v>0.37598239547312168</c:v>
                </c:pt>
                <c:pt idx="1196">
                  <c:v>0.37629676202452061</c:v>
                </c:pt>
                <c:pt idx="1197">
                  <c:v>0.3766111285759195</c:v>
                </c:pt>
                <c:pt idx="1198">
                  <c:v>0.37692549512731843</c:v>
                </c:pt>
                <c:pt idx="1199">
                  <c:v>0.37723986167871737</c:v>
                </c:pt>
                <c:pt idx="1200">
                  <c:v>0.37755422823011631</c:v>
                </c:pt>
                <c:pt idx="1201">
                  <c:v>0.37786859478151524</c:v>
                </c:pt>
                <c:pt idx="1202">
                  <c:v>0.37818296133291418</c:v>
                </c:pt>
                <c:pt idx="1203">
                  <c:v>0.37849732788431312</c:v>
                </c:pt>
                <c:pt idx="1204">
                  <c:v>0.37881169443571205</c:v>
                </c:pt>
                <c:pt idx="1205">
                  <c:v>0.37912606098711099</c:v>
                </c:pt>
                <c:pt idx="1206">
                  <c:v>0.37944042753850993</c:v>
                </c:pt>
                <c:pt idx="1207">
                  <c:v>0.37975479408990881</c:v>
                </c:pt>
                <c:pt idx="1208">
                  <c:v>0.38006916064130775</c:v>
                </c:pt>
                <c:pt idx="1209">
                  <c:v>0.38038352719270668</c:v>
                </c:pt>
                <c:pt idx="1210">
                  <c:v>0.38069789374410562</c:v>
                </c:pt>
                <c:pt idx="1211">
                  <c:v>0.38101226029550456</c:v>
                </c:pt>
                <c:pt idx="1212">
                  <c:v>0.38132662684690349</c:v>
                </c:pt>
                <c:pt idx="1213">
                  <c:v>0.38164099339830243</c:v>
                </c:pt>
                <c:pt idx="1214">
                  <c:v>0.38195535994970137</c:v>
                </c:pt>
                <c:pt idx="1215">
                  <c:v>0.3822697265011003</c:v>
                </c:pt>
                <c:pt idx="1216">
                  <c:v>0.38258409305249924</c:v>
                </c:pt>
                <c:pt idx="1217">
                  <c:v>0.38289845960389812</c:v>
                </c:pt>
                <c:pt idx="1218">
                  <c:v>0.38321282615529706</c:v>
                </c:pt>
                <c:pt idx="1219">
                  <c:v>0.383527192706696</c:v>
                </c:pt>
                <c:pt idx="1220">
                  <c:v>0.38384155925809493</c:v>
                </c:pt>
                <c:pt idx="1221">
                  <c:v>0.38415592580949387</c:v>
                </c:pt>
                <c:pt idx="1222">
                  <c:v>0.38447029236089281</c:v>
                </c:pt>
                <c:pt idx="1223">
                  <c:v>0.38478465891229174</c:v>
                </c:pt>
                <c:pt idx="1224">
                  <c:v>0.38509902546369068</c:v>
                </c:pt>
                <c:pt idx="1225">
                  <c:v>0.38541339201508962</c:v>
                </c:pt>
                <c:pt idx="1226">
                  <c:v>0.3857277585664885</c:v>
                </c:pt>
                <c:pt idx="1227">
                  <c:v>0.38604212511788744</c:v>
                </c:pt>
                <c:pt idx="1228">
                  <c:v>0.38635649166928637</c:v>
                </c:pt>
                <c:pt idx="1229">
                  <c:v>0.38667085822068531</c:v>
                </c:pt>
                <c:pt idx="1230">
                  <c:v>0.38698522477208425</c:v>
                </c:pt>
                <c:pt idx="1231">
                  <c:v>0.38729959132348318</c:v>
                </c:pt>
                <c:pt idx="1232">
                  <c:v>0.38761395787488212</c:v>
                </c:pt>
                <c:pt idx="1233">
                  <c:v>0.38792832442628106</c:v>
                </c:pt>
                <c:pt idx="1234">
                  <c:v>0.38824269097767999</c:v>
                </c:pt>
                <c:pt idx="1235">
                  <c:v>0.38855705752907893</c:v>
                </c:pt>
                <c:pt idx="1236">
                  <c:v>0.38887142408047781</c:v>
                </c:pt>
                <c:pt idx="1237">
                  <c:v>0.38918579063187675</c:v>
                </c:pt>
                <c:pt idx="1238">
                  <c:v>0.38950015718327569</c:v>
                </c:pt>
                <c:pt idx="1239">
                  <c:v>0.38981452373467462</c:v>
                </c:pt>
                <c:pt idx="1240">
                  <c:v>0.39012889028607356</c:v>
                </c:pt>
                <c:pt idx="1241">
                  <c:v>0.3904432568374725</c:v>
                </c:pt>
                <c:pt idx="1242">
                  <c:v>0.39075762338887143</c:v>
                </c:pt>
                <c:pt idx="1243">
                  <c:v>0.39107198994027037</c:v>
                </c:pt>
                <c:pt idx="1244">
                  <c:v>0.39138635649166931</c:v>
                </c:pt>
                <c:pt idx="1245">
                  <c:v>0.39170072304306824</c:v>
                </c:pt>
                <c:pt idx="1246">
                  <c:v>0.39201508959446713</c:v>
                </c:pt>
                <c:pt idx="1247">
                  <c:v>0.39232945614586606</c:v>
                </c:pt>
                <c:pt idx="1248">
                  <c:v>0.392643822697265</c:v>
                </c:pt>
                <c:pt idx="1249">
                  <c:v>0.39295818924866394</c:v>
                </c:pt>
                <c:pt idx="1250">
                  <c:v>0.39327255580006287</c:v>
                </c:pt>
                <c:pt idx="1251">
                  <c:v>0.39358692235146181</c:v>
                </c:pt>
                <c:pt idx="1252">
                  <c:v>0.39390128890286075</c:v>
                </c:pt>
                <c:pt idx="1253">
                  <c:v>0.39421565545425968</c:v>
                </c:pt>
                <c:pt idx="1254">
                  <c:v>0.39453002200565862</c:v>
                </c:pt>
                <c:pt idx="1255">
                  <c:v>0.3948443885570575</c:v>
                </c:pt>
                <c:pt idx="1256">
                  <c:v>0.39515875510845644</c:v>
                </c:pt>
                <c:pt idx="1257">
                  <c:v>0.39547312165985538</c:v>
                </c:pt>
                <c:pt idx="1258">
                  <c:v>0.39578748821125431</c:v>
                </c:pt>
                <c:pt idx="1259">
                  <c:v>0.39610185476265325</c:v>
                </c:pt>
                <c:pt idx="1260">
                  <c:v>0.39641622131405219</c:v>
                </c:pt>
                <c:pt idx="1261">
                  <c:v>0.39673058786545112</c:v>
                </c:pt>
                <c:pt idx="1262">
                  <c:v>0.39704495441685006</c:v>
                </c:pt>
                <c:pt idx="1263">
                  <c:v>0.397359320968249</c:v>
                </c:pt>
                <c:pt idx="1264">
                  <c:v>0.39767368751964793</c:v>
                </c:pt>
                <c:pt idx="1265">
                  <c:v>0.39798805407104682</c:v>
                </c:pt>
                <c:pt idx="1266">
                  <c:v>0.39830242062244575</c:v>
                </c:pt>
                <c:pt idx="1267">
                  <c:v>0.39861678717384469</c:v>
                </c:pt>
                <c:pt idx="1268">
                  <c:v>0.39893115372524363</c:v>
                </c:pt>
                <c:pt idx="1269">
                  <c:v>0.39924552027664256</c:v>
                </c:pt>
                <c:pt idx="1270">
                  <c:v>0.3995598868280415</c:v>
                </c:pt>
                <c:pt idx="1271">
                  <c:v>0.39987425337944044</c:v>
                </c:pt>
                <c:pt idx="1272">
                  <c:v>0.40018861993083937</c:v>
                </c:pt>
                <c:pt idx="1273">
                  <c:v>0.40050298648223831</c:v>
                </c:pt>
                <c:pt idx="1274">
                  <c:v>0.40081735303363725</c:v>
                </c:pt>
                <c:pt idx="1275">
                  <c:v>0.40113171958503613</c:v>
                </c:pt>
                <c:pt idx="1276">
                  <c:v>0.40144608613643507</c:v>
                </c:pt>
                <c:pt idx="1277">
                  <c:v>0.401760452687834</c:v>
                </c:pt>
                <c:pt idx="1278">
                  <c:v>0.40207481923923294</c:v>
                </c:pt>
                <c:pt idx="1279">
                  <c:v>0.40238918579063188</c:v>
                </c:pt>
                <c:pt idx="1280">
                  <c:v>0.40270355234203081</c:v>
                </c:pt>
                <c:pt idx="1281">
                  <c:v>0.40301791889342975</c:v>
                </c:pt>
                <c:pt idx="1282">
                  <c:v>0.40333228544482869</c:v>
                </c:pt>
                <c:pt idx="1283">
                  <c:v>0.40364665199622762</c:v>
                </c:pt>
                <c:pt idx="1284">
                  <c:v>0.40396101854762656</c:v>
                </c:pt>
                <c:pt idx="1285">
                  <c:v>0.40427538509902544</c:v>
                </c:pt>
                <c:pt idx="1286">
                  <c:v>0.40458975165042438</c:v>
                </c:pt>
                <c:pt idx="1287">
                  <c:v>0.40490411820182332</c:v>
                </c:pt>
                <c:pt idx="1288">
                  <c:v>0.40521848475322225</c:v>
                </c:pt>
                <c:pt idx="1289">
                  <c:v>0.40553285130462119</c:v>
                </c:pt>
                <c:pt idx="1290">
                  <c:v>0.40584721785602013</c:v>
                </c:pt>
                <c:pt idx="1291">
                  <c:v>0.40616158440741906</c:v>
                </c:pt>
                <c:pt idx="1292">
                  <c:v>0.406475950958818</c:v>
                </c:pt>
                <c:pt idx="1293">
                  <c:v>0.40679031751021694</c:v>
                </c:pt>
                <c:pt idx="1294">
                  <c:v>0.40710468406161582</c:v>
                </c:pt>
                <c:pt idx="1295">
                  <c:v>0.40741905061301475</c:v>
                </c:pt>
                <c:pt idx="1296">
                  <c:v>0.40773341716441369</c:v>
                </c:pt>
                <c:pt idx="1297">
                  <c:v>0.40804778371581263</c:v>
                </c:pt>
                <c:pt idx="1298">
                  <c:v>0.40836215026721157</c:v>
                </c:pt>
                <c:pt idx="1299">
                  <c:v>0.4086765168186105</c:v>
                </c:pt>
                <c:pt idx="1300">
                  <c:v>0.40899088337000944</c:v>
                </c:pt>
                <c:pt idx="1301">
                  <c:v>0.40930524992140838</c:v>
                </c:pt>
                <c:pt idx="1302">
                  <c:v>0.40961961647280731</c:v>
                </c:pt>
                <c:pt idx="1303">
                  <c:v>0.40993398302420625</c:v>
                </c:pt>
                <c:pt idx="1304">
                  <c:v>0.41024834957560513</c:v>
                </c:pt>
                <c:pt idx="1305">
                  <c:v>0.41056271612700407</c:v>
                </c:pt>
                <c:pt idx="1306">
                  <c:v>0.41087708267840301</c:v>
                </c:pt>
                <c:pt idx="1307">
                  <c:v>0.41119144922980194</c:v>
                </c:pt>
                <c:pt idx="1308">
                  <c:v>0.41150581578120088</c:v>
                </c:pt>
                <c:pt idx="1309">
                  <c:v>0.41182018233259982</c:v>
                </c:pt>
                <c:pt idx="1310">
                  <c:v>0.41213454888399875</c:v>
                </c:pt>
                <c:pt idx="1311">
                  <c:v>0.41244891543539769</c:v>
                </c:pt>
                <c:pt idx="1312">
                  <c:v>0.41276328198679663</c:v>
                </c:pt>
                <c:pt idx="1313">
                  <c:v>0.41307764853819556</c:v>
                </c:pt>
                <c:pt idx="1314">
                  <c:v>0.41339201508959444</c:v>
                </c:pt>
                <c:pt idx="1315">
                  <c:v>0.41370638164099338</c:v>
                </c:pt>
                <c:pt idx="1316">
                  <c:v>0.41402074819239232</c:v>
                </c:pt>
                <c:pt idx="1317">
                  <c:v>0.41433511474379126</c:v>
                </c:pt>
                <c:pt idx="1318">
                  <c:v>0.41464948129519019</c:v>
                </c:pt>
                <c:pt idx="1319">
                  <c:v>0.41496384784658913</c:v>
                </c:pt>
                <c:pt idx="1320">
                  <c:v>0.41527821439798807</c:v>
                </c:pt>
                <c:pt idx="1321">
                  <c:v>0.415592580949387</c:v>
                </c:pt>
                <c:pt idx="1322">
                  <c:v>0.41590694750078594</c:v>
                </c:pt>
                <c:pt idx="1323">
                  <c:v>0.41622131405218482</c:v>
                </c:pt>
                <c:pt idx="1324">
                  <c:v>0.41653568060358376</c:v>
                </c:pt>
                <c:pt idx="1325">
                  <c:v>0.41685004715498269</c:v>
                </c:pt>
                <c:pt idx="1326">
                  <c:v>0.41716441370638163</c:v>
                </c:pt>
                <c:pt idx="1327">
                  <c:v>0.41747878025778057</c:v>
                </c:pt>
                <c:pt idx="1328">
                  <c:v>0.41779314680917951</c:v>
                </c:pt>
                <c:pt idx="1329">
                  <c:v>0.41810751336057844</c:v>
                </c:pt>
                <c:pt idx="1330">
                  <c:v>0.41842187991197738</c:v>
                </c:pt>
                <c:pt idx="1331">
                  <c:v>0.41873624646337632</c:v>
                </c:pt>
                <c:pt idx="1332">
                  <c:v>0.41905061301477525</c:v>
                </c:pt>
                <c:pt idx="1333">
                  <c:v>0.41936497956617413</c:v>
                </c:pt>
                <c:pt idx="1334">
                  <c:v>0.41967934611757307</c:v>
                </c:pt>
                <c:pt idx="1335">
                  <c:v>0.41999371266897201</c:v>
                </c:pt>
                <c:pt idx="1336">
                  <c:v>0.42030807922037094</c:v>
                </c:pt>
                <c:pt idx="1337">
                  <c:v>0.42062244577176988</c:v>
                </c:pt>
                <c:pt idx="1338">
                  <c:v>0.42093681232316882</c:v>
                </c:pt>
                <c:pt idx="1339">
                  <c:v>0.42125117887456776</c:v>
                </c:pt>
                <c:pt idx="1340">
                  <c:v>0.42156554542596669</c:v>
                </c:pt>
                <c:pt idx="1341">
                  <c:v>0.42187991197736563</c:v>
                </c:pt>
                <c:pt idx="1342">
                  <c:v>0.42219427852876457</c:v>
                </c:pt>
                <c:pt idx="1343">
                  <c:v>0.42250864508016345</c:v>
                </c:pt>
                <c:pt idx="1344">
                  <c:v>0.42282301163156238</c:v>
                </c:pt>
                <c:pt idx="1345">
                  <c:v>0.42313737818296132</c:v>
                </c:pt>
                <c:pt idx="1346">
                  <c:v>0.42345174473436026</c:v>
                </c:pt>
                <c:pt idx="1347">
                  <c:v>0.42376611128575919</c:v>
                </c:pt>
                <c:pt idx="1348">
                  <c:v>0.42408047783715813</c:v>
                </c:pt>
                <c:pt idx="1349">
                  <c:v>0.42439484438855707</c:v>
                </c:pt>
                <c:pt idx="1350">
                  <c:v>0.42470921093995601</c:v>
                </c:pt>
                <c:pt idx="1351">
                  <c:v>0.42502357749135494</c:v>
                </c:pt>
                <c:pt idx="1352">
                  <c:v>0.42533794404275382</c:v>
                </c:pt>
                <c:pt idx="1353">
                  <c:v>0.42565231059415276</c:v>
                </c:pt>
                <c:pt idx="1354">
                  <c:v>0.4259666771455517</c:v>
                </c:pt>
                <c:pt idx="1355">
                  <c:v>0.42628104369695063</c:v>
                </c:pt>
                <c:pt idx="1356">
                  <c:v>0.42659541024834957</c:v>
                </c:pt>
                <c:pt idx="1357">
                  <c:v>0.42690977679974851</c:v>
                </c:pt>
                <c:pt idx="1358">
                  <c:v>0.42722414335114745</c:v>
                </c:pt>
                <c:pt idx="1359">
                  <c:v>0.42753850990254638</c:v>
                </c:pt>
                <c:pt idx="1360">
                  <c:v>0.42785287645394532</c:v>
                </c:pt>
                <c:pt idx="1361">
                  <c:v>0.42816724300534426</c:v>
                </c:pt>
                <c:pt idx="1362">
                  <c:v>0.42848160955674314</c:v>
                </c:pt>
                <c:pt idx="1363">
                  <c:v>0.42879597610814207</c:v>
                </c:pt>
                <c:pt idx="1364">
                  <c:v>0.42911034265954101</c:v>
                </c:pt>
                <c:pt idx="1365">
                  <c:v>0.42942470921093995</c:v>
                </c:pt>
                <c:pt idx="1366">
                  <c:v>0.42973907576233888</c:v>
                </c:pt>
                <c:pt idx="1367">
                  <c:v>0.43005344231373782</c:v>
                </c:pt>
                <c:pt idx="1368">
                  <c:v>0.43036780886513676</c:v>
                </c:pt>
                <c:pt idx="1369">
                  <c:v>0.4306821754165357</c:v>
                </c:pt>
                <c:pt idx="1370">
                  <c:v>0.43099654196793463</c:v>
                </c:pt>
                <c:pt idx="1371">
                  <c:v>0.43131090851933357</c:v>
                </c:pt>
                <c:pt idx="1372">
                  <c:v>0.43162527507073245</c:v>
                </c:pt>
                <c:pt idx="1373">
                  <c:v>0.43193964162213139</c:v>
                </c:pt>
                <c:pt idx="1374">
                  <c:v>0.43225400817353032</c:v>
                </c:pt>
                <c:pt idx="1375">
                  <c:v>0.43256837472492926</c:v>
                </c:pt>
                <c:pt idx="1376">
                  <c:v>0.4328827412763282</c:v>
                </c:pt>
                <c:pt idx="1377">
                  <c:v>0.43319710782772713</c:v>
                </c:pt>
                <c:pt idx="1378">
                  <c:v>0.43351147437912607</c:v>
                </c:pt>
                <c:pt idx="1379">
                  <c:v>0.43382584093052501</c:v>
                </c:pt>
                <c:pt idx="1380">
                  <c:v>0.43414020748192395</c:v>
                </c:pt>
                <c:pt idx="1381">
                  <c:v>0.43445457403332283</c:v>
                </c:pt>
                <c:pt idx="1382">
                  <c:v>0.43476894058472176</c:v>
                </c:pt>
                <c:pt idx="1383">
                  <c:v>0.4350833071361207</c:v>
                </c:pt>
                <c:pt idx="1384">
                  <c:v>0.43539767368751964</c:v>
                </c:pt>
                <c:pt idx="1385">
                  <c:v>0.43571204023891857</c:v>
                </c:pt>
                <c:pt idx="1386">
                  <c:v>0.43602640679031751</c:v>
                </c:pt>
                <c:pt idx="1387">
                  <c:v>0.43634077334171645</c:v>
                </c:pt>
                <c:pt idx="1388">
                  <c:v>0.43665513989311538</c:v>
                </c:pt>
                <c:pt idx="1389">
                  <c:v>0.43696950644451432</c:v>
                </c:pt>
                <c:pt idx="1390">
                  <c:v>0.43728387299591326</c:v>
                </c:pt>
                <c:pt idx="1391">
                  <c:v>0.43759823954731214</c:v>
                </c:pt>
                <c:pt idx="1392">
                  <c:v>0.43791260609871108</c:v>
                </c:pt>
                <c:pt idx="1393">
                  <c:v>0.43822697265011001</c:v>
                </c:pt>
                <c:pt idx="1394">
                  <c:v>0.43854133920150895</c:v>
                </c:pt>
                <c:pt idx="1395">
                  <c:v>0.43885570575290789</c:v>
                </c:pt>
                <c:pt idx="1396">
                  <c:v>0.43917007230430682</c:v>
                </c:pt>
                <c:pt idx="1397">
                  <c:v>0.43948443885570576</c:v>
                </c:pt>
                <c:pt idx="1398">
                  <c:v>0.4397988054071047</c:v>
                </c:pt>
                <c:pt idx="1399">
                  <c:v>0.44011317195850364</c:v>
                </c:pt>
                <c:pt idx="1400">
                  <c:v>0.44042753850990257</c:v>
                </c:pt>
                <c:pt idx="1401">
                  <c:v>0.44074190506130145</c:v>
                </c:pt>
                <c:pt idx="1402">
                  <c:v>0.44105627161270039</c:v>
                </c:pt>
                <c:pt idx="1403">
                  <c:v>0.44137063816409933</c:v>
                </c:pt>
                <c:pt idx="1404">
                  <c:v>0.44168500471549826</c:v>
                </c:pt>
                <c:pt idx="1405">
                  <c:v>0.4419993712668972</c:v>
                </c:pt>
                <c:pt idx="1406">
                  <c:v>0.44231373781829614</c:v>
                </c:pt>
                <c:pt idx="1407">
                  <c:v>0.44262810436969507</c:v>
                </c:pt>
                <c:pt idx="1408">
                  <c:v>0.44294247092109401</c:v>
                </c:pt>
                <c:pt idx="1409">
                  <c:v>0.44325683747249295</c:v>
                </c:pt>
                <c:pt idx="1410">
                  <c:v>0.44357120402389189</c:v>
                </c:pt>
                <c:pt idx="1411">
                  <c:v>0.44388557057529077</c:v>
                </c:pt>
                <c:pt idx="1412">
                  <c:v>0.4441999371266897</c:v>
                </c:pt>
                <c:pt idx="1413">
                  <c:v>0.44451430367808864</c:v>
                </c:pt>
                <c:pt idx="1414">
                  <c:v>0.44482867022948758</c:v>
                </c:pt>
                <c:pt idx="1415">
                  <c:v>0.44514303678088651</c:v>
                </c:pt>
                <c:pt idx="1416">
                  <c:v>0.44545740333228545</c:v>
                </c:pt>
                <c:pt idx="1417">
                  <c:v>0.44577176988368439</c:v>
                </c:pt>
                <c:pt idx="1418">
                  <c:v>0.44608613643508332</c:v>
                </c:pt>
                <c:pt idx="1419">
                  <c:v>0.44640050298648226</c:v>
                </c:pt>
                <c:pt idx="1420">
                  <c:v>0.44671486953788114</c:v>
                </c:pt>
                <c:pt idx="1421">
                  <c:v>0.44702923608928008</c:v>
                </c:pt>
                <c:pt idx="1422">
                  <c:v>0.44734360264067902</c:v>
                </c:pt>
                <c:pt idx="1423">
                  <c:v>0.44765796919207795</c:v>
                </c:pt>
                <c:pt idx="1424">
                  <c:v>0.44797233574347689</c:v>
                </c:pt>
                <c:pt idx="1425">
                  <c:v>0.44828670229487583</c:v>
                </c:pt>
                <c:pt idx="1426">
                  <c:v>0.44860106884627476</c:v>
                </c:pt>
                <c:pt idx="1427">
                  <c:v>0.4489154353976737</c:v>
                </c:pt>
                <c:pt idx="1428">
                  <c:v>0.44922980194907264</c:v>
                </c:pt>
                <c:pt idx="1429">
                  <c:v>0.44954416850047157</c:v>
                </c:pt>
                <c:pt idx="1430">
                  <c:v>0.44985853505187046</c:v>
                </c:pt>
                <c:pt idx="1431">
                  <c:v>0.45017290160326939</c:v>
                </c:pt>
                <c:pt idx="1432">
                  <c:v>0.45048726815466833</c:v>
                </c:pt>
                <c:pt idx="1433">
                  <c:v>0.45080163470606727</c:v>
                </c:pt>
                <c:pt idx="1434">
                  <c:v>0.4511160012574662</c:v>
                </c:pt>
                <c:pt idx="1435">
                  <c:v>0.45143036780886514</c:v>
                </c:pt>
                <c:pt idx="1436">
                  <c:v>0.45174473436026408</c:v>
                </c:pt>
                <c:pt idx="1437">
                  <c:v>0.45205910091166301</c:v>
                </c:pt>
                <c:pt idx="1438">
                  <c:v>0.45237346746306195</c:v>
                </c:pt>
                <c:pt idx="1439">
                  <c:v>0.45268783401446089</c:v>
                </c:pt>
                <c:pt idx="1440">
                  <c:v>0.45300220056585977</c:v>
                </c:pt>
                <c:pt idx="1441">
                  <c:v>0.45331656711725871</c:v>
                </c:pt>
                <c:pt idx="1442">
                  <c:v>0.45363093366865764</c:v>
                </c:pt>
                <c:pt idx="1443">
                  <c:v>0.45394530022005658</c:v>
                </c:pt>
                <c:pt idx="1444">
                  <c:v>0.45425966677145552</c:v>
                </c:pt>
                <c:pt idx="1445">
                  <c:v>0.45457403332285445</c:v>
                </c:pt>
                <c:pt idx="1446">
                  <c:v>0.45488839987425339</c:v>
                </c:pt>
                <c:pt idx="1447">
                  <c:v>0.45520276642565233</c:v>
                </c:pt>
                <c:pt idx="1448">
                  <c:v>0.45551713297705126</c:v>
                </c:pt>
                <c:pt idx="1449">
                  <c:v>0.45583149952845015</c:v>
                </c:pt>
                <c:pt idx="1450">
                  <c:v>0.45614586607984908</c:v>
                </c:pt>
                <c:pt idx="1451">
                  <c:v>0.45646023263124802</c:v>
                </c:pt>
                <c:pt idx="1452">
                  <c:v>0.45677459918264696</c:v>
                </c:pt>
                <c:pt idx="1453">
                  <c:v>0.45708896573404589</c:v>
                </c:pt>
                <c:pt idx="1454">
                  <c:v>0.45740333228544483</c:v>
                </c:pt>
                <c:pt idx="1455">
                  <c:v>0.45771769883684377</c:v>
                </c:pt>
                <c:pt idx="1456">
                  <c:v>0.4580320653882427</c:v>
                </c:pt>
                <c:pt idx="1457">
                  <c:v>0.45834643193964164</c:v>
                </c:pt>
                <c:pt idx="1458">
                  <c:v>0.45866079849104058</c:v>
                </c:pt>
                <c:pt idx="1459">
                  <c:v>0.45897516504243946</c:v>
                </c:pt>
                <c:pt idx="1460">
                  <c:v>0.4592895315938384</c:v>
                </c:pt>
                <c:pt idx="1461">
                  <c:v>0.45960389814523733</c:v>
                </c:pt>
                <c:pt idx="1462">
                  <c:v>0.45991826469663627</c:v>
                </c:pt>
                <c:pt idx="1463">
                  <c:v>0.46023263124803521</c:v>
                </c:pt>
                <c:pt idx="1464">
                  <c:v>0.46054699779943414</c:v>
                </c:pt>
                <c:pt idx="1465">
                  <c:v>0.46086136435083308</c:v>
                </c:pt>
                <c:pt idx="1466">
                  <c:v>0.46117573090223202</c:v>
                </c:pt>
                <c:pt idx="1467">
                  <c:v>0.46149009745363095</c:v>
                </c:pt>
                <c:pt idx="1468">
                  <c:v>0.46180446400502989</c:v>
                </c:pt>
                <c:pt idx="1469">
                  <c:v>0.46211883055642877</c:v>
                </c:pt>
                <c:pt idx="1470">
                  <c:v>0.46243319710782771</c:v>
                </c:pt>
                <c:pt idx="1471">
                  <c:v>0.46274756365922665</c:v>
                </c:pt>
                <c:pt idx="1472">
                  <c:v>0.46306193021062558</c:v>
                </c:pt>
                <c:pt idx="1473">
                  <c:v>0.46337629676202452</c:v>
                </c:pt>
                <c:pt idx="1474">
                  <c:v>0.46369066331342346</c:v>
                </c:pt>
                <c:pt idx="1475">
                  <c:v>0.46400502986482239</c:v>
                </c:pt>
                <c:pt idx="1476">
                  <c:v>0.46431939641622133</c:v>
                </c:pt>
                <c:pt idx="1477">
                  <c:v>0.46463376296762027</c:v>
                </c:pt>
                <c:pt idx="1478">
                  <c:v>0.46494812951901915</c:v>
                </c:pt>
                <c:pt idx="1479">
                  <c:v>0.46526249607041809</c:v>
                </c:pt>
                <c:pt idx="1480">
                  <c:v>0.46557686262181702</c:v>
                </c:pt>
                <c:pt idx="1481">
                  <c:v>0.46589122917321596</c:v>
                </c:pt>
                <c:pt idx="1482">
                  <c:v>0.4662055957246149</c:v>
                </c:pt>
                <c:pt idx="1483">
                  <c:v>0.46651996227601383</c:v>
                </c:pt>
                <c:pt idx="1484">
                  <c:v>0.46683432882741277</c:v>
                </c:pt>
                <c:pt idx="1485">
                  <c:v>0.46714869537881171</c:v>
                </c:pt>
                <c:pt idx="1486">
                  <c:v>0.46746306193021064</c:v>
                </c:pt>
                <c:pt idx="1487">
                  <c:v>0.46777742848160958</c:v>
                </c:pt>
                <c:pt idx="1488">
                  <c:v>0.46809179503300846</c:v>
                </c:pt>
                <c:pt idx="1489">
                  <c:v>0.4684061615844074</c:v>
                </c:pt>
                <c:pt idx="1490">
                  <c:v>0.46872052813580634</c:v>
                </c:pt>
                <c:pt idx="1491">
                  <c:v>0.46903489468720527</c:v>
                </c:pt>
                <c:pt idx="1492">
                  <c:v>0.46934926123860421</c:v>
                </c:pt>
                <c:pt idx="1493">
                  <c:v>0.46966362779000315</c:v>
                </c:pt>
                <c:pt idx="1494">
                  <c:v>0.46997799434140208</c:v>
                </c:pt>
                <c:pt idx="1495">
                  <c:v>0.47029236089280102</c:v>
                </c:pt>
                <c:pt idx="1496">
                  <c:v>0.47060672744419996</c:v>
                </c:pt>
                <c:pt idx="1497">
                  <c:v>0.47092109399559889</c:v>
                </c:pt>
                <c:pt idx="1498">
                  <c:v>0.47123546054699778</c:v>
                </c:pt>
                <c:pt idx="1499">
                  <c:v>0.47154982709839671</c:v>
                </c:pt>
                <c:pt idx="1500">
                  <c:v>0.47186419364979565</c:v>
                </c:pt>
                <c:pt idx="1501">
                  <c:v>0.47217856020119459</c:v>
                </c:pt>
                <c:pt idx="1502">
                  <c:v>0.47249292675259352</c:v>
                </c:pt>
                <c:pt idx="1503">
                  <c:v>0.47280729330399246</c:v>
                </c:pt>
                <c:pt idx="1504">
                  <c:v>0.4731216598553914</c:v>
                </c:pt>
                <c:pt idx="1505">
                  <c:v>0.47343602640679033</c:v>
                </c:pt>
                <c:pt idx="1506">
                  <c:v>0.47375039295818927</c:v>
                </c:pt>
                <c:pt idx="1507">
                  <c:v>0.47406475950958821</c:v>
                </c:pt>
                <c:pt idx="1508">
                  <c:v>0.47437912606098709</c:v>
                </c:pt>
                <c:pt idx="1509">
                  <c:v>0.47469349261238603</c:v>
                </c:pt>
                <c:pt idx="1510">
                  <c:v>0.47500785916378496</c:v>
                </c:pt>
                <c:pt idx="1511">
                  <c:v>0.4753222257151839</c:v>
                </c:pt>
                <c:pt idx="1512">
                  <c:v>0.47563659226658284</c:v>
                </c:pt>
                <c:pt idx="1513">
                  <c:v>0.47595095881798177</c:v>
                </c:pt>
                <c:pt idx="1514">
                  <c:v>0.47626532536938071</c:v>
                </c:pt>
                <c:pt idx="1515">
                  <c:v>0.47657969192077965</c:v>
                </c:pt>
                <c:pt idx="1516">
                  <c:v>0.47689405847217858</c:v>
                </c:pt>
                <c:pt idx="1517">
                  <c:v>0.47720842502357746</c:v>
                </c:pt>
                <c:pt idx="1518">
                  <c:v>0.4775227915749764</c:v>
                </c:pt>
                <c:pt idx="1519">
                  <c:v>0.47783715812637534</c:v>
                </c:pt>
                <c:pt idx="1520">
                  <c:v>0.47815152467777428</c:v>
                </c:pt>
                <c:pt idx="1521">
                  <c:v>0.47846589122917321</c:v>
                </c:pt>
                <c:pt idx="1522">
                  <c:v>0.47878025778057215</c:v>
                </c:pt>
                <c:pt idx="1523">
                  <c:v>0.47909462433197109</c:v>
                </c:pt>
                <c:pt idx="1524">
                  <c:v>0.47940899088337002</c:v>
                </c:pt>
                <c:pt idx="1525">
                  <c:v>0.47972335743476896</c:v>
                </c:pt>
                <c:pt idx="1526">
                  <c:v>0.4800377239861679</c:v>
                </c:pt>
                <c:pt idx="1527">
                  <c:v>0.48035209053756678</c:v>
                </c:pt>
                <c:pt idx="1528">
                  <c:v>0.48066645708896572</c:v>
                </c:pt>
                <c:pt idx="1529">
                  <c:v>0.48098082364036465</c:v>
                </c:pt>
                <c:pt idx="1530">
                  <c:v>0.48129519019176359</c:v>
                </c:pt>
                <c:pt idx="1531">
                  <c:v>0.48160955674316253</c:v>
                </c:pt>
                <c:pt idx="1532">
                  <c:v>0.48192392329456146</c:v>
                </c:pt>
                <c:pt idx="1533">
                  <c:v>0.4822382898459604</c:v>
                </c:pt>
                <c:pt idx="1534">
                  <c:v>0.48255265639735934</c:v>
                </c:pt>
                <c:pt idx="1535">
                  <c:v>0.48286702294875827</c:v>
                </c:pt>
                <c:pt idx="1536">
                  <c:v>0.48318138950015721</c:v>
                </c:pt>
                <c:pt idx="1537">
                  <c:v>0.48349575605155609</c:v>
                </c:pt>
                <c:pt idx="1538">
                  <c:v>0.48381012260295503</c:v>
                </c:pt>
                <c:pt idx="1539">
                  <c:v>0.48412448915435397</c:v>
                </c:pt>
                <c:pt idx="1540">
                  <c:v>0.4844388557057529</c:v>
                </c:pt>
                <c:pt idx="1541">
                  <c:v>0.48475322225715184</c:v>
                </c:pt>
                <c:pt idx="1542">
                  <c:v>0.48506758880855078</c:v>
                </c:pt>
                <c:pt idx="1543">
                  <c:v>0.48538195535994971</c:v>
                </c:pt>
                <c:pt idx="1544">
                  <c:v>0.48569632191134865</c:v>
                </c:pt>
                <c:pt idx="1545">
                  <c:v>0.48601068846274759</c:v>
                </c:pt>
                <c:pt idx="1546">
                  <c:v>0.48632505501414647</c:v>
                </c:pt>
                <c:pt idx="1547">
                  <c:v>0.4866394215655454</c:v>
                </c:pt>
                <c:pt idx="1548">
                  <c:v>0.48695378811694434</c:v>
                </c:pt>
                <c:pt idx="1549">
                  <c:v>0.48726815466834328</c:v>
                </c:pt>
                <c:pt idx="1550">
                  <c:v>0.48758252121974222</c:v>
                </c:pt>
                <c:pt idx="1551">
                  <c:v>0.48789688777114115</c:v>
                </c:pt>
                <c:pt idx="1552">
                  <c:v>0.48821125432254009</c:v>
                </c:pt>
                <c:pt idx="1553">
                  <c:v>0.48852562087393903</c:v>
                </c:pt>
                <c:pt idx="1554">
                  <c:v>0.48883998742533796</c:v>
                </c:pt>
                <c:pt idx="1555">
                  <c:v>0.4891543539767369</c:v>
                </c:pt>
                <c:pt idx="1556">
                  <c:v>0.48946872052813578</c:v>
                </c:pt>
                <c:pt idx="1557">
                  <c:v>0.48978308707953472</c:v>
                </c:pt>
                <c:pt idx="1558">
                  <c:v>0.49009745363093365</c:v>
                </c:pt>
                <c:pt idx="1559">
                  <c:v>0.49041182018233259</c:v>
                </c:pt>
                <c:pt idx="1560">
                  <c:v>0.49072618673373153</c:v>
                </c:pt>
                <c:pt idx="1561">
                  <c:v>0.49104055328513047</c:v>
                </c:pt>
                <c:pt idx="1562">
                  <c:v>0.4913549198365294</c:v>
                </c:pt>
                <c:pt idx="1563">
                  <c:v>0.49166928638792834</c:v>
                </c:pt>
                <c:pt idx="1564">
                  <c:v>0.49198365293932728</c:v>
                </c:pt>
                <c:pt idx="1565">
                  <c:v>0.49229801949072621</c:v>
                </c:pt>
                <c:pt idx="1566">
                  <c:v>0.49261238604212509</c:v>
                </c:pt>
                <c:pt idx="1567">
                  <c:v>0.49292675259352403</c:v>
                </c:pt>
                <c:pt idx="1568">
                  <c:v>0.49324111914492297</c:v>
                </c:pt>
                <c:pt idx="1569">
                  <c:v>0.49355548569632191</c:v>
                </c:pt>
                <c:pt idx="1570">
                  <c:v>0.49386985224772084</c:v>
                </c:pt>
                <c:pt idx="1571">
                  <c:v>0.49418421879911978</c:v>
                </c:pt>
                <c:pt idx="1572">
                  <c:v>0.49449858535051872</c:v>
                </c:pt>
                <c:pt idx="1573">
                  <c:v>0.49481295190191765</c:v>
                </c:pt>
                <c:pt idx="1574">
                  <c:v>0.49512731845331659</c:v>
                </c:pt>
                <c:pt idx="1575">
                  <c:v>0.49544168500471547</c:v>
                </c:pt>
                <c:pt idx="1576">
                  <c:v>0.49575605155611441</c:v>
                </c:pt>
                <c:pt idx="1577">
                  <c:v>0.49607041810751334</c:v>
                </c:pt>
                <c:pt idx="1578">
                  <c:v>0.49638478465891228</c:v>
                </c:pt>
                <c:pt idx="1579">
                  <c:v>0.49669915121031122</c:v>
                </c:pt>
                <c:pt idx="1580">
                  <c:v>0.49701351776171016</c:v>
                </c:pt>
                <c:pt idx="1581">
                  <c:v>0.49732788431310909</c:v>
                </c:pt>
                <c:pt idx="1582">
                  <c:v>0.49764225086450803</c:v>
                </c:pt>
                <c:pt idx="1583">
                  <c:v>0.49795661741590697</c:v>
                </c:pt>
                <c:pt idx="1584">
                  <c:v>0.4982709839673059</c:v>
                </c:pt>
                <c:pt idx="1585">
                  <c:v>0.49858535051870478</c:v>
                </c:pt>
                <c:pt idx="1586">
                  <c:v>0.49889971707010372</c:v>
                </c:pt>
                <c:pt idx="1587">
                  <c:v>0.49921408362150266</c:v>
                </c:pt>
                <c:pt idx="1588">
                  <c:v>0.49952845017290159</c:v>
                </c:pt>
                <c:pt idx="1589">
                  <c:v>0.49984281672430053</c:v>
                </c:pt>
                <c:pt idx="1590">
                  <c:v>0.50015718327569947</c:v>
                </c:pt>
                <c:pt idx="1591">
                  <c:v>0.50047154982709841</c:v>
                </c:pt>
                <c:pt idx="1592">
                  <c:v>0.50078591637849734</c:v>
                </c:pt>
                <c:pt idx="1593">
                  <c:v>0.50110028292989628</c:v>
                </c:pt>
                <c:pt idx="1594">
                  <c:v>0.50141464948129522</c:v>
                </c:pt>
                <c:pt idx="1595">
                  <c:v>0.50172901603269415</c:v>
                </c:pt>
                <c:pt idx="1596">
                  <c:v>0.50204338258409309</c:v>
                </c:pt>
                <c:pt idx="1597">
                  <c:v>0.50235774913549203</c:v>
                </c:pt>
                <c:pt idx="1598">
                  <c:v>0.50267211568689096</c:v>
                </c:pt>
                <c:pt idx="1599">
                  <c:v>0.5029864822382899</c:v>
                </c:pt>
                <c:pt idx="1600">
                  <c:v>0.50330084878968873</c:v>
                </c:pt>
                <c:pt idx="1601">
                  <c:v>0.50361521534108766</c:v>
                </c:pt>
                <c:pt idx="1602">
                  <c:v>0.5039295818924866</c:v>
                </c:pt>
                <c:pt idx="1603">
                  <c:v>0.50424394844388554</c:v>
                </c:pt>
                <c:pt idx="1604">
                  <c:v>0.50455831499528447</c:v>
                </c:pt>
                <c:pt idx="1605">
                  <c:v>0.50487268154668341</c:v>
                </c:pt>
                <c:pt idx="1606">
                  <c:v>0.50518704809808235</c:v>
                </c:pt>
                <c:pt idx="1607">
                  <c:v>0.50550141464948128</c:v>
                </c:pt>
                <c:pt idx="1608">
                  <c:v>0.50581578120088022</c:v>
                </c:pt>
                <c:pt idx="1609">
                  <c:v>0.50613014775227916</c:v>
                </c:pt>
                <c:pt idx="1610">
                  <c:v>0.50644451430367809</c:v>
                </c:pt>
                <c:pt idx="1611">
                  <c:v>0.50675888085507703</c:v>
                </c:pt>
                <c:pt idx="1612">
                  <c:v>0.50707324740647597</c:v>
                </c:pt>
                <c:pt idx="1613">
                  <c:v>0.50738761395787491</c:v>
                </c:pt>
                <c:pt idx="1614">
                  <c:v>0.50770198050927384</c:v>
                </c:pt>
                <c:pt idx="1615">
                  <c:v>0.50801634706067278</c:v>
                </c:pt>
                <c:pt idx="1616">
                  <c:v>0.50833071361207172</c:v>
                </c:pt>
                <c:pt idx="1617">
                  <c:v>0.50864508016347065</c:v>
                </c:pt>
                <c:pt idx="1618">
                  <c:v>0.50895944671486959</c:v>
                </c:pt>
                <c:pt idx="1619">
                  <c:v>0.50927381326626842</c:v>
                </c:pt>
                <c:pt idx="1620">
                  <c:v>0.50958817981766735</c:v>
                </c:pt>
                <c:pt idx="1621">
                  <c:v>0.50990254636906629</c:v>
                </c:pt>
                <c:pt idx="1622">
                  <c:v>0.51021691292046523</c:v>
                </c:pt>
                <c:pt idx="1623">
                  <c:v>0.51053127947186416</c:v>
                </c:pt>
                <c:pt idx="1624">
                  <c:v>0.5108456460232631</c:v>
                </c:pt>
                <c:pt idx="1625">
                  <c:v>0.51116001257466204</c:v>
                </c:pt>
                <c:pt idx="1626">
                  <c:v>0.51147437912606097</c:v>
                </c:pt>
                <c:pt idx="1627">
                  <c:v>0.51178874567745991</c:v>
                </c:pt>
                <c:pt idx="1628">
                  <c:v>0.51210311222885885</c:v>
                </c:pt>
                <c:pt idx="1629">
                  <c:v>0.51241747878025778</c:v>
                </c:pt>
                <c:pt idx="1630">
                  <c:v>0.51273184533165672</c:v>
                </c:pt>
                <c:pt idx="1631">
                  <c:v>0.51304621188305566</c:v>
                </c:pt>
                <c:pt idx="1632">
                  <c:v>0.5133605784344546</c:v>
                </c:pt>
                <c:pt idx="1633">
                  <c:v>0.51367494498585353</c:v>
                </c:pt>
                <c:pt idx="1634">
                  <c:v>0.51398931153725247</c:v>
                </c:pt>
                <c:pt idx="1635">
                  <c:v>0.51430367808865141</c:v>
                </c:pt>
                <c:pt idx="1636">
                  <c:v>0.51461804464005034</c:v>
                </c:pt>
                <c:pt idx="1637">
                  <c:v>0.51493241119144928</c:v>
                </c:pt>
                <c:pt idx="1638">
                  <c:v>0.51524677774284811</c:v>
                </c:pt>
                <c:pt idx="1639">
                  <c:v>0.51556114429424704</c:v>
                </c:pt>
                <c:pt idx="1640">
                  <c:v>0.51587551084564598</c:v>
                </c:pt>
                <c:pt idx="1641">
                  <c:v>0.51618987739704492</c:v>
                </c:pt>
                <c:pt idx="1642">
                  <c:v>0.51650424394844385</c:v>
                </c:pt>
                <c:pt idx="1643">
                  <c:v>0.51681861049984279</c:v>
                </c:pt>
                <c:pt idx="1644">
                  <c:v>0.51713297705124173</c:v>
                </c:pt>
                <c:pt idx="1645">
                  <c:v>0.51744734360264066</c:v>
                </c:pt>
                <c:pt idx="1646">
                  <c:v>0.5177617101540396</c:v>
                </c:pt>
                <c:pt idx="1647">
                  <c:v>0.51807607670543854</c:v>
                </c:pt>
                <c:pt idx="1648">
                  <c:v>0.51839044325683747</c:v>
                </c:pt>
                <c:pt idx="1649">
                  <c:v>0.51870480980823641</c:v>
                </c:pt>
                <c:pt idx="1650">
                  <c:v>0.51901917635963535</c:v>
                </c:pt>
                <c:pt idx="1651">
                  <c:v>0.51933354291103428</c:v>
                </c:pt>
                <c:pt idx="1652">
                  <c:v>0.51964790946243322</c:v>
                </c:pt>
                <c:pt idx="1653">
                  <c:v>0.51996227601383216</c:v>
                </c:pt>
                <c:pt idx="1654">
                  <c:v>0.5202766425652311</c:v>
                </c:pt>
                <c:pt idx="1655">
                  <c:v>0.52059100911663003</c:v>
                </c:pt>
                <c:pt idx="1656">
                  <c:v>0.52090537566802897</c:v>
                </c:pt>
                <c:pt idx="1657">
                  <c:v>0.52121974221942791</c:v>
                </c:pt>
                <c:pt idx="1658">
                  <c:v>0.52153410877082673</c:v>
                </c:pt>
                <c:pt idx="1659">
                  <c:v>0.52184847532222567</c:v>
                </c:pt>
                <c:pt idx="1660">
                  <c:v>0.52216284187362461</c:v>
                </c:pt>
                <c:pt idx="1661">
                  <c:v>0.52247720842502354</c:v>
                </c:pt>
                <c:pt idx="1662">
                  <c:v>0.52279157497642248</c:v>
                </c:pt>
                <c:pt idx="1663">
                  <c:v>0.52310594152782142</c:v>
                </c:pt>
                <c:pt idx="1664">
                  <c:v>0.52342030807922035</c:v>
                </c:pt>
                <c:pt idx="1665">
                  <c:v>0.52373467463061929</c:v>
                </c:pt>
                <c:pt idx="1666">
                  <c:v>0.52404904118201823</c:v>
                </c:pt>
                <c:pt idx="1667">
                  <c:v>0.52436340773341716</c:v>
                </c:pt>
                <c:pt idx="1668">
                  <c:v>0.5246777742848161</c:v>
                </c:pt>
                <c:pt idx="1669">
                  <c:v>0.52499214083621504</c:v>
                </c:pt>
                <c:pt idx="1670">
                  <c:v>0.52530650738761397</c:v>
                </c:pt>
                <c:pt idx="1671">
                  <c:v>0.52562087393901291</c:v>
                </c:pt>
                <c:pt idx="1672">
                  <c:v>0.52593524049041185</c:v>
                </c:pt>
                <c:pt idx="1673">
                  <c:v>0.52624960704181079</c:v>
                </c:pt>
                <c:pt idx="1674">
                  <c:v>0.52656397359320972</c:v>
                </c:pt>
                <c:pt idx="1675">
                  <c:v>0.52687834014460866</c:v>
                </c:pt>
                <c:pt idx="1676">
                  <c:v>0.5271927066960076</c:v>
                </c:pt>
                <c:pt idx="1677">
                  <c:v>0.52750707324740642</c:v>
                </c:pt>
                <c:pt idx="1678">
                  <c:v>0.52782143979880536</c:v>
                </c:pt>
                <c:pt idx="1679">
                  <c:v>0.5281358063502043</c:v>
                </c:pt>
                <c:pt idx="1680">
                  <c:v>0.52845017290160323</c:v>
                </c:pt>
                <c:pt idx="1681">
                  <c:v>0.52876453945300217</c:v>
                </c:pt>
                <c:pt idx="1682">
                  <c:v>0.52907890600440111</c:v>
                </c:pt>
                <c:pt idx="1683">
                  <c:v>0.52939327255580004</c:v>
                </c:pt>
                <c:pt idx="1684">
                  <c:v>0.52970763910719898</c:v>
                </c:pt>
                <c:pt idx="1685">
                  <c:v>0.53002200565859792</c:v>
                </c:pt>
                <c:pt idx="1686">
                  <c:v>0.53033637220999685</c:v>
                </c:pt>
                <c:pt idx="1687">
                  <c:v>0.53065073876139579</c:v>
                </c:pt>
                <c:pt idx="1688">
                  <c:v>0.53096510531279473</c:v>
                </c:pt>
                <c:pt idx="1689">
                  <c:v>0.53127947186419366</c:v>
                </c:pt>
                <c:pt idx="1690">
                  <c:v>0.5315938384155926</c:v>
                </c:pt>
                <c:pt idx="1691">
                  <c:v>0.53190820496699154</c:v>
                </c:pt>
                <c:pt idx="1692">
                  <c:v>0.53222257151839047</c:v>
                </c:pt>
                <c:pt idx="1693">
                  <c:v>0.53253693806978941</c:v>
                </c:pt>
                <c:pt idx="1694">
                  <c:v>0.53285130462118835</c:v>
                </c:pt>
                <c:pt idx="1695">
                  <c:v>0.53316567117258729</c:v>
                </c:pt>
                <c:pt idx="1696">
                  <c:v>0.53348003772398622</c:v>
                </c:pt>
                <c:pt idx="1697">
                  <c:v>0.53379440427538505</c:v>
                </c:pt>
                <c:pt idx="1698">
                  <c:v>0.53410877082678399</c:v>
                </c:pt>
                <c:pt idx="1699">
                  <c:v>0.53442313737818292</c:v>
                </c:pt>
                <c:pt idx="1700">
                  <c:v>0.53473750392958186</c:v>
                </c:pt>
                <c:pt idx="1701">
                  <c:v>0.5350518704809808</c:v>
                </c:pt>
                <c:pt idx="1702">
                  <c:v>0.53536623703237973</c:v>
                </c:pt>
                <c:pt idx="1703">
                  <c:v>0.53568060358377867</c:v>
                </c:pt>
                <c:pt idx="1704">
                  <c:v>0.53599497013517761</c:v>
                </c:pt>
                <c:pt idx="1705">
                  <c:v>0.53630933668657654</c:v>
                </c:pt>
                <c:pt idx="1706">
                  <c:v>0.53662370323797548</c:v>
                </c:pt>
                <c:pt idx="1707">
                  <c:v>0.53693806978937442</c:v>
                </c:pt>
                <c:pt idx="1708">
                  <c:v>0.53725243634077335</c:v>
                </c:pt>
                <c:pt idx="1709">
                  <c:v>0.53756680289217229</c:v>
                </c:pt>
                <c:pt idx="1710">
                  <c:v>0.53788116944357123</c:v>
                </c:pt>
                <c:pt idx="1711">
                  <c:v>0.53819553599497016</c:v>
                </c:pt>
                <c:pt idx="1712">
                  <c:v>0.5385099025463691</c:v>
                </c:pt>
                <c:pt idx="1713">
                  <c:v>0.53882426909776804</c:v>
                </c:pt>
                <c:pt idx="1714">
                  <c:v>0.53913863564916698</c:v>
                </c:pt>
                <c:pt idx="1715">
                  <c:v>0.53945300220056591</c:v>
                </c:pt>
                <c:pt idx="1716">
                  <c:v>0.53976736875196474</c:v>
                </c:pt>
                <c:pt idx="1717">
                  <c:v>0.54008173530336367</c:v>
                </c:pt>
                <c:pt idx="1718">
                  <c:v>0.54039610185476261</c:v>
                </c:pt>
                <c:pt idx="1719">
                  <c:v>0.54071046840616155</c:v>
                </c:pt>
                <c:pt idx="1720">
                  <c:v>0.54102483495756049</c:v>
                </c:pt>
                <c:pt idx="1721">
                  <c:v>0.54133920150895942</c:v>
                </c:pt>
                <c:pt idx="1722">
                  <c:v>0.54165356806035836</c:v>
                </c:pt>
                <c:pt idx="1723">
                  <c:v>0.5419679346117573</c:v>
                </c:pt>
                <c:pt idx="1724">
                  <c:v>0.54228230116315623</c:v>
                </c:pt>
                <c:pt idx="1725">
                  <c:v>0.54259666771455517</c:v>
                </c:pt>
                <c:pt idx="1726">
                  <c:v>0.54291103426595411</c:v>
                </c:pt>
                <c:pt idx="1727">
                  <c:v>0.54322540081735304</c:v>
                </c:pt>
                <c:pt idx="1728">
                  <c:v>0.54353976736875198</c:v>
                </c:pt>
                <c:pt idx="1729">
                  <c:v>0.54385413392015092</c:v>
                </c:pt>
                <c:pt idx="1730">
                  <c:v>0.54416850047154985</c:v>
                </c:pt>
                <c:pt idx="1731">
                  <c:v>0.54448286702294879</c:v>
                </c:pt>
                <c:pt idx="1732">
                  <c:v>0.54479723357434773</c:v>
                </c:pt>
                <c:pt idx="1733">
                  <c:v>0.54511160012574666</c:v>
                </c:pt>
                <c:pt idx="1734">
                  <c:v>0.5454259666771456</c:v>
                </c:pt>
                <c:pt idx="1735">
                  <c:v>0.54574033322854443</c:v>
                </c:pt>
                <c:pt idx="1736">
                  <c:v>0.54605469977994336</c:v>
                </c:pt>
                <c:pt idx="1737">
                  <c:v>0.5463690663313423</c:v>
                </c:pt>
                <c:pt idx="1738">
                  <c:v>0.54668343288274124</c:v>
                </c:pt>
                <c:pt idx="1739">
                  <c:v>0.54699779943414018</c:v>
                </c:pt>
                <c:pt idx="1740">
                  <c:v>0.54731216598553911</c:v>
                </c:pt>
                <c:pt idx="1741">
                  <c:v>0.54762653253693805</c:v>
                </c:pt>
                <c:pt idx="1742">
                  <c:v>0.54794089908833699</c:v>
                </c:pt>
                <c:pt idx="1743">
                  <c:v>0.54825526563973592</c:v>
                </c:pt>
                <c:pt idx="1744">
                  <c:v>0.54856963219113486</c:v>
                </c:pt>
                <c:pt idx="1745">
                  <c:v>0.5488839987425338</c:v>
                </c:pt>
                <c:pt idx="1746">
                  <c:v>0.54919836529393273</c:v>
                </c:pt>
                <c:pt idx="1747">
                  <c:v>0.54951273184533167</c:v>
                </c:pt>
                <c:pt idx="1748">
                  <c:v>0.54982709839673061</c:v>
                </c:pt>
                <c:pt idx="1749">
                  <c:v>0.55014146494812954</c:v>
                </c:pt>
                <c:pt idx="1750">
                  <c:v>0.55045583149952848</c:v>
                </c:pt>
                <c:pt idx="1751">
                  <c:v>0.55077019805092742</c:v>
                </c:pt>
                <c:pt idx="1752">
                  <c:v>0.55108456460232635</c:v>
                </c:pt>
                <c:pt idx="1753">
                  <c:v>0.55139893115372529</c:v>
                </c:pt>
                <c:pt idx="1754">
                  <c:v>0.55171329770512423</c:v>
                </c:pt>
                <c:pt idx="1755">
                  <c:v>0.55202766425652305</c:v>
                </c:pt>
                <c:pt idx="1756">
                  <c:v>0.55234203080792199</c:v>
                </c:pt>
                <c:pt idx="1757">
                  <c:v>0.55265639735932093</c:v>
                </c:pt>
                <c:pt idx="1758">
                  <c:v>0.55297076391071986</c:v>
                </c:pt>
                <c:pt idx="1759">
                  <c:v>0.5532851304621188</c:v>
                </c:pt>
                <c:pt idx="1760">
                  <c:v>0.55359949701351774</c:v>
                </c:pt>
                <c:pt idx="1761">
                  <c:v>0.55391386356491668</c:v>
                </c:pt>
                <c:pt idx="1762">
                  <c:v>0.55422823011631561</c:v>
                </c:pt>
                <c:pt idx="1763">
                  <c:v>0.55454259666771455</c:v>
                </c:pt>
                <c:pt idx="1764">
                  <c:v>0.55485696321911349</c:v>
                </c:pt>
                <c:pt idx="1765">
                  <c:v>0.55517132977051242</c:v>
                </c:pt>
                <c:pt idx="1766">
                  <c:v>0.55548569632191136</c:v>
                </c:pt>
                <c:pt idx="1767">
                  <c:v>0.5558000628733103</c:v>
                </c:pt>
                <c:pt idx="1768">
                  <c:v>0.55611442942470923</c:v>
                </c:pt>
                <c:pt idx="1769">
                  <c:v>0.55642879597610817</c:v>
                </c:pt>
                <c:pt idx="1770">
                  <c:v>0.55674316252750711</c:v>
                </c:pt>
                <c:pt idx="1771">
                  <c:v>0.55705752907890604</c:v>
                </c:pt>
                <c:pt idx="1772">
                  <c:v>0.55737189563030498</c:v>
                </c:pt>
                <c:pt idx="1773">
                  <c:v>0.55768626218170392</c:v>
                </c:pt>
                <c:pt idx="1774">
                  <c:v>0.55800062873310274</c:v>
                </c:pt>
                <c:pt idx="1775">
                  <c:v>0.55831499528450168</c:v>
                </c:pt>
                <c:pt idx="1776">
                  <c:v>0.55862936183590062</c:v>
                </c:pt>
                <c:pt idx="1777">
                  <c:v>0.55894372838729955</c:v>
                </c:pt>
                <c:pt idx="1778">
                  <c:v>0.55925809493869849</c:v>
                </c:pt>
                <c:pt idx="1779">
                  <c:v>0.55957246149009743</c:v>
                </c:pt>
                <c:pt idx="1780">
                  <c:v>0.55988682804149636</c:v>
                </c:pt>
                <c:pt idx="1781">
                  <c:v>0.5602011945928953</c:v>
                </c:pt>
                <c:pt idx="1782">
                  <c:v>0.56051556114429424</c:v>
                </c:pt>
                <c:pt idx="1783">
                  <c:v>0.56082992769569318</c:v>
                </c:pt>
                <c:pt idx="1784">
                  <c:v>0.56114429424709211</c:v>
                </c:pt>
                <c:pt idx="1785">
                  <c:v>0.56145866079849105</c:v>
                </c:pt>
                <c:pt idx="1786">
                  <c:v>0.56177302734988999</c:v>
                </c:pt>
                <c:pt idx="1787">
                  <c:v>0.56208739390128892</c:v>
                </c:pt>
                <c:pt idx="1788">
                  <c:v>0.56240176045268786</c:v>
                </c:pt>
                <c:pt idx="1789">
                  <c:v>0.5627161270040868</c:v>
                </c:pt>
                <c:pt idx="1790">
                  <c:v>0.56303049355548573</c:v>
                </c:pt>
                <c:pt idx="1791">
                  <c:v>0.56334486010688467</c:v>
                </c:pt>
                <c:pt idx="1792">
                  <c:v>0.56365922665828361</c:v>
                </c:pt>
                <c:pt idx="1793">
                  <c:v>0.56397359320968254</c:v>
                </c:pt>
                <c:pt idx="1794">
                  <c:v>0.56428795976108137</c:v>
                </c:pt>
                <c:pt idx="1795">
                  <c:v>0.56460232631248031</c:v>
                </c:pt>
                <c:pt idx="1796">
                  <c:v>0.56491669286387924</c:v>
                </c:pt>
                <c:pt idx="1797">
                  <c:v>0.56523105941527818</c:v>
                </c:pt>
                <c:pt idx="1798">
                  <c:v>0.56554542596667712</c:v>
                </c:pt>
                <c:pt idx="1799">
                  <c:v>0.56585979251807605</c:v>
                </c:pt>
                <c:pt idx="1800">
                  <c:v>0.56617415906947499</c:v>
                </c:pt>
                <c:pt idx="1801">
                  <c:v>0.56648852562087393</c:v>
                </c:pt>
                <c:pt idx="1802">
                  <c:v>0.56680289217227287</c:v>
                </c:pt>
                <c:pt idx="1803">
                  <c:v>0.5671172587236718</c:v>
                </c:pt>
                <c:pt idx="1804">
                  <c:v>0.56743162527507074</c:v>
                </c:pt>
                <c:pt idx="1805">
                  <c:v>0.56774599182646968</c:v>
                </c:pt>
                <c:pt idx="1806">
                  <c:v>0.56806035837786861</c:v>
                </c:pt>
                <c:pt idx="1807">
                  <c:v>0.56837472492926755</c:v>
                </c:pt>
                <c:pt idx="1808">
                  <c:v>0.56868909148066649</c:v>
                </c:pt>
                <c:pt idx="1809">
                  <c:v>0.56900345803206542</c:v>
                </c:pt>
                <c:pt idx="1810">
                  <c:v>0.56931782458346436</c:v>
                </c:pt>
                <c:pt idx="1811">
                  <c:v>0.5696321911348633</c:v>
                </c:pt>
                <c:pt idx="1812">
                  <c:v>0.56994655768626223</c:v>
                </c:pt>
                <c:pt idx="1813">
                  <c:v>0.57026092423766106</c:v>
                </c:pt>
                <c:pt idx="1814">
                  <c:v>0.57057529078906</c:v>
                </c:pt>
                <c:pt idx="1815">
                  <c:v>0.57088965734045893</c:v>
                </c:pt>
                <c:pt idx="1816">
                  <c:v>0.57120402389185787</c:v>
                </c:pt>
                <c:pt idx="1817">
                  <c:v>0.57151839044325681</c:v>
                </c:pt>
                <c:pt idx="1818">
                  <c:v>0.57183275699465574</c:v>
                </c:pt>
                <c:pt idx="1819">
                  <c:v>0.57214712354605468</c:v>
                </c:pt>
                <c:pt idx="1820">
                  <c:v>0.57246149009745362</c:v>
                </c:pt>
                <c:pt idx="1821">
                  <c:v>0.57277585664885255</c:v>
                </c:pt>
                <c:pt idx="1822">
                  <c:v>0.57309022320025149</c:v>
                </c:pt>
                <c:pt idx="1823">
                  <c:v>0.57340458975165043</c:v>
                </c:pt>
                <c:pt idx="1824">
                  <c:v>0.57371895630304937</c:v>
                </c:pt>
                <c:pt idx="1825">
                  <c:v>0.5740333228544483</c:v>
                </c:pt>
                <c:pt idx="1826">
                  <c:v>0.57434768940584724</c:v>
                </c:pt>
                <c:pt idx="1827">
                  <c:v>0.57466205595724618</c:v>
                </c:pt>
                <c:pt idx="1828">
                  <c:v>0.57497642250864511</c:v>
                </c:pt>
                <c:pt idx="1829">
                  <c:v>0.57529078906004405</c:v>
                </c:pt>
                <c:pt idx="1830">
                  <c:v>0.57560515561144299</c:v>
                </c:pt>
                <c:pt idx="1831">
                  <c:v>0.57591952216284192</c:v>
                </c:pt>
                <c:pt idx="1832">
                  <c:v>0.57623388871424075</c:v>
                </c:pt>
                <c:pt idx="1833">
                  <c:v>0.57654825526563969</c:v>
                </c:pt>
                <c:pt idx="1834">
                  <c:v>0.57686262181703862</c:v>
                </c:pt>
                <c:pt idx="1835">
                  <c:v>0.57717698836843756</c:v>
                </c:pt>
                <c:pt idx="1836">
                  <c:v>0.5774913549198365</c:v>
                </c:pt>
                <c:pt idx="1837">
                  <c:v>0.57780572147123543</c:v>
                </c:pt>
                <c:pt idx="1838">
                  <c:v>0.57812008802263437</c:v>
                </c:pt>
                <c:pt idx="1839">
                  <c:v>0.57843445457403331</c:v>
                </c:pt>
                <c:pt idx="1840">
                  <c:v>0.57874882112543224</c:v>
                </c:pt>
                <c:pt idx="1841">
                  <c:v>0.57906318767683118</c:v>
                </c:pt>
                <c:pt idx="1842">
                  <c:v>0.57937755422823012</c:v>
                </c:pt>
                <c:pt idx="1843">
                  <c:v>0.57969192077962906</c:v>
                </c:pt>
                <c:pt idx="1844">
                  <c:v>0.58000628733102799</c:v>
                </c:pt>
                <c:pt idx="1845">
                  <c:v>0.58032065388242693</c:v>
                </c:pt>
                <c:pt idx="1846">
                  <c:v>0.58063502043382587</c:v>
                </c:pt>
                <c:pt idx="1847">
                  <c:v>0.5809493869852248</c:v>
                </c:pt>
                <c:pt idx="1848">
                  <c:v>0.58126375353662374</c:v>
                </c:pt>
                <c:pt idx="1849">
                  <c:v>0.58157812008802268</c:v>
                </c:pt>
                <c:pt idx="1850">
                  <c:v>0.58189248663942161</c:v>
                </c:pt>
                <c:pt idx="1851">
                  <c:v>0.58220685319082055</c:v>
                </c:pt>
                <c:pt idx="1852">
                  <c:v>0.58252121974221938</c:v>
                </c:pt>
                <c:pt idx="1853">
                  <c:v>0.58283558629361831</c:v>
                </c:pt>
                <c:pt idx="1854">
                  <c:v>0.58314995284501725</c:v>
                </c:pt>
                <c:pt idx="1855">
                  <c:v>0.58346431939641619</c:v>
                </c:pt>
                <c:pt idx="1856">
                  <c:v>0.58377868594781512</c:v>
                </c:pt>
                <c:pt idx="1857">
                  <c:v>0.58409305249921406</c:v>
                </c:pt>
                <c:pt idx="1858">
                  <c:v>0.584407419050613</c:v>
                </c:pt>
                <c:pt idx="1859">
                  <c:v>0.58472178560201193</c:v>
                </c:pt>
                <c:pt idx="1860">
                  <c:v>0.58503615215341087</c:v>
                </c:pt>
                <c:pt idx="1861">
                  <c:v>0.58535051870480981</c:v>
                </c:pt>
                <c:pt idx="1862">
                  <c:v>0.58566488525620874</c:v>
                </c:pt>
                <c:pt idx="1863">
                  <c:v>0.58597925180760768</c:v>
                </c:pt>
                <c:pt idx="1864">
                  <c:v>0.58629361835900662</c:v>
                </c:pt>
                <c:pt idx="1865">
                  <c:v>0.58660798491040556</c:v>
                </c:pt>
                <c:pt idx="1866">
                  <c:v>0.58692235146180449</c:v>
                </c:pt>
                <c:pt idx="1867">
                  <c:v>0.58723671801320343</c:v>
                </c:pt>
                <c:pt idx="1868">
                  <c:v>0.58755108456460237</c:v>
                </c:pt>
                <c:pt idx="1869">
                  <c:v>0.5878654511160013</c:v>
                </c:pt>
                <c:pt idx="1870">
                  <c:v>0.58817981766740024</c:v>
                </c:pt>
                <c:pt idx="1871">
                  <c:v>0.58849418421879907</c:v>
                </c:pt>
                <c:pt idx="1872">
                  <c:v>0.588808550770198</c:v>
                </c:pt>
                <c:pt idx="1873">
                  <c:v>0.58912291732159694</c:v>
                </c:pt>
                <c:pt idx="1874">
                  <c:v>0.58943728387299588</c:v>
                </c:pt>
                <c:pt idx="1875">
                  <c:v>0.58975165042439481</c:v>
                </c:pt>
                <c:pt idx="1876">
                  <c:v>0.59006601697579375</c:v>
                </c:pt>
                <c:pt idx="1877">
                  <c:v>0.59038038352719269</c:v>
                </c:pt>
                <c:pt idx="1878">
                  <c:v>0.59069475007859162</c:v>
                </c:pt>
                <c:pt idx="1879">
                  <c:v>0.59100911662999056</c:v>
                </c:pt>
                <c:pt idx="1880">
                  <c:v>0.5913234831813895</c:v>
                </c:pt>
                <c:pt idx="1881">
                  <c:v>0.59163784973278843</c:v>
                </c:pt>
                <c:pt idx="1882">
                  <c:v>0.59195221628418737</c:v>
                </c:pt>
                <c:pt idx="1883">
                  <c:v>0.59226658283558631</c:v>
                </c:pt>
                <c:pt idx="1884">
                  <c:v>0.59258094938698525</c:v>
                </c:pt>
                <c:pt idx="1885">
                  <c:v>0.59289531593838418</c:v>
                </c:pt>
                <c:pt idx="1886">
                  <c:v>0.59320968248978312</c:v>
                </c:pt>
                <c:pt idx="1887">
                  <c:v>0.59352404904118206</c:v>
                </c:pt>
                <c:pt idx="1888">
                  <c:v>0.59383841559258099</c:v>
                </c:pt>
                <c:pt idx="1889">
                  <c:v>0.59415278214397993</c:v>
                </c:pt>
                <c:pt idx="1890">
                  <c:v>0.59446714869537887</c:v>
                </c:pt>
                <c:pt idx="1891">
                  <c:v>0.59478151524677769</c:v>
                </c:pt>
                <c:pt idx="1892">
                  <c:v>0.59509588179817663</c:v>
                </c:pt>
                <c:pt idx="1893">
                  <c:v>0.59541024834957557</c:v>
                </c:pt>
                <c:pt idx="1894">
                  <c:v>0.5957246149009745</c:v>
                </c:pt>
                <c:pt idx="1895">
                  <c:v>0.59603898145237344</c:v>
                </c:pt>
                <c:pt idx="1896">
                  <c:v>0.59635334800377238</c:v>
                </c:pt>
                <c:pt idx="1897">
                  <c:v>0.59666771455517131</c:v>
                </c:pt>
                <c:pt idx="1898">
                  <c:v>0.59698208110657025</c:v>
                </c:pt>
                <c:pt idx="1899">
                  <c:v>0.59729644765796919</c:v>
                </c:pt>
                <c:pt idx="1900">
                  <c:v>0.59761081420936812</c:v>
                </c:pt>
                <c:pt idx="1901">
                  <c:v>0.59792518076076706</c:v>
                </c:pt>
                <c:pt idx="1902">
                  <c:v>0.598239547312166</c:v>
                </c:pt>
                <c:pt idx="1903">
                  <c:v>0.59855391386356493</c:v>
                </c:pt>
                <c:pt idx="1904">
                  <c:v>0.59886828041496387</c:v>
                </c:pt>
                <c:pt idx="1905">
                  <c:v>0.59918264696636281</c:v>
                </c:pt>
                <c:pt idx="1906">
                  <c:v>0.59949701351776175</c:v>
                </c:pt>
                <c:pt idx="1907">
                  <c:v>0.59981138006916068</c:v>
                </c:pt>
                <c:pt idx="1908">
                  <c:v>0.60012574662055962</c:v>
                </c:pt>
                <c:pt idx="1909">
                  <c:v>0.60044011317195856</c:v>
                </c:pt>
                <c:pt idx="1910">
                  <c:v>0.60075447972335738</c:v>
                </c:pt>
                <c:pt idx="1911">
                  <c:v>0.60106884627475632</c:v>
                </c:pt>
                <c:pt idx="1912">
                  <c:v>0.60138321282615526</c:v>
                </c:pt>
                <c:pt idx="1913">
                  <c:v>0.60169757937755419</c:v>
                </c:pt>
                <c:pt idx="1914">
                  <c:v>0.60201194592895313</c:v>
                </c:pt>
                <c:pt idx="1915">
                  <c:v>0.60232631248035207</c:v>
                </c:pt>
                <c:pt idx="1916">
                  <c:v>0.602640679031751</c:v>
                </c:pt>
                <c:pt idx="1917">
                  <c:v>0.60295504558314994</c:v>
                </c:pt>
                <c:pt idx="1918">
                  <c:v>0.60326941213454888</c:v>
                </c:pt>
                <c:pt idx="1919">
                  <c:v>0.60358377868594781</c:v>
                </c:pt>
                <c:pt idx="1920">
                  <c:v>0.60389814523734675</c:v>
                </c:pt>
                <c:pt idx="1921">
                  <c:v>0.60421251178874569</c:v>
                </c:pt>
                <c:pt idx="1922">
                  <c:v>0.60452687834014462</c:v>
                </c:pt>
                <c:pt idx="1923">
                  <c:v>0.60484124489154356</c:v>
                </c:pt>
                <c:pt idx="1924">
                  <c:v>0.6051556114429425</c:v>
                </c:pt>
                <c:pt idx="1925">
                  <c:v>0.60546997799434144</c:v>
                </c:pt>
                <c:pt idx="1926">
                  <c:v>0.60578434454574037</c:v>
                </c:pt>
                <c:pt idx="1927">
                  <c:v>0.60609871109713931</c:v>
                </c:pt>
                <c:pt idx="1928">
                  <c:v>0.60641307764853825</c:v>
                </c:pt>
                <c:pt idx="1929">
                  <c:v>0.60672744419993707</c:v>
                </c:pt>
                <c:pt idx="1930">
                  <c:v>0.60704181075133601</c:v>
                </c:pt>
                <c:pt idx="1931">
                  <c:v>0.60735617730273495</c:v>
                </c:pt>
                <c:pt idx="1932">
                  <c:v>0.60767054385413388</c:v>
                </c:pt>
                <c:pt idx="1933">
                  <c:v>0.60798491040553282</c:v>
                </c:pt>
                <c:pt idx="1934">
                  <c:v>0.60829927695693176</c:v>
                </c:pt>
                <c:pt idx="1935">
                  <c:v>0.60861364350833069</c:v>
                </c:pt>
                <c:pt idx="1936">
                  <c:v>0.60892801005972963</c:v>
                </c:pt>
                <c:pt idx="1937">
                  <c:v>0.60924237661112857</c:v>
                </c:pt>
                <c:pt idx="1938">
                  <c:v>0.6095567431625275</c:v>
                </c:pt>
                <c:pt idx="1939">
                  <c:v>0.60987110971392644</c:v>
                </c:pt>
                <c:pt idx="1940">
                  <c:v>0.61018547626532538</c:v>
                </c:pt>
                <c:pt idx="1941">
                  <c:v>0.61049984281672431</c:v>
                </c:pt>
                <c:pt idx="1942">
                  <c:v>0.61081420936812325</c:v>
                </c:pt>
                <c:pt idx="1943">
                  <c:v>0.61112857591952219</c:v>
                </c:pt>
                <c:pt idx="1944">
                  <c:v>0.61144294247092112</c:v>
                </c:pt>
                <c:pt idx="1945">
                  <c:v>0.61175730902232006</c:v>
                </c:pt>
                <c:pt idx="1946">
                  <c:v>0.612071675573719</c:v>
                </c:pt>
                <c:pt idx="1947">
                  <c:v>0.61238604212511794</c:v>
                </c:pt>
                <c:pt idx="1948">
                  <c:v>0.61270040867651687</c:v>
                </c:pt>
                <c:pt idx="1949">
                  <c:v>0.6130147752279157</c:v>
                </c:pt>
                <c:pt idx="1950">
                  <c:v>0.61332914177931463</c:v>
                </c:pt>
                <c:pt idx="1951">
                  <c:v>0.61364350833071357</c:v>
                </c:pt>
                <c:pt idx="1952">
                  <c:v>0.61395787488211251</c:v>
                </c:pt>
                <c:pt idx="1953">
                  <c:v>0.61427224143351145</c:v>
                </c:pt>
                <c:pt idx="1954">
                  <c:v>0.61458660798491038</c:v>
                </c:pt>
                <c:pt idx="1955">
                  <c:v>0.61490097453630932</c:v>
                </c:pt>
                <c:pt idx="1956">
                  <c:v>0.61521534108770826</c:v>
                </c:pt>
                <c:pt idx="1957">
                  <c:v>0.61552970763910719</c:v>
                </c:pt>
                <c:pt idx="1958">
                  <c:v>0.61584407419050613</c:v>
                </c:pt>
                <c:pt idx="1959">
                  <c:v>0.61615844074190507</c:v>
                </c:pt>
                <c:pt idx="1960">
                  <c:v>0.616472807293304</c:v>
                </c:pt>
                <c:pt idx="1961">
                  <c:v>0.61678717384470294</c:v>
                </c:pt>
                <c:pt idx="1962">
                  <c:v>0.61710154039610188</c:v>
                </c:pt>
                <c:pt idx="1963">
                  <c:v>0.61741590694750081</c:v>
                </c:pt>
                <c:pt idx="1964">
                  <c:v>0.61773027349889975</c:v>
                </c:pt>
                <c:pt idx="1965">
                  <c:v>0.61804464005029869</c:v>
                </c:pt>
                <c:pt idx="1966">
                  <c:v>0.61835900660169762</c:v>
                </c:pt>
                <c:pt idx="1967">
                  <c:v>0.61867337315309656</c:v>
                </c:pt>
                <c:pt idx="1968">
                  <c:v>0.61898773970449539</c:v>
                </c:pt>
                <c:pt idx="1969">
                  <c:v>0.61930210625589432</c:v>
                </c:pt>
                <c:pt idx="1970">
                  <c:v>0.61961647280729326</c:v>
                </c:pt>
                <c:pt idx="1971">
                  <c:v>0.6199308393586922</c:v>
                </c:pt>
                <c:pt idx="1972">
                  <c:v>0.62024520591009114</c:v>
                </c:pt>
                <c:pt idx="1973">
                  <c:v>0.62055957246149007</c:v>
                </c:pt>
                <c:pt idx="1974">
                  <c:v>0.62087393901288901</c:v>
                </c:pt>
                <c:pt idx="1975">
                  <c:v>0.62118830556428795</c:v>
                </c:pt>
                <c:pt idx="1976">
                  <c:v>0.62150267211568688</c:v>
                </c:pt>
                <c:pt idx="1977">
                  <c:v>0.62181703866708582</c:v>
                </c:pt>
                <c:pt idx="1978">
                  <c:v>0.62213140521848476</c:v>
                </c:pt>
                <c:pt idx="1979">
                  <c:v>0.62244577176988369</c:v>
                </c:pt>
                <c:pt idx="1980">
                  <c:v>0.62276013832128263</c:v>
                </c:pt>
                <c:pt idx="1981">
                  <c:v>0.62307450487268157</c:v>
                </c:pt>
                <c:pt idx="1982">
                  <c:v>0.6233888714240805</c:v>
                </c:pt>
                <c:pt idx="1983">
                  <c:v>0.62370323797547944</c:v>
                </c:pt>
                <c:pt idx="1984">
                  <c:v>0.62401760452687838</c:v>
                </c:pt>
                <c:pt idx="1985">
                  <c:v>0.62433197107827731</c:v>
                </c:pt>
                <c:pt idx="1986">
                  <c:v>0.62464633762967625</c:v>
                </c:pt>
                <c:pt idx="1987">
                  <c:v>0.62496070418107519</c:v>
                </c:pt>
                <c:pt idx="1988">
                  <c:v>0.62527507073247401</c:v>
                </c:pt>
                <c:pt idx="1989">
                  <c:v>0.62558943728387295</c:v>
                </c:pt>
                <c:pt idx="1990">
                  <c:v>0.62590380383527189</c:v>
                </c:pt>
                <c:pt idx="1991">
                  <c:v>0.62621817038667082</c:v>
                </c:pt>
                <c:pt idx="1992">
                  <c:v>0.62653253693806976</c:v>
                </c:pt>
                <c:pt idx="1993">
                  <c:v>0.6268469034894687</c:v>
                </c:pt>
                <c:pt idx="1994">
                  <c:v>0.62716127004086764</c:v>
                </c:pt>
                <c:pt idx="1995">
                  <c:v>0.62747563659226657</c:v>
                </c:pt>
                <c:pt idx="1996">
                  <c:v>0.62779000314366551</c:v>
                </c:pt>
                <c:pt idx="1997">
                  <c:v>0.62810436969506445</c:v>
                </c:pt>
                <c:pt idx="1998">
                  <c:v>0.62841873624646338</c:v>
                </c:pt>
                <c:pt idx="1999">
                  <c:v>0.62873310279786232</c:v>
                </c:pt>
                <c:pt idx="2000">
                  <c:v>0.62904746934926126</c:v>
                </c:pt>
                <c:pt idx="2001">
                  <c:v>0.62936183590066019</c:v>
                </c:pt>
                <c:pt idx="2002">
                  <c:v>0.62967620245205913</c:v>
                </c:pt>
                <c:pt idx="2003">
                  <c:v>0.62999056900345807</c:v>
                </c:pt>
                <c:pt idx="2004">
                  <c:v>0.630304935554857</c:v>
                </c:pt>
                <c:pt idx="2005">
                  <c:v>0.63061930210625594</c:v>
                </c:pt>
                <c:pt idx="2006">
                  <c:v>0.63093366865765488</c:v>
                </c:pt>
                <c:pt idx="2007">
                  <c:v>0.6312480352090537</c:v>
                </c:pt>
                <c:pt idx="2008">
                  <c:v>0.63156240176045264</c:v>
                </c:pt>
                <c:pt idx="2009">
                  <c:v>0.63187676831185158</c:v>
                </c:pt>
                <c:pt idx="2010">
                  <c:v>0.63219113486325051</c:v>
                </c:pt>
                <c:pt idx="2011">
                  <c:v>0.63250550141464945</c:v>
                </c:pt>
                <c:pt idx="2012">
                  <c:v>0.63281986796604839</c:v>
                </c:pt>
                <c:pt idx="2013">
                  <c:v>0.63313423451744733</c:v>
                </c:pt>
                <c:pt idx="2014">
                  <c:v>0.63344860106884626</c:v>
                </c:pt>
                <c:pt idx="2015">
                  <c:v>0.6337629676202452</c:v>
                </c:pt>
                <c:pt idx="2016">
                  <c:v>0.63407733417164414</c:v>
                </c:pt>
                <c:pt idx="2017">
                  <c:v>0.63439170072304307</c:v>
                </c:pt>
                <c:pt idx="2018">
                  <c:v>0.63470606727444201</c:v>
                </c:pt>
                <c:pt idx="2019">
                  <c:v>0.63502043382584095</c:v>
                </c:pt>
                <c:pt idx="2020">
                  <c:v>0.63533480037723988</c:v>
                </c:pt>
                <c:pt idx="2021">
                  <c:v>0.63564916692863882</c:v>
                </c:pt>
                <c:pt idx="2022">
                  <c:v>0.63596353348003776</c:v>
                </c:pt>
                <c:pt idx="2023">
                  <c:v>0.63627790003143669</c:v>
                </c:pt>
                <c:pt idx="2024">
                  <c:v>0.63659226658283563</c:v>
                </c:pt>
                <c:pt idx="2025">
                  <c:v>0.63690663313423457</c:v>
                </c:pt>
                <c:pt idx="2026">
                  <c:v>0.63722099968563339</c:v>
                </c:pt>
                <c:pt idx="2027">
                  <c:v>0.63753536623703233</c:v>
                </c:pt>
                <c:pt idx="2028">
                  <c:v>0.63784973278843127</c:v>
                </c:pt>
                <c:pt idx="2029">
                  <c:v>0.6381640993398302</c:v>
                </c:pt>
                <c:pt idx="2030">
                  <c:v>0.63847846589122914</c:v>
                </c:pt>
                <c:pt idx="2031">
                  <c:v>0.63879283244262808</c:v>
                </c:pt>
                <c:pt idx="2032">
                  <c:v>0.63910719899402701</c:v>
                </c:pt>
                <c:pt idx="2033">
                  <c:v>0.63942156554542595</c:v>
                </c:pt>
                <c:pt idx="2034">
                  <c:v>0.63973593209682489</c:v>
                </c:pt>
                <c:pt idx="2035">
                  <c:v>0.64005029864822383</c:v>
                </c:pt>
                <c:pt idx="2036">
                  <c:v>0.64036466519962276</c:v>
                </c:pt>
                <c:pt idx="2037">
                  <c:v>0.6406790317510217</c:v>
                </c:pt>
                <c:pt idx="2038">
                  <c:v>0.64099339830242064</c:v>
                </c:pt>
                <c:pt idx="2039">
                  <c:v>0.64130776485381957</c:v>
                </c:pt>
                <c:pt idx="2040">
                  <c:v>0.64162213140521851</c:v>
                </c:pt>
                <c:pt idx="2041">
                  <c:v>0.64193649795661745</c:v>
                </c:pt>
                <c:pt idx="2042">
                  <c:v>0.64225086450801638</c:v>
                </c:pt>
                <c:pt idx="2043">
                  <c:v>0.64256523105941532</c:v>
                </c:pt>
                <c:pt idx="2044">
                  <c:v>0.64287959761081426</c:v>
                </c:pt>
                <c:pt idx="2045">
                  <c:v>0.64319396416221319</c:v>
                </c:pt>
                <c:pt idx="2046">
                  <c:v>0.64350833071361202</c:v>
                </c:pt>
                <c:pt idx="2047">
                  <c:v>0.64382269726501096</c:v>
                </c:pt>
                <c:pt idx="2048">
                  <c:v>0.64413706381640989</c:v>
                </c:pt>
                <c:pt idx="2049">
                  <c:v>0.64445143036780883</c:v>
                </c:pt>
                <c:pt idx="2050">
                  <c:v>0.64476579691920777</c:v>
                </c:pt>
                <c:pt idx="2051">
                  <c:v>0.6450801634706067</c:v>
                </c:pt>
                <c:pt idx="2052">
                  <c:v>0.64539453002200564</c:v>
                </c:pt>
                <c:pt idx="2053">
                  <c:v>0.64570889657340458</c:v>
                </c:pt>
                <c:pt idx="2054">
                  <c:v>0.64602326312480352</c:v>
                </c:pt>
                <c:pt idx="2055">
                  <c:v>0.64633762967620245</c:v>
                </c:pt>
                <c:pt idx="2056">
                  <c:v>0.64665199622760139</c:v>
                </c:pt>
                <c:pt idx="2057">
                  <c:v>0.64696636277900033</c:v>
                </c:pt>
                <c:pt idx="2058">
                  <c:v>0.64728072933039926</c:v>
                </c:pt>
                <c:pt idx="2059">
                  <c:v>0.6475950958817982</c:v>
                </c:pt>
                <c:pt idx="2060">
                  <c:v>0.64790946243319714</c:v>
                </c:pt>
                <c:pt idx="2061">
                  <c:v>0.64822382898459607</c:v>
                </c:pt>
                <c:pt idx="2062">
                  <c:v>0.64853819553599501</c:v>
                </c:pt>
                <c:pt idx="2063">
                  <c:v>0.64885256208739395</c:v>
                </c:pt>
                <c:pt idx="2064">
                  <c:v>0.64916692863879288</c:v>
                </c:pt>
                <c:pt idx="2065">
                  <c:v>0.64948129519019171</c:v>
                </c:pt>
                <c:pt idx="2066">
                  <c:v>0.64979566174159065</c:v>
                </c:pt>
                <c:pt idx="2067">
                  <c:v>0.65011002829298958</c:v>
                </c:pt>
                <c:pt idx="2068">
                  <c:v>0.65042439484438852</c:v>
                </c:pt>
                <c:pt idx="2069">
                  <c:v>0.65073876139578746</c:v>
                </c:pt>
                <c:pt idx="2070">
                  <c:v>0.65105312794718639</c:v>
                </c:pt>
                <c:pt idx="2071">
                  <c:v>0.65136749449858533</c:v>
                </c:pt>
                <c:pt idx="2072">
                  <c:v>0.65168186104998427</c:v>
                </c:pt>
                <c:pt idx="2073">
                  <c:v>0.6519962276013832</c:v>
                </c:pt>
                <c:pt idx="2074">
                  <c:v>0.65231059415278214</c:v>
                </c:pt>
                <c:pt idx="2075">
                  <c:v>0.65262496070418108</c:v>
                </c:pt>
                <c:pt idx="2076">
                  <c:v>0.65293932725558002</c:v>
                </c:pt>
                <c:pt idx="2077">
                  <c:v>0.65325369380697895</c:v>
                </c:pt>
                <c:pt idx="2078">
                  <c:v>0.65356806035837789</c:v>
                </c:pt>
                <c:pt idx="2079">
                  <c:v>0.65388242690977683</c:v>
                </c:pt>
                <c:pt idx="2080">
                  <c:v>0.65419679346117576</c:v>
                </c:pt>
                <c:pt idx="2081">
                  <c:v>0.6545111600125747</c:v>
                </c:pt>
                <c:pt idx="2082">
                  <c:v>0.65482552656397364</c:v>
                </c:pt>
                <c:pt idx="2083">
                  <c:v>0.65513989311537257</c:v>
                </c:pt>
                <c:pt idx="2084">
                  <c:v>0.65545425966677151</c:v>
                </c:pt>
                <c:pt idx="2085">
                  <c:v>0.65576862621817034</c:v>
                </c:pt>
                <c:pt idx="2086">
                  <c:v>0.65608299276956927</c:v>
                </c:pt>
                <c:pt idx="2087">
                  <c:v>0.65639735932096821</c:v>
                </c:pt>
                <c:pt idx="2088">
                  <c:v>0.65671172587236715</c:v>
                </c:pt>
                <c:pt idx="2089">
                  <c:v>0.65702609242376608</c:v>
                </c:pt>
                <c:pt idx="2090">
                  <c:v>0.65734045897516502</c:v>
                </c:pt>
                <c:pt idx="2091">
                  <c:v>0.65765482552656396</c:v>
                </c:pt>
                <c:pt idx="2092">
                  <c:v>0.65796919207796289</c:v>
                </c:pt>
                <c:pt idx="2093">
                  <c:v>0.65828355862936183</c:v>
                </c:pt>
                <c:pt idx="2094">
                  <c:v>0.65859792518076077</c:v>
                </c:pt>
                <c:pt idx="2095">
                  <c:v>0.65891229173215971</c:v>
                </c:pt>
                <c:pt idx="2096">
                  <c:v>0.65922665828355864</c:v>
                </c:pt>
                <c:pt idx="2097">
                  <c:v>0.65954102483495758</c:v>
                </c:pt>
                <c:pt idx="2098">
                  <c:v>0.65985539138635652</c:v>
                </c:pt>
                <c:pt idx="2099">
                  <c:v>0.66016975793775545</c:v>
                </c:pt>
                <c:pt idx="2100">
                  <c:v>0.66048412448915439</c:v>
                </c:pt>
                <c:pt idx="2101">
                  <c:v>0.66079849104055333</c:v>
                </c:pt>
                <c:pt idx="2102">
                  <c:v>0.66111285759195226</c:v>
                </c:pt>
                <c:pt idx="2103">
                  <c:v>0.6614272241433512</c:v>
                </c:pt>
                <c:pt idx="2104">
                  <c:v>0.66174159069475003</c:v>
                </c:pt>
                <c:pt idx="2105">
                  <c:v>0.66205595724614896</c:v>
                </c:pt>
                <c:pt idx="2106">
                  <c:v>0.6623703237975479</c:v>
                </c:pt>
                <c:pt idx="2107">
                  <c:v>0.66268469034894684</c:v>
                </c:pt>
                <c:pt idx="2108">
                  <c:v>0.66299905690034577</c:v>
                </c:pt>
                <c:pt idx="2109">
                  <c:v>0.66331342345174471</c:v>
                </c:pt>
                <c:pt idx="2110">
                  <c:v>0.66362779000314365</c:v>
                </c:pt>
                <c:pt idx="2111">
                  <c:v>0.66394215655454258</c:v>
                </c:pt>
                <c:pt idx="2112">
                  <c:v>0.66425652310594152</c:v>
                </c:pt>
                <c:pt idx="2113">
                  <c:v>0.66457088965734046</c:v>
                </c:pt>
                <c:pt idx="2114">
                  <c:v>0.66488525620873939</c:v>
                </c:pt>
                <c:pt idx="2115">
                  <c:v>0.66519962276013833</c:v>
                </c:pt>
                <c:pt idx="2116">
                  <c:v>0.66551398931153727</c:v>
                </c:pt>
                <c:pt idx="2117">
                  <c:v>0.66582835586293621</c:v>
                </c:pt>
                <c:pt idx="2118">
                  <c:v>0.66614272241433514</c:v>
                </c:pt>
                <c:pt idx="2119">
                  <c:v>0.66645708896573408</c:v>
                </c:pt>
                <c:pt idx="2120">
                  <c:v>0.66677145551713302</c:v>
                </c:pt>
                <c:pt idx="2121">
                  <c:v>0.66708582206853195</c:v>
                </c:pt>
                <c:pt idx="2122">
                  <c:v>0.66740018861993089</c:v>
                </c:pt>
                <c:pt idx="2123">
                  <c:v>0.66771455517132972</c:v>
                </c:pt>
                <c:pt idx="2124">
                  <c:v>0.66802892172272865</c:v>
                </c:pt>
                <c:pt idx="2125">
                  <c:v>0.66834328827412759</c:v>
                </c:pt>
                <c:pt idx="2126">
                  <c:v>0.66865765482552653</c:v>
                </c:pt>
                <c:pt idx="2127">
                  <c:v>0.66897202137692546</c:v>
                </c:pt>
                <c:pt idx="2128">
                  <c:v>0.6692863879283244</c:v>
                </c:pt>
                <c:pt idx="2129">
                  <c:v>0.66960075447972334</c:v>
                </c:pt>
                <c:pt idx="2130">
                  <c:v>0.66991512103112227</c:v>
                </c:pt>
                <c:pt idx="2131">
                  <c:v>0.67022948758252121</c:v>
                </c:pt>
                <c:pt idx="2132">
                  <c:v>0.67054385413392015</c:v>
                </c:pt>
                <c:pt idx="2133">
                  <c:v>0.67085822068531908</c:v>
                </c:pt>
                <c:pt idx="2134">
                  <c:v>0.67117258723671802</c:v>
                </c:pt>
                <c:pt idx="2135">
                  <c:v>0.67148695378811696</c:v>
                </c:pt>
                <c:pt idx="2136">
                  <c:v>0.67180132033951589</c:v>
                </c:pt>
                <c:pt idx="2137">
                  <c:v>0.67211568689091483</c:v>
                </c:pt>
                <c:pt idx="2138">
                  <c:v>0.67243005344231377</c:v>
                </c:pt>
                <c:pt idx="2139">
                  <c:v>0.67274441999371271</c:v>
                </c:pt>
                <c:pt idx="2140">
                  <c:v>0.67305878654511164</c:v>
                </c:pt>
                <c:pt idx="2141">
                  <c:v>0.67337315309651058</c:v>
                </c:pt>
                <c:pt idx="2142">
                  <c:v>0.67368751964790952</c:v>
                </c:pt>
                <c:pt idx="2143">
                  <c:v>0.67400188619930834</c:v>
                </c:pt>
                <c:pt idx="2144">
                  <c:v>0.67431625275070728</c:v>
                </c:pt>
                <c:pt idx="2145">
                  <c:v>0.67463061930210622</c:v>
                </c:pt>
                <c:pt idx="2146">
                  <c:v>0.67494498585350515</c:v>
                </c:pt>
                <c:pt idx="2147">
                  <c:v>0.67525935240490409</c:v>
                </c:pt>
                <c:pt idx="2148">
                  <c:v>0.67557371895630303</c:v>
                </c:pt>
                <c:pt idx="2149">
                  <c:v>0.67588808550770196</c:v>
                </c:pt>
                <c:pt idx="2150">
                  <c:v>0.6762024520591009</c:v>
                </c:pt>
                <c:pt idx="2151">
                  <c:v>0.67651681861049984</c:v>
                </c:pt>
                <c:pt idx="2152">
                  <c:v>0.67683118516189877</c:v>
                </c:pt>
                <c:pt idx="2153">
                  <c:v>0.67714555171329771</c:v>
                </c:pt>
                <c:pt idx="2154">
                  <c:v>0.67745991826469665</c:v>
                </c:pt>
                <c:pt idx="2155">
                  <c:v>0.67777428481609558</c:v>
                </c:pt>
                <c:pt idx="2156">
                  <c:v>0.67808865136749452</c:v>
                </c:pt>
                <c:pt idx="2157">
                  <c:v>0.67840301791889346</c:v>
                </c:pt>
                <c:pt idx="2158">
                  <c:v>0.6787173844702924</c:v>
                </c:pt>
                <c:pt idx="2159">
                  <c:v>0.67903175102169133</c:v>
                </c:pt>
                <c:pt idx="2160">
                  <c:v>0.67934611757309027</c:v>
                </c:pt>
                <c:pt idx="2161">
                  <c:v>0.67966048412448921</c:v>
                </c:pt>
                <c:pt idx="2162">
                  <c:v>0.67997485067588803</c:v>
                </c:pt>
                <c:pt idx="2163">
                  <c:v>0.68028921722728697</c:v>
                </c:pt>
                <c:pt idx="2164">
                  <c:v>0.68060358377868591</c:v>
                </c:pt>
                <c:pt idx="2165">
                  <c:v>0.68091795033008484</c:v>
                </c:pt>
                <c:pt idx="2166">
                  <c:v>0.68123231688148378</c:v>
                </c:pt>
                <c:pt idx="2167">
                  <c:v>0.68154668343288272</c:v>
                </c:pt>
                <c:pt idx="2168">
                  <c:v>0.68186104998428165</c:v>
                </c:pt>
                <c:pt idx="2169">
                  <c:v>0.68217541653568059</c:v>
                </c:pt>
                <c:pt idx="2170">
                  <c:v>0.68248978308707953</c:v>
                </c:pt>
                <c:pt idx="2171">
                  <c:v>0.68280414963847846</c:v>
                </c:pt>
                <c:pt idx="2172">
                  <c:v>0.6831185161898774</c:v>
                </c:pt>
                <c:pt idx="2173">
                  <c:v>0.68343288274127634</c:v>
                </c:pt>
                <c:pt idx="2174">
                  <c:v>0.68374724929267527</c:v>
                </c:pt>
                <c:pt idx="2175">
                  <c:v>0.68406161584407421</c:v>
                </c:pt>
                <c:pt idx="2176">
                  <c:v>0.68437598239547315</c:v>
                </c:pt>
                <c:pt idx="2177">
                  <c:v>0.68469034894687208</c:v>
                </c:pt>
                <c:pt idx="2178">
                  <c:v>0.68500471549827102</c:v>
                </c:pt>
                <c:pt idx="2179">
                  <c:v>0.68531908204966996</c:v>
                </c:pt>
                <c:pt idx="2180">
                  <c:v>0.6856334486010689</c:v>
                </c:pt>
                <c:pt idx="2181">
                  <c:v>0.68594781515246783</c:v>
                </c:pt>
                <c:pt idx="2182">
                  <c:v>0.68626218170386666</c:v>
                </c:pt>
                <c:pt idx="2183">
                  <c:v>0.6865765482552656</c:v>
                </c:pt>
                <c:pt idx="2184">
                  <c:v>0.68689091480666453</c:v>
                </c:pt>
                <c:pt idx="2185">
                  <c:v>0.68720528135806347</c:v>
                </c:pt>
                <c:pt idx="2186">
                  <c:v>0.68751964790946241</c:v>
                </c:pt>
                <c:pt idx="2187">
                  <c:v>0.68783401446086134</c:v>
                </c:pt>
                <c:pt idx="2188">
                  <c:v>0.68814838101226028</c:v>
                </c:pt>
                <c:pt idx="2189">
                  <c:v>0.68846274756365922</c:v>
                </c:pt>
                <c:pt idx="2190">
                  <c:v>0.68877711411505815</c:v>
                </c:pt>
                <c:pt idx="2191">
                  <c:v>0.68909148066645709</c:v>
                </c:pt>
                <c:pt idx="2192">
                  <c:v>0.68940584721785603</c:v>
                </c:pt>
                <c:pt idx="2193">
                  <c:v>0.68972021376925496</c:v>
                </c:pt>
                <c:pt idx="2194">
                  <c:v>0.6900345803206539</c:v>
                </c:pt>
                <c:pt idx="2195">
                  <c:v>0.69034894687205284</c:v>
                </c:pt>
                <c:pt idx="2196">
                  <c:v>0.69066331342345177</c:v>
                </c:pt>
                <c:pt idx="2197">
                  <c:v>0.69097767997485071</c:v>
                </c:pt>
                <c:pt idx="2198">
                  <c:v>0.69129204652624965</c:v>
                </c:pt>
                <c:pt idx="2199">
                  <c:v>0.69160641307764859</c:v>
                </c:pt>
                <c:pt idx="2200">
                  <c:v>0.69192077962904752</c:v>
                </c:pt>
                <c:pt idx="2201">
                  <c:v>0.69223514618044635</c:v>
                </c:pt>
                <c:pt idx="2202">
                  <c:v>0.69254951273184528</c:v>
                </c:pt>
                <c:pt idx="2203">
                  <c:v>0.69286387928324422</c:v>
                </c:pt>
                <c:pt idx="2204">
                  <c:v>0.69317824583464316</c:v>
                </c:pt>
                <c:pt idx="2205">
                  <c:v>0.6934926123860421</c:v>
                </c:pt>
                <c:pt idx="2206">
                  <c:v>0.69380697893744103</c:v>
                </c:pt>
                <c:pt idx="2207">
                  <c:v>0.69412134548883997</c:v>
                </c:pt>
                <c:pt idx="2208">
                  <c:v>0.69443571204023891</c:v>
                </c:pt>
                <c:pt idx="2209">
                  <c:v>0.69475007859163784</c:v>
                </c:pt>
                <c:pt idx="2210">
                  <c:v>0.69506444514303678</c:v>
                </c:pt>
                <c:pt idx="2211">
                  <c:v>0.69537881169443572</c:v>
                </c:pt>
                <c:pt idx="2212">
                  <c:v>0.69569317824583465</c:v>
                </c:pt>
                <c:pt idx="2213">
                  <c:v>0.69600754479723359</c:v>
                </c:pt>
                <c:pt idx="2214">
                  <c:v>0.69632191134863253</c:v>
                </c:pt>
                <c:pt idx="2215">
                  <c:v>0.69663627790003146</c:v>
                </c:pt>
                <c:pt idx="2216">
                  <c:v>0.6969506444514304</c:v>
                </c:pt>
                <c:pt idx="2217">
                  <c:v>0.69726501100282934</c:v>
                </c:pt>
                <c:pt idx="2218">
                  <c:v>0.69757937755422827</c:v>
                </c:pt>
                <c:pt idx="2219">
                  <c:v>0.69789374410562721</c:v>
                </c:pt>
                <c:pt idx="2220">
                  <c:v>0.69820811065702604</c:v>
                </c:pt>
                <c:pt idx="2221">
                  <c:v>0.69852247720842497</c:v>
                </c:pt>
                <c:pt idx="2222">
                  <c:v>0.69883684375982391</c:v>
                </c:pt>
                <c:pt idx="2223">
                  <c:v>0.69915121031122285</c:v>
                </c:pt>
                <c:pt idx="2224">
                  <c:v>0.69946557686262179</c:v>
                </c:pt>
                <c:pt idx="2225">
                  <c:v>0.69977994341402072</c:v>
                </c:pt>
                <c:pt idx="2226">
                  <c:v>0.70009430996541966</c:v>
                </c:pt>
                <c:pt idx="2227">
                  <c:v>0.7004086765168186</c:v>
                </c:pt>
                <c:pt idx="2228">
                  <c:v>0.70072304306821753</c:v>
                </c:pt>
                <c:pt idx="2229">
                  <c:v>0.70103740961961647</c:v>
                </c:pt>
                <c:pt idx="2230">
                  <c:v>0.70135177617101541</c:v>
                </c:pt>
                <c:pt idx="2231">
                  <c:v>0.70166614272241434</c:v>
                </c:pt>
                <c:pt idx="2232">
                  <c:v>0.70198050927381328</c:v>
                </c:pt>
                <c:pt idx="2233">
                  <c:v>0.70229487582521222</c:v>
                </c:pt>
                <c:pt idx="2234">
                  <c:v>0.70260924237661115</c:v>
                </c:pt>
                <c:pt idx="2235">
                  <c:v>0.70292360892801009</c:v>
                </c:pt>
                <c:pt idx="2236">
                  <c:v>0.70323797547940903</c:v>
                </c:pt>
                <c:pt idx="2237">
                  <c:v>0.70355234203080796</c:v>
                </c:pt>
                <c:pt idx="2238">
                  <c:v>0.7038667085822069</c:v>
                </c:pt>
                <c:pt idx="2239">
                  <c:v>0.70418107513360584</c:v>
                </c:pt>
                <c:pt idx="2240">
                  <c:v>0.70449544168500466</c:v>
                </c:pt>
                <c:pt idx="2241">
                  <c:v>0.7048098082364036</c:v>
                </c:pt>
                <c:pt idx="2242">
                  <c:v>0.70512417478780254</c:v>
                </c:pt>
                <c:pt idx="2243">
                  <c:v>0.70543854133920147</c:v>
                </c:pt>
                <c:pt idx="2244">
                  <c:v>0.70575290789060041</c:v>
                </c:pt>
                <c:pt idx="2245">
                  <c:v>0.70606727444199935</c:v>
                </c:pt>
                <c:pt idx="2246">
                  <c:v>0.70638164099339829</c:v>
                </c:pt>
                <c:pt idx="2247">
                  <c:v>0.70669600754479722</c:v>
                </c:pt>
                <c:pt idx="2248">
                  <c:v>0.70701037409619616</c:v>
                </c:pt>
                <c:pt idx="2249">
                  <c:v>0.7073247406475951</c:v>
                </c:pt>
                <c:pt idx="2250">
                  <c:v>0.70763910719899403</c:v>
                </c:pt>
                <c:pt idx="2251">
                  <c:v>0.70795347375039297</c:v>
                </c:pt>
                <c:pt idx="2252">
                  <c:v>0.70826784030179191</c:v>
                </c:pt>
                <c:pt idx="2253">
                  <c:v>0.70858220685319084</c:v>
                </c:pt>
                <c:pt idx="2254">
                  <c:v>0.70889657340458978</c:v>
                </c:pt>
                <c:pt idx="2255">
                  <c:v>0.70921093995598872</c:v>
                </c:pt>
                <c:pt idx="2256">
                  <c:v>0.70952530650738765</c:v>
                </c:pt>
                <c:pt idx="2257">
                  <c:v>0.70983967305878659</c:v>
                </c:pt>
                <c:pt idx="2258">
                  <c:v>0.71015403961018553</c:v>
                </c:pt>
                <c:pt idx="2259">
                  <c:v>0.71046840616158435</c:v>
                </c:pt>
                <c:pt idx="2260">
                  <c:v>0.71078277271298329</c:v>
                </c:pt>
                <c:pt idx="2261">
                  <c:v>0.71109713926438223</c:v>
                </c:pt>
                <c:pt idx="2262">
                  <c:v>0.71141150581578116</c:v>
                </c:pt>
                <c:pt idx="2263">
                  <c:v>0.7117258723671801</c:v>
                </c:pt>
                <c:pt idx="2264">
                  <c:v>0.71204023891857904</c:v>
                </c:pt>
                <c:pt idx="2265">
                  <c:v>0.71235460546997798</c:v>
                </c:pt>
                <c:pt idx="2266">
                  <c:v>0.71266897202137691</c:v>
                </c:pt>
                <c:pt idx="2267">
                  <c:v>0.71298333857277585</c:v>
                </c:pt>
                <c:pt idx="2268">
                  <c:v>0.71329770512417479</c:v>
                </c:pt>
                <c:pt idx="2269">
                  <c:v>0.71361207167557372</c:v>
                </c:pt>
                <c:pt idx="2270">
                  <c:v>0.71392643822697266</c:v>
                </c:pt>
                <c:pt idx="2271">
                  <c:v>0.7142408047783716</c:v>
                </c:pt>
                <c:pt idx="2272">
                  <c:v>0.71455517132977053</c:v>
                </c:pt>
                <c:pt idx="2273">
                  <c:v>0.71486953788116947</c:v>
                </c:pt>
                <c:pt idx="2274">
                  <c:v>0.71518390443256841</c:v>
                </c:pt>
                <c:pt idx="2275">
                  <c:v>0.71549827098396734</c:v>
                </c:pt>
                <c:pt idx="2276">
                  <c:v>0.71581263753536628</c:v>
                </c:pt>
                <c:pt idx="2277">
                  <c:v>0.71612700408676522</c:v>
                </c:pt>
                <c:pt idx="2278">
                  <c:v>0.71644137063816415</c:v>
                </c:pt>
                <c:pt idx="2279">
                  <c:v>0.71675573718956298</c:v>
                </c:pt>
                <c:pt idx="2280">
                  <c:v>0.71707010374096192</c:v>
                </c:pt>
                <c:pt idx="2281">
                  <c:v>0.71738447029236085</c:v>
                </c:pt>
                <c:pt idx="2282">
                  <c:v>0.71769883684375979</c:v>
                </c:pt>
                <c:pt idx="2283">
                  <c:v>0.71801320339515873</c:v>
                </c:pt>
                <c:pt idx="2284">
                  <c:v>0.71832756994655766</c:v>
                </c:pt>
                <c:pt idx="2285">
                  <c:v>0.7186419364979566</c:v>
                </c:pt>
                <c:pt idx="2286">
                  <c:v>0.71895630304935554</c:v>
                </c:pt>
                <c:pt idx="2287">
                  <c:v>0.71927066960075448</c:v>
                </c:pt>
                <c:pt idx="2288">
                  <c:v>0.71958503615215341</c:v>
                </c:pt>
                <c:pt idx="2289">
                  <c:v>0.71989940270355235</c:v>
                </c:pt>
                <c:pt idx="2290">
                  <c:v>0.72021376925495129</c:v>
                </c:pt>
                <c:pt idx="2291">
                  <c:v>0.72052813580635022</c:v>
                </c:pt>
                <c:pt idx="2292">
                  <c:v>0.72084250235774916</c:v>
                </c:pt>
                <c:pt idx="2293">
                  <c:v>0.7211568689091481</c:v>
                </c:pt>
                <c:pt idx="2294">
                  <c:v>0.72147123546054703</c:v>
                </c:pt>
                <c:pt idx="2295">
                  <c:v>0.72178560201194597</c:v>
                </c:pt>
                <c:pt idx="2296">
                  <c:v>0.72209996856334491</c:v>
                </c:pt>
                <c:pt idx="2297">
                  <c:v>0.72241433511474384</c:v>
                </c:pt>
                <c:pt idx="2298">
                  <c:v>0.72272870166614267</c:v>
                </c:pt>
                <c:pt idx="2299">
                  <c:v>0.72304306821754161</c:v>
                </c:pt>
                <c:pt idx="2300">
                  <c:v>0.72335743476894054</c:v>
                </c:pt>
                <c:pt idx="2301">
                  <c:v>0.72367180132033948</c:v>
                </c:pt>
                <c:pt idx="2302">
                  <c:v>0.72398616787173842</c:v>
                </c:pt>
                <c:pt idx="2303">
                  <c:v>0.72430053442313735</c:v>
                </c:pt>
                <c:pt idx="2304">
                  <c:v>0.72461490097453629</c:v>
                </c:pt>
                <c:pt idx="2305">
                  <c:v>0.72492926752593523</c:v>
                </c:pt>
                <c:pt idx="2306">
                  <c:v>0.72524363407733416</c:v>
                </c:pt>
                <c:pt idx="2307">
                  <c:v>0.7255580006287331</c:v>
                </c:pt>
                <c:pt idx="2308">
                  <c:v>0.72587236718013204</c:v>
                </c:pt>
                <c:pt idx="2309">
                  <c:v>0.72618673373153098</c:v>
                </c:pt>
                <c:pt idx="2310">
                  <c:v>0.72650110028292991</c:v>
                </c:pt>
                <c:pt idx="2311">
                  <c:v>0.72681546683432885</c:v>
                </c:pt>
                <c:pt idx="2312">
                  <c:v>0.72712983338572779</c:v>
                </c:pt>
                <c:pt idx="2313">
                  <c:v>0.72744419993712672</c:v>
                </c:pt>
                <c:pt idx="2314">
                  <c:v>0.72775856648852566</c:v>
                </c:pt>
                <c:pt idx="2315">
                  <c:v>0.7280729330399246</c:v>
                </c:pt>
                <c:pt idx="2316">
                  <c:v>0.72838729959132353</c:v>
                </c:pt>
                <c:pt idx="2317">
                  <c:v>0.72870166614272236</c:v>
                </c:pt>
                <c:pt idx="2318">
                  <c:v>0.7290160326941213</c:v>
                </c:pt>
                <c:pt idx="2319">
                  <c:v>0.72933039924552023</c:v>
                </c:pt>
                <c:pt idx="2320">
                  <c:v>0.72964476579691917</c:v>
                </c:pt>
                <c:pt idx="2321">
                  <c:v>0.72995913234831811</c:v>
                </c:pt>
                <c:pt idx="2322">
                  <c:v>0.73027349889971704</c:v>
                </c:pt>
                <c:pt idx="2323">
                  <c:v>0.73058786545111598</c:v>
                </c:pt>
                <c:pt idx="2324">
                  <c:v>0.73090223200251492</c:v>
                </c:pt>
                <c:pt idx="2325">
                  <c:v>0.73121659855391385</c:v>
                </c:pt>
                <c:pt idx="2326">
                  <c:v>0.73153096510531279</c:v>
                </c:pt>
                <c:pt idx="2327">
                  <c:v>0.73184533165671173</c:v>
                </c:pt>
                <c:pt idx="2328">
                  <c:v>0.73215969820811067</c:v>
                </c:pt>
                <c:pt idx="2329">
                  <c:v>0.7324740647595096</c:v>
                </c:pt>
                <c:pt idx="2330">
                  <c:v>0.73278843131090854</c:v>
                </c:pt>
                <c:pt idx="2331">
                  <c:v>0.73310279786230748</c:v>
                </c:pt>
                <c:pt idx="2332">
                  <c:v>0.73341716441370641</c:v>
                </c:pt>
                <c:pt idx="2333">
                  <c:v>0.73373153096510535</c:v>
                </c:pt>
                <c:pt idx="2334">
                  <c:v>0.73404589751650429</c:v>
                </c:pt>
                <c:pt idx="2335">
                  <c:v>0.73436026406790322</c:v>
                </c:pt>
                <c:pt idx="2336">
                  <c:v>0.73467463061930216</c:v>
                </c:pt>
                <c:pt idx="2337">
                  <c:v>0.73498899717070099</c:v>
                </c:pt>
                <c:pt idx="2338">
                  <c:v>0.73530336372209992</c:v>
                </c:pt>
                <c:pt idx="2339">
                  <c:v>0.73561773027349886</c:v>
                </c:pt>
                <c:pt idx="2340">
                  <c:v>0.7359320968248978</c:v>
                </c:pt>
                <c:pt idx="2341">
                  <c:v>0.73624646337629673</c:v>
                </c:pt>
                <c:pt idx="2342">
                  <c:v>0.73656082992769567</c:v>
                </c:pt>
                <c:pt idx="2343">
                  <c:v>0.73687519647909461</c:v>
                </c:pt>
                <c:pt idx="2344">
                  <c:v>0.73718956303049354</c:v>
                </c:pt>
                <c:pt idx="2345">
                  <c:v>0.73750392958189248</c:v>
                </c:pt>
                <c:pt idx="2346">
                  <c:v>0.73781829613329142</c:v>
                </c:pt>
                <c:pt idx="2347">
                  <c:v>0.73813266268469035</c:v>
                </c:pt>
                <c:pt idx="2348">
                  <c:v>0.73844702923608929</c:v>
                </c:pt>
                <c:pt idx="2349">
                  <c:v>0.73876139578748823</c:v>
                </c:pt>
                <c:pt idx="2350">
                  <c:v>0.73907576233888717</c:v>
                </c:pt>
                <c:pt idx="2351">
                  <c:v>0.7393901288902861</c:v>
                </c:pt>
                <c:pt idx="2352">
                  <c:v>0.73970449544168504</c:v>
                </c:pt>
                <c:pt idx="2353">
                  <c:v>0.74001886199308398</c:v>
                </c:pt>
                <c:pt idx="2354">
                  <c:v>0.74033322854448291</c:v>
                </c:pt>
                <c:pt idx="2355">
                  <c:v>0.74064759509588185</c:v>
                </c:pt>
                <c:pt idx="2356">
                  <c:v>0.74096196164728068</c:v>
                </c:pt>
                <c:pt idx="2357">
                  <c:v>0.74127632819867961</c:v>
                </c:pt>
                <c:pt idx="2358">
                  <c:v>0.74159069475007855</c:v>
                </c:pt>
                <c:pt idx="2359">
                  <c:v>0.74190506130147749</c:v>
                </c:pt>
                <c:pt idx="2360">
                  <c:v>0.74221942785287642</c:v>
                </c:pt>
                <c:pt idx="2361">
                  <c:v>0.74253379440427536</c:v>
                </c:pt>
                <c:pt idx="2362">
                  <c:v>0.7428481609556743</c:v>
                </c:pt>
                <c:pt idx="2363">
                  <c:v>0.74316252750707323</c:v>
                </c:pt>
                <c:pt idx="2364">
                  <c:v>0.74347689405847217</c:v>
                </c:pt>
                <c:pt idx="2365">
                  <c:v>0.74379126060987111</c:v>
                </c:pt>
                <c:pt idx="2366">
                  <c:v>0.74410562716127004</c:v>
                </c:pt>
                <c:pt idx="2367">
                  <c:v>0.74441999371266898</c:v>
                </c:pt>
                <c:pt idx="2368">
                  <c:v>0.74473436026406792</c:v>
                </c:pt>
                <c:pt idx="2369">
                  <c:v>0.74504872681546686</c:v>
                </c:pt>
                <c:pt idx="2370">
                  <c:v>0.74536309336686579</c:v>
                </c:pt>
                <c:pt idx="2371">
                  <c:v>0.74567745991826473</c:v>
                </c:pt>
                <c:pt idx="2372">
                  <c:v>0.74599182646966367</c:v>
                </c:pt>
                <c:pt idx="2373">
                  <c:v>0.7463061930210626</c:v>
                </c:pt>
                <c:pt idx="2374">
                  <c:v>0.74662055957246154</c:v>
                </c:pt>
                <c:pt idx="2375">
                  <c:v>0.74693492612386048</c:v>
                </c:pt>
                <c:pt idx="2376">
                  <c:v>0.7472492926752593</c:v>
                </c:pt>
                <c:pt idx="2377">
                  <c:v>0.74756365922665824</c:v>
                </c:pt>
                <c:pt idx="2378">
                  <c:v>0.74787802577805718</c:v>
                </c:pt>
                <c:pt idx="2379">
                  <c:v>0.74819239232945611</c:v>
                </c:pt>
                <c:pt idx="2380">
                  <c:v>0.74850675888085505</c:v>
                </c:pt>
                <c:pt idx="2381">
                  <c:v>0.74882112543225399</c:v>
                </c:pt>
                <c:pt idx="2382">
                  <c:v>0.74913549198365292</c:v>
                </c:pt>
                <c:pt idx="2383">
                  <c:v>0.74944985853505186</c:v>
                </c:pt>
                <c:pt idx="2384">
                  <c:v>0.7497642250864508</c:v>
                </c:pt>
                <c:pt idx="2385">
                  <c:v>0.75007859163784973</c:v>
                </c:pt>
                <c:pt idx="2386">
                  <c:v>0.75039295818924867</c:v>
                </c:pt>
                <c:pt idx="2387">
                  <c:v>0.75070732474064761</c:v>
                </c:pt>
                <c:pt idx="2388">
                  <c:v>0.75102169129204654</c:v>
                </c:pt>
                <c:pt idx="2389">
                  <c:v>0.75133605784344548</c:v>
                </c:pt>
                <c:pt idx="2390">
                  <c:v>0.75165042439484442</c:v>
                </c:pt>
                <c:pt idx="2391">
                  <c:v>0.75196479094624336</c:v>
                </c:pt>
                <c:pt idx="2392">
                  <c:v>0.75227915749764229</c:v>
                </c:pt>
                <c:pt idx="2393">
                  <c:v>0.75259352404904123</c:v>
                </c:pt>
                <c:pt idx="2394">
                  <c:v>0.75290789060044017</c:v>
                </c:pt>
                <c:pt idx="2395">
                  <c:v>0.75322225715183899</c:v>
                </c:pt>
                <c:pt idx="2396">
                  <c:v>0.75353662370323793</c:v>
                </c:pt>
                <c:pt idx="2397">
                  <c:v>0.75385099025463687</c:v>
                </c:pt>
                <c:pt idx="2398">
                  <c:v>0.7541653568060358</c:v>
                </c:pt>
                <c:pt idx="2399">
                  <c:v>0.75447972335743474</c:v>
                </c:pt>
                <c:pt idx="2400">
                  <c:v>0.75479408990883368</c:v>
                </c:pt>
                <c:pt idx="2401">
                  <c:v>0.75510845646023261</c:v>
                </c:pt>
                <c:pt idx="2402">
                  <c:v>0.75542282301163155</c:v>
                </c:pt>
                <c:pt idx="2403">
                  <c:v>0.75573718956303049</c:v>
                </c:pt>
                <c:pt idx="2404">
                  <c:v>0.75605155611442942</c:v>
                </c:pt>
                <c:pt idx="2405">
                  <c:v>0.75636592266582836</c:v>
                </c:pt>
                <c:pt idx="2406">
                  <c:v>0.7566802892172273</c:v>
                </c:pt>
                <c:pt idx="2407">
                  <c:v>0.75699465576862623</c:v>
                </c:pt>
                <c:pt idx="2408">
                  <c:v>0.75730902232002517</c:v>
                </c:pt>
                <c:pt idx="2409">
                  <c:v>0.75762338887142411</c:v>
                </c:pt>
                <c:pt idx="2410">
                  <c:v>0.75793775542282305</c:v>
                </c:pt>
                <c:pt idx="2411">
                  <c:v>0.75825212197422198</c:v>
                </c:pt>
                <c:pt idx="2412">
                  <c:v>0.75856648852562092</c:v>
                </c:pt>
                <c:pt idx="2413">
                  <c:v>0.75888085507701986</c:v>
                </c:pt>
                <c:pt idx="2414">
                  <c:v>0.75919522162841868</c:v>
                </c:pt>
                <c:pt idx="2415">
                  <c:v>0.75950958817981762</c:v>
                </c:pt>
                <c:pt idx="2416">
                  <c:v>0.75982395473121656</c:v>
                </c:pt>
                <c:pt idx="2417">
                  <c:v>0.76013832128261549</c:v>
                </c:pt>
                <c:pt idx="2418">
                  <c:v>0.76045268783401443</c:v>
                </c:pt>
                <c:pt idx="2419">
                  <c:v>0.76076705438541337</c:v>
                </c:pt>
                <c:pt idx="2420">
                  <c:v>0.7610814209368123</c:v>
                </c:pt>
                <c:pt idx="2421">
                  <c:v>0.76139578748821124</c:v>
                </c:pt>
                <c:pt idx="2422">
                  <c:v>0.76171015403961018</c:v>
                </c:pt>
                <c:pt idx="2423">
                  <c:v>0.76202452059100911</c:v>
                </c:pt>
                <c:pt idx="2424">
                  <c:v>0.76233888714240805</c:v>
                </c:pt>
                <c:pt idx="2425">
                  <c:v>0.76265325369380699</c:v>
                </c:pt>
                <c:pt idx="2426">
                  <c:v>0.76296762024520592</c:v>
                </c:pt>
                <c:pt idx="2427">
                  <c:v>0.76328198679660486</c:v>
                </c:pt>
                <c:pt idx="2428">
                  <c:v>0.7635963533480038</c:v>
                </c:pt>
                <c:pt idx="2429">
                  <c:v>0.76391071989940273</c:v>
                </c:pt>
                <c:pt idx="2430">
                  <c:v>0.76422508645080167</c:v>
                </c:pt>
                <c:pt idx="2431">
                  <c:v>0.76453945300220061</c:v>
                </c:pt>
                <c:pt idx="2432">
                  <c:v>0.76485381955359955</c:v>
                </c:pt>
                <c:pt idx="2433">
                  <c:v>0.76516818610499848</c:v>
                </c:pt>
                <c:pt idx="2434">
                  <c:v>0.76548255265639731</c:v>
                </c:pt>
                <c:pt idx="2435">
                  <c:v>0.76579691920779625</c:v>
                </c:pt>
                <c:pt idx="2436">
                  <c:v>0.76611128575919518</c:v>
                </c:pt>
                <c:pt idx="2437">
                  <c:v>0.76642565231059412</c:v>
                </c:pt>
                <c:pt idx="2438">
                  <c:v>0.76674001886199306</c:v>
                </c:pt>
                <c:pt idx="2439">
                  <c:v>0.76705438541339199</c:v>
                </c:pt>
                <c:pt idx="2440">
                  <c:v>0.76736875196479093</c:v>
                </c:pt>
                <c:pt idx="2441">
                  <c:v>0.76768311851618987</c:v>
                </c:pt>
                <c:pt idx="2442">
                  <c:v>0.7679974850675888</c:v>
                </c:pt>
                <c:pt idx="2443">
                  <c:v>0.76831185161898774</c:v>
                </c:pt>
                <c:pt idx="2444">
                  <c:v>0.76862621817038668</c:v>
                </c:pt>
                <c:pt idx="2445">
                  <c:v>0.76894058472178561</c:v>
                </c:pt>
                <c:pt idx="2446">
                  <c:v>0.76925495127318455</c:v>
                </c:pt>
                <c:pt idx="2447">
                  <c:v>0.76956931782458349</c:v>
                </c:pt>
                <c:pt idx="2448">
                  <c:v>0.76988368437598242</c:v>
                </c:pt>
                <c:pt idx="2449">
                  <c:v>0.77019805092738136</c:v>
                </c:pt>
                <c:pt idx="2450">
                  <c:v>0.7705124174787803</c:v>
                </c:pt>
                <c:pt idx="2451">
                  <c:v>0.77082678403017924</c:v>
                </c:pt>
                <c:pt idx="2452">
                  <c:v>0.77114115058157817</c:v>
                </c:pt>
                <c:pt idx="2453">
                  <c:v>0.771455517132977</c:v>
                </c:pt>
                <c:pt idx="2454">
                  <c:v>0.77176988368437593</c:v>
                </c:pt>
                <c:pt idx="2455">
                  <c:v>0.77208425023577487</c:v>
                </c:pt>
                <c:pt idx="2456">
                  <c:v>0.77239861678717381</c:v>
                </c:pt>
                <c:pt idx="2457">
                  <c:v>0.77271298333857275</c:v>
                </c:pt>
                <c:pt idx="2458">
                  <c:v>0.77302734988997168</c:v>
                </c:pt>
                <c:pt idx="2459">
                  <c:v>0.77334171644137062</c:v>
                </c:pt>
                <c:pt idx="2460">
                  <c:v>0.77365608299276956</c:v>
                </c:pt>
                <c:pt idx="2461">
                  <c:v>0.77397044954416849</c:v>
                </c:pt>
                <c:pt idx="2462">
                  <c:v>0.77428481609556743</c:v>
                </c:pt>
                <c:pt idx="2463">
                  <c:v>0.77459918264696637</c:v>
                </c:pt>
                <c:pt idx="2464">
                  <c:v>0.7749135491983653</c:v>
                </c:pt>
                <c:pt idx="2465">
                  <c:v>0.77522791574976424</c:v>
                </c:pt>
                <c:pt idx="2466">
                  <c:v>0.77554228230116318</c:v>
                </c:pt>
                <c:pt idx="2467">
                  <c:v>0.77585664885256211</c:v>
                </c:pt>
                <c:pt idx="2468">
                  <c:v>0.77617101540396105</c:v>
                </c:pt>
                <c:pt idx="2469">
                  <c:v>0.77648538195535999</c:v>
                </c:pt>
                <c:pt idx="2470">
                  <c:v>0.77679974850675892</c:v>
                </c:pt>
                <c:pt idx="2471">
                  <c:v>0.77711411505815786</c:v>
                </c:pt>
                <c:pt idx="2472">
                  <c:v>0.7774284816095568</c:v>
                </c:pt>
                <c:pt idx="2473">
                  <c:v>0.77774284816095562</c:v>
                </c:pt>
                <c:pt idx="2474">
                  <c:v>0.77805721471235456</c:v>
                </c:pt>
                <c:pt idx="2475">
                  <c:v>0.7783715812637535</c:v>
                </c:pt>
                <c:pt idx="2476">
                  <c:v>0.77868594781515243</c:v>
                </c:pt>
                <c:pt idx="2477">
                  <c:v>0.77900031436655137</c:v>
                </c:pt>
                <c:pt idx="2478">
                  <c:v>0.77931468091795031</c:v>
                </c:pt>
                <c:pt idx="2479">
                  <c:v>0.77962904746934925</c:v>
                </c:pt>
                <c:pt idx="2480">
                  <c:v>0.77994341402074818</c:v>
                </c:pt>
                <c:pt idx="2481">
                  <c:v>0.78025778057214712</c:v>
                </c:pt>
                <c:pt idx="2482">
                  <c:v>0.78057214712354606</c:v>
                </c:pt>
                <c:pt idx="2483">
                  <c:v>0.78088651367494499</c:v>
                </c:pt>
                <c:pt idx="2484">
                  <c:v>0.78120088022634393</c:v>
                </c:pt>
                <c:pt idx="2485">
                  <c:v>0.78151524677774287</c:v>
                </c:pt>
                <c:pt idx="2486">
                  <c:v>0.7818296133291418</c:v>
                </c:pt>
                <c:pt idx="2487">
                  <c:v>0.78214397988054074</c:v>
                </c:pt>
                <c:pt idx="2488">
                  <c:v>0.78245834643193968</c:v>
                </c:pt>
                <c:pt idx="2489">
                  <c:v>0.78277271298333861</c:v>
                </c:pt>
                <c:pt idx="2490">
                  <c:v>0.78308707953473755</c:v>
                </c:pt>
                <c:pt idx="2491">
                  <c:v>0.78340144608613649</c:v>
                </c:pt>
                <c:pt idx="2492">
                  <c:v>0.78371581263753531</c:v>
                </c:pt>
                <c:pt idx="2493">
                  <c:v>0.78403017918893425</c:v>
                </c:pt>
                <c:pt idx="2494">
                  <c:v>0.78434454574033319</c:v>
                </c:pt>
                <c:pt idx="2495">
                  <c:v>0.78465891229173212</c:v>
                </c:pt>
                <c:pt idx="2496">
                  <c:v>0.78497327884313106</c:v>
                </c:pt>
                <c:pt idx="2497">
                  <c:v>0.78528764539453</c:v>
                </c:pt>
                <c:pt idx="2498">
                  <c:v>0.78560201194592894</c:v>
                </c:pt>
                <c:pt idx="2499">
                  <c:v>0.78591637849732787</c:v>
                </c:pt>
                <c:pt idx="2500">
                  <c:v>0.78623074504872681</c:v>
                </c:pt>
                <c:pt idx="2501">
                  <c:v>0.78654511160012575</c:v>
                </c:pt>
                <c:pt idx="2502">
                  <c:v>0.78685947815152468</c:v>
                </c:pt>
                <c:pt idx="2503">
                  <c:v>0.78717384470292362</c:v>
                </c:pt>
                <c:pt idx="2504">
                  <c:v>0.78748821125432256</c:v>
                </c:pt>
                <c:pt idx="2505">
                  <c:v>0.78780257780572149</c:v>
                </c:pt>
                <c:pt idx="2506">
                  <c:v>0.78811694435712043</c:v>
                </c:pt>
                <c:pt idx="2507">
                  <c:v>0.78843131090851937</c:v>
                </c:pt>
                <c:pt idx="2508">
                  <c:v>0.7887456774599183</c:v>
                </c:pt>
                <c:pt idx="2509">
                  <c:v>0.78906004401131724</c:v>
                </c:pt>
                <c:pt idx="2510">
                  <c:v>0.78937441056271618</c:v>
                </c:pt>
                <c:pt idx="2511">
                  <c:v>0.789688777114115</c:v>
                </c:pt>
                <c:pt idx="2512">
                  <c:v>0.79000314366551394</c:v>
                </c:pt>
                <c:pt idx="2513">
                  <c:v>0.79031751021691288</c:v>
                </c:pt>
                <c:pt idx="2514">
                  <c:v>0.79063187676831181</c:v>
                </c:pt>
                <c:pt idx="2515">
                  <c:v>0.79094624331971075</c:v>
                </c:pt>
                <c:pt idx="2516">
                  <c:v>0.79126060987110969</c:v>
                </c:pt>
                <c:pt idx="2517">
                  <c:v>0.79157497642250862</c:v>
                </c:pt>
                <c:pt idx="2518">
                  <c:v>0.79188934297390756</c:v>
                </c:pt>
                <c:pt idx="2519">
                  <c:v>0.7922037095253065</c:v>
                </c:pt>
                <c:pt idx="2520">
                  <c:v>0.79251807607670544</c:v>
                </c:pt>
                <c:pt idx="2521">
                  <c:v>0.79283244262810437</c:v>
                </c:pt>
                <c:pt idx="2522">
                  <c:v>0.79314680917950331</c:v>
                </c:pt>
                <c:pt idx="2523">
                  <c:v>0.79346117573090225</c:v>
                </c:pt>
                <c:pt idx="2524">
                  <c:v>0.79377554228230118</c:v>
                </c:pt>
                <c:pt idx="2525">
                  <c:v>0.79408990883370012</c:v>
                </c:pt>
                <c:pt idx="2526">
                  <c:v>0.79440427538509906</c:v>
                </c:pt>
                <c:pt idx="2527">
                  <c:v>0.79471864193649799</c:v>
                </c:pt>
                <c:pt idx="2528">
                  <c:v>0.79503300848789693</c:v>
                </c:pt>
                <c:pt idx="2529">
                  <c:v>0.79534737503929587</c:v>
                </c:pt>
                <c:pt idx="2530">
                  <c:v>0.7956617415906948</c:v>
                </c:pt>
                <c:pt idx="2531">
                  <c:v>0.79597610814209363</c:v>
                </c:pt>
                <c:pt idx="2532">
                  <c:v>0.79629047469349257</c:v>
                </c:pt>
                <c:pt idx="2533">
                  <c:v>0.7966048412448915</c:v>
                </c:pt>
                <c:pt idx="2534">
                  <c:v>0.79691920779629044</c:v>
                </c:pt>
                <c:pt idx="2535">
                  <c:v>0.79723357434768938</c:v>
                </c:pt>
                <c:pt idx="2536">
                  <c:v>0.79754794089908831</c:v>
                </c:pt>
                <c:pt idx="2537">
                  <c:v>0.79786230745048725</c:v>
                </c:pt>
                <c:pt idx="2538">
                  <c:v>0.79817667400188619</c:v>
                </c:pt>
                <c:pt idx="2539">
                  <c:v>0.79849104055328513</c:v>
                </c:pt>
                <c:pt idx="2540">
                  <c:v>0.79880540710468406</c:v>
                </c:pt>
                <c:pt idx="2541">
                  <c:v>0.799119773656083</c:v>
                </c:pt>
                <c:pt idx="2542">
                  <c:v>0.79943414020748194</c:v>
                </c:pt>
                <c:pt idx="2543">
                  <c:v>0.79974850675888087</c:v>
                </c:pt>
                <c:pt idx="2544">
                  <c:v>0.80006287331027981</c:v>
                </c:pt>
                <c:pt idx="2545">
                  <c:v>0.80037723986167875</c:v>
                </c:pt>
                <c:pt idx="2546">
                  <c:v>0.80069160641307768</c:v>
                </c:pt>
                <c:pt idx="2547">
                  <c:v>0.80100597296447662</c:v>
                </c:pt>
                <c:pt idx="2548">
                  <c:v>0.80132033951587556</c:v>
                </c:pt>
                <c:pt idx="2549">
                  <c:v>0.80163470606727449</c:v>
                </c:pt>
                <c:pt idx="2550">
                  <c:v>0.80194907261867332</c:v>
                </c:pt>
                <c:pt idx="2551">
                  <c:v>0.80226343917007226</c:v>
                </c:pt>
                <c:pt idx="2552">
                  <c:v>0.80257780572147119</c:v>
                </c:pt>
                <c:pt idx="2553">
                  <c:v>0.80289217227287013</c:v>
                </c:pt>
                <c:pt idx="2554">
                  <c:v>0.80320653882426907</c:v>
                </c:pt>
                <c:pt idx="2555">
                  <c:v>0.803520905375668</c:v>
                </c:pt>
                <c:pt idx="2556">
                  <c:v>0.80383527192706694</c:v>
                </c:pt>
                <c:pt idx="2557">
                  <c:v>0.80414963847846588</c:v>
                </c:pt>
                <c:pt idx="2558">
                  <c:v>0.80446400502986481</c:v>
                </c:pt>
                <c:pt idx="2559">
                  <c:v>0.80477837158126375</c:v>
                </c:pt>
                <c:pt idx="2560">
                  <c:v>0.80509273813266269</c:v>
                </c:pt>
                <c:pt idx="2561">
                  <c:v>0.80540710468406163</c:v>
                </c:pt>
                <c:pt idx="2562">
                  <c:v>0.80572147123546056</c:v>
                </c:pt>
                <c:pt idx="2563">
                  <c:v>0.8060358377868595</c:v>
                </c:pt>
                <c:pt idx="2564">
                  <c:v>0.80635020433825844</c:v>
                </c:pt>
                <c:pt idx="2565">
                  <c:v>0.80666457088965737</c:v>
                </c:pt>
                <c:pt idx="2566">
                  <c:v>0.80697893744105631</c:v>
                </c:pt>
                <c:pt idx="2567">
                  <c:v>0.80729330399245525</c:v>
                </c:pt>
                <c:pt idx="2568">
                  <c:v>0.80760767054385418</c:v>
                </c:pt>
                <c:pt idx="2569">
                  <c:v>0.80792203709525312</c:v>
                </c:pt>
                <c:pt idx="2570">
                  <c:v>0.80823640364665195</c:v>
                </c:pt>
                <c:pt idx="2571">
                  <c:v>0.80855077019805088</c:v>
                </c:pt>
                <c:pt idx="2572">
                  <c:v>0.80886513674944982</c:v>
                </c:pt>
                <c:pt idx="2573">
                  <c:v>0.80917950330084876</c:v>
                </c:pt>
                <c:pt idx="2574">
                  <c:v>0.80949386985224769</c:v>
                </c:pt>
                <c:pt idx="2575">
                  <c:v>0.80980823640364663</c:v>
                </c:pt>
                <c:pt idx="2576">
                  <c:v>0.81012260295504557</c:v>
                </c:pt>
                <c:pt idx="2577">
                  <c:v>0.8104369695064445</c:v>
                </c:pt>
                <c:pt idx="2578">
                  <c:v>0.81075133605784344</c:v>
                </c:pt>
                <c:pt idx="2579">
                  <c:v>0.81106570260924238</c:v>
                </c:pt>
                <c:pt idx="2580">
                  <c:v>0.81138006916064132</c:v>
                </c:pt>
                <c:pt idx="2581">
                  <c:v>0.81169443571204025</c:v>
                </c:pt>
                <c:pt idx="2582">
                  <c:v>0.81200880226343919</c:v>
                </c:pt>
                <c:pt idx="2583">
                  <c:v>0.81232316881483813</c:v>
                </c:pt>
                <c:pt idx="2584">
                  <c:v>0.81263753536623706</c:v>
                </c:pt>
                <c:pt idx="2585">
                  <c:v>0.812951901917636</c:v>
                </c:pt>
                <c:pt idx="2586">
                  <c:v>0.81326626846903494</c:v>
                </c:pt>
                <c:pt idx="2587">
                  <c:v>0.81358063502043387</c:v>
                </c:pt>
                <c:pt idx="2588">
                  <c:v>0.81389500157183281</c:v>
                </c:pt>
                <c:pt idx="2589">
                  <c:v>0.81420936812323164</c:v>
                </c:pt>
                <c:pt idx="2590">
                  <c:v>0.81452373467463057</c:v>
                </c:pt>
                <c:pt idx="2591">
                  <c:v>0.81483810122602951</c:v>
                </c:pt>
                <c:pt idx="2592">
                  <c:v>0.81515246777742845</c:v>
                </c:pt>
                <c:pt idx="2593">
                  <c:v>0.81546683432882738</c:v>
                </c:pt>
                <c:pt idx="2594">
                  <c:v>0.81578120088022632</c:v>
                </c:pt>
                <c:pt idx="2595">
                  <c:v>0.81609556743162526</c:v>
                </c:pt>
                <c:pt idx="2596">
                  <c:v>0.81640993398302419</c:v>
                </c:pt>
                <c:pt idx="2597">
                  <c:v>0.81672430053442313</c:v>
                </c:pt>
                <c:pt idx="2598">
                  <c:v>0.81703866708582207</c:v>
                </c:pt>
                <c:pt idx="2599">
                  <c:v>0.817353033637221</c:v>
                </c:pt>
                <c:pt idx="2600">
                  <c:v>0.81766740018861994</c:v>
                </c:pt>
                <c:pt idx="2601">
                  <c:v>0.81798176674001888</c:v>
                </c:pt>
                <c:pt idx="2602">
                  <c:v>0.81829613329141782</c:v>
                </c:pt>
                <c:pt idx="2603">
                  <c:v>0.81861049984281675</c:v>
                </c:pt>
                <c:pt idx="2604">
                  <c:v>0.81892486639421569</c:v>
                </c:pt>
                <c:pt idx="2605">
                  <c:v>0.81923923294561463</c:v>
                </c:pt>
                <c:pt idx="2606">
                  <c:v>0.81955359949701356</c:v>
                </c:pt>
                <c:pt idx="2607">
                  <c:v>0.8198679660484125</c:v>
                </c:pt>
                <c:pt idx="2608">
                  <c:v>0.82018233259981133</c:v>
                </c:pt>
                <c:pt idx="2609">
                  <c:v>0.82049669915121026</c:v>
                </c:pt>
                <c:pt idx="2610">
                  <c:v>0.8208110657026092</c:v>
                </c:pt>
                <c:pt idx="2611">
                  <c:v>0.82112543225400814</c:v>
                </c:pt>
                <c:pt idx="2612">
                  <c:v>0.82143979880540707</c:v>
                </c:pt>
                <c:pt idx="2613">
                  <c:v>0.82175416535680601</c:v>
                </c:pt>
                <c:pt idx="2614">
                  <c:v>0.82206853190820495</c:v>
                </c:pt>
                <c:pt idx="2615">
                  <c:v>0.82238289845960388</c:v>
                </c:pt>
                <c:pt idx="2616">
                  <c:v>0.82269726501100282</c:v>
                </c:pt>
                <c:pt idx="2617">
                  <c:v>0.82301163156240176</c:v>
                </c:pt>
                <c:pt idx="2618">
                  <c:v>0.82332599811380069</c:v>
                </c:pt>
                <c:pt idx="2619">
                  <c:v>0.82364036466519963</c:v>
                </c:pt>
                <c:pt idx="2620">
                  <c:v>0.82395473121659857</c:v>
                </c:pt>
                <c:pt idx="2621">
                  <c:v>0.82426909776799751</c:v>
                </c:pt>
                <c:pt idx="2622">
                  <c:v>0.82458346431939644</c:v>
                </c:pt>
                <c:pt idx="2623">
                  <c:v>0.82489783087079538</c:v>
                </c:pt>
                <c:pt idx="2624">
                  <c:v>0.82521219742219432</c:v>
                </c:pt>
                <c:pt idx="2625">
                  <c:v>0.82552656397359325</c:v>
                </c:pt>
                <c:pt idx="2626">
                  <c:v>0.82584093052499219</c:v>
                </c:pt>
                <c:pt idx="2627">
                  <c:v>0.82615529707639113</c:v>
                </c:pt>
                <c:pt idx="2628">
                  <c:v>0.82646966362778995</c:v>
                </c:pt>
                <c:pt idx="2629">
                  <c:v>0.82678403017918889</c:v>
                </c:pt>
                <c:pt idx="2630">
                  <c:v>0.82709839673058783</c:v>
                </c:pt>
                <c:pt idx="2631">
                  <c:v>0.82741276328198676</c:v>
                </c:pt>
                <c:pt idx="2632">
                  <c:v>0.8277271298333857</c:v>
                </c:pt>
                <c:pt idx="2633">
                  <c:v>0.82804149638478464</c:v>
                </c:pt>
                <c:pt idx="2634">
                  <c:v>0.82835586293618357</c:v>
                </c:pt>
                <c:pt idx="2635">
                  <c:v>0.82867022948758251</c:v>
                </c:pt>
                <c:pt idx="2636">
                  <c:v>0.82898459603898145</c:v>
                </c:pt>
                <c:pt idx="2637">
                  <c:v>0.82929896259038038</c:v>
                </c:pt>
                <c:pt idx="2638">
                  <c:v>0.82961332914177932</c:v>
                </c:pt>
                <c:pt idx="2639">
                  <c:v>0.82992769569317826</c:v>
                </c:pt>
                <c:pt idx="2640">
                  <c:v>0.83024206224457719</c:v>
                </c:pt>
                <c:pt idx="2641">
                  <c:v>0.83055642879597613</c:v>
                </c:pt>
                <c:pt idx="2642">
                  <c:v>0.83087079534737507</c:v>
                </c:pt>
                <c:pt idx="2643">
                  <c:v>0.83118516189877401</c:v>
                </c:pt>
                <c:pt idx="2644">
                  <c:v>0.83149952845017294</c:v>
                </c:pt>
                <c:pt idx="2645">
                  <c:v>0.83181389500157188</c:v>
                </c:pt>
                <c:pt idx="2646">
                  <c:v>0.83212826155297082</c:v>
                </c:pt>
                <c:pt idx="2647">
                  <c:v>0.83244262810436964</c:v>
                </c:pt>
                <c:pt idx="2648">
                  <c:v>0.83275699465576858</c:v>
                </c:pt>
                <c:pt idx="2649">
                  <c:v>0.83307136120716752</c:v>
                </c:pt>
                <c:pt idx="2650">
                  <c:v>0.83338572775856645</c:v>
                </c:pt>
                <c:pt idx="2651">
                  <c:v>0.83370009430996539</c:v>
                </c:pt>
                <c:pt idx="2652">
                  <c:v>0.83401446086136433</c:v>
                </c:pt>
                <c:pt idx="2653">
                  <c:v>0.83432882741276326</c:v>
                </c:pt>
                <c:pt idx="2654">
                  <c:v>0.8346431939641622</c:v>
                </c:pt>
                <c:pt idx="2655">
                  <c:v>0.83495756051556114</c:v>
                </c:pt>
                <c:pt idx="2656">
                  <c:v>0.83527192706696007</c:v>
                </c:pt>
                <c:pt idx="2657">
                  <c:v>0.83558629361835901</c:v>
                </c:pt>
                <c:pt idx="2658">
                  <c:v>0.83590066016975795</c:v>
                </c:pt>
                <c:pt idx="2659">
                  <c:v>0.83621502672115688</c:v>
                </c:pt>
                <c:pt idx="2660">
                  <c:v>0.83652939327255582</c:v>
                </c:pt>
                <c:pt idx="2661">
                  <c:v>0.83684375982395476</c:v>
                </c:pt>
                <c:pt idx="2662">
                  <c:v>0.8371581263753537</c:v>
                </c:pt>
                <c:pt idx="2663">
                  <c:v>0.83747249292675263</c:v>
                </c:pt>
                <c:pt idx="2664">
                  <c:v>0.83778685947815157</c:v>
                </c:pt>
                <c:pt idx="2665">
                  <c:v>0.83810122602955051</c:v>
                </c:pt>
                <c:pt idx="2666">
                  <c:v>0.83841559258094933</c:v>
                </c:pt>
                <c:pt idx="2667">
                  <c:v>0.83872995913234827</c:v>
                </c:pt>
                <c:pt idx="2668">
                  <c:v>0.83904432568374721</c:v>
                </c:pt>
                <c:pt idx="2669">
                  <c:v>0.83935869223514614</c:v>
                </c:pt>
                <c:pt idx="2670">
                  <c:v>0.83967305878654508</c:v>
                </c:pt>
                <c:pt idx="2671">
                  <c:v>0.83998742533794402</c:v>
                </c:pt>
                <c:pt idx="2672">
                  <c:v>0.84030179188934295</c:v>
                </c:pt>
                <c:pt idx="2673">
                  <c:v>0.84061615844074189</c:v>
                </c:pt>
                <c:pt idx="2674">
                  <c:v>0.84093052499214083</c:v>
                </c:pt>
                <c:pt idx="2675">
                  <c:v>0.84124489154353976</c:v>
                </c:pt>
                <c:pt idx="2676">
                  <c:v>0.8415592580949387</c:v>
                </c:pt>
                <c:pt idx="2677">
                  <c:v>0.84187362464633764</c:v>
                </c:pt>
                <c:pt idx="2678">
                  <c:v>0.84218799119773657</c:v>
                </c:pt>
                <c:pt idx="2679">
                  <c:v>0.84250235774913551</c:v>
                </c:pt>
                <c:pt idx="2680">
                  <c:v>0.84281672430053445</c:v>
                </c:pt>
                <c:pt idx="2681">
                  <c:v>0.84313109085193338</c:v>
                </c:pt>
                <c:pt idx="2682">
                  <c:v>0.84344545740333232</c:v>
                </c:pt>
                <c:pt idx="2683">
                  <c:v>0.84375982395473126</c:v>
                </c:pt>
                <c:pt idx="2684">
                  <c:v>0.8440741905061302</c:v>
                </c:pt>
                <c:pt idx="2685">
                  <c:v>0.84438855705752913</c:v>
                </c:pt>
                <c:pt idx="2686">
                  <c:v>0.84470292360892796</c:v>
                </c:pt>
                <c:pt idx="2687">
                  <c:v>0.84501729016032689</c:v>
                </c:pt>
                <c:pt idx="2688">
                  <c:v>0.84533165671172583</c:v>
                </c:pt>
                <c:pt idx="2689">
                  <c:v>0.84564602326312477</c:v>
                </c:pt>
                <c:pt idx="2690">
                  <c:v>0.84596038981452371</c:v>
                </c:pt>
                <c:pt idx="2691">
                  <c:v>0.84627475636592264</c:v>
                </c:pt>
                <c:pt idx="2692">
                  <c:v>0.84658912291732158</c:v>
                </c:pt>
                <c:pt idx="2693">
                  <c:v>0.84690348946872052</c:v>
                </c:pt>
                <c:pt idx="2694">
                  <c:v>0.84721785602011945</c:v>
                </c:pt>
                <c:pt idx="2695">
                  <c:v>0.84753222257151839</c:v>
                </c:pt>
                <c:pt idx="2696">
                  <c:v>0.84784658912291733</c:v>
                </c:pt>
                <c:pt idx="2697">
                  <c:v>0.84816095567431626</c:v>
                </c:pt>
                <c:pt idx="2698">
                  <c:v>0.8484753222257152</c:v>
                </c:pt>
                <c:pt idx="2699">
                  <c:v>0.84878968877711414</c:v>
                </c:pt>
                <c:pt idx="2700">
                  <c:v>0.84910405532851307</c:v>
                </c:pt>
                <c:pt idx="2701">
                  <c:v>0.84941842187991201</c:v>
                </c:pt>
                <c:pt idx="2702">
                  <c:v>0.84973278843131095</c:v>
                </c:pt>
                <c:pt idx="2703">
                  <c:v>0.85004715498270988</c:v>
                </c:pt>
                <c:pt idx="2704">
                  <c:v>0.85036152153410882</c:v>
                </c:pt>
                <c:pt idx="2705">
                  <c:v>0.85067588808550765</c:v>
                </c:pt>
                <c:pt idx="2706">
                  <c:v>0.85099025463690658</c:v>
                </c:pt>
                <c:pt idx="2707">
                  <c:v>0.85130462118830552</c:v>
                </c:pt>
                <c:pt idx="2708">
                  <c:v>0.85161898773970446</c:v>
                </c:pt>
                <c:pt idx="2709">
                  <c:v>0.8519333542911034</c:v>
                </c:pt>
                <c:pt idx="2710">
                  <c:v>0.85224772084250233</c:v>
                </c:pt>
                <c:pt idx="2711">
                  <c:v>0.85256208739390127</c:v>
                </c:pt>
                <c:pt idx="2712">
                  <c:v>0.85287645394530021</c:v>
                </c:pt>
                <c:pt idx="2713">
                  <c:v>0.85319082049669914</c:v>
                </c:pt>
                <c:pt idx="2714">
                  <c:v>0.85350518704809808</c:v>
                </c:pt>
                <c:pt idx="2715">
                  <c:v>0.85381955359949702</c:v>
                </c:pt>
                <c:pt idx="2716">
                  <c:v>0.85413392015089595</c:v>
                </c:pt>
                <c:pt idx="2717">
                  <c:v>0.85444828670229489</c:v>
                </c:pt>
                <c:pt idx="2718">
                  <c:v>0.85476265325369383</c:v>
                </c:pt>
                <c:pt idx="2719">
                  <c:v>0.85507701980509276</c:v>
                </c:pt>
                <c:pt idx="2720">
                  <c:v>0.8553913863564917</c:v>
                </c:pt>
                <c:pt idx="2721">
                  <c:v>0.85570575290789064</c:v>
                </c:pt>
                <c:pt idx="2722">
                  <c:v>0.85602011945928957</c:v>
                </c:pt>
                <c:pt idx="2723">
                  <c:v>0.85633448601068851</c:v>
                </c:pt>
                <c:pt idx="2724">
                  <c:v>0.85664885256208745</c:v>
                </c:pt>
                <c:pt idx="2725">
                  <c:v>0.85696321911348627</c:v>
                </c:pt>
                <c:pt idx="2726">
                  <c:v>0.85727758566488521</c:v>
                </c:pt>
                <c:pt idx="2727">
                  <c:v>0.85759195221628415</c:v>
                </c:pt>
                <c:pt idx="2728">
                  <c:v>0.85790631876768308</c:v>
                </c:pt>
                <c:pt idx="2729">
                  <c:v>0.85822068531908202</c:v>
                </c:pt>
                <c:pt idx="2730">
                  <c:v>0.85853505187048096</c:v>
                </c:pt>
                <c:pt idx="2731">
                  <c:v>0.8588494184218799</c:v>
                </c:pt>
                <c:pt idx="2732">
                  <c:v>0.85916378497327883</c:v>
                </c:pt>
                <c:pt idx="2733">
                  <c:v>0.85947815152467777</c:v>
                </c:pt>
                <c:pt idx="2734">
                  <c:v>0.85979251807607671</c:v>
                </c:pt>
                <c:pt idx="2735">
                  <c:v>0.86010688462747564</c:v>
                </c:pt>
                <c:pt idx="2736">
                  <c:v>0.86042125117887458</c:v>
                </c:pt>
                <c:pt idx="2737">
                  <c:v>0.86073561773027352</c:v>
                </c:pt>
                <c:pt idx="2738">
                  <c:v>0.86104998428167245</c:v>
                </c:pt>
                <c:pt idx="2739">
                  <c:v>0.86136435083307139</c:v>
                </c:pt>
                <c:pt idx="2740">
                  <c:v>0.86167871738447033</c:v>
                </c:pt>
                <c:pt idx="2741">
                  <c:v>0.86199308393586926</c:v>
                </c:pt>
                <c:pt idx="2742">
                  <c:v>0.8623074504872682</c:v>
                </c:pt>
                <c:pt idx="2743">
                  <c:v>0.86262181703866714</c:v>
                </c:pt>
                <c:pt idx="2744">
                  <c:v>0.86293618359006596</c:v>
                </c:pt>
                <c:pt idx="2745">
                  <c:v>0.8632505501414649</c:v>
                </c:pt>
                <c:pt idx="2746">
                  <c:v>0.86356491669286384</c:v>
                </c:pt>
                <c:pt idx="2747">
                  <c:v>0.86387928324426277</c:v>
                </c:pt>
                <c:pt idx="2748">
                  <c:v>0.86419364979566171</c:v>
                </c:pt>
                <c:pt idx="2749">
                  <c:v>0.86450801634706065</c:v>
                </c:pt>
                <c:pt idx="2750">
                  <c:v>0.86482238289845959</c:v>
                </c:pt>
                <c:pt idx="2751">
                  <c:v>0.86513674944985852</c:v>
                </c:pt>
                <c:pt idx="2752">
                  <c:v>0.86545111600125746</c:v>
                </c:pt>
                <c:pt idx="2753">
                  <c:v>0.8657654825526564</c:v>
                </c:pt>
                <c:pt idx="2754">
                  <c:v>0.86607984910405533</c:v>
                </c:pt>
                <c:pt idx="2755">
                  <c:v>0.86639421565545427</c:v>
                </c:pt>
                <c:pt idx="2756">
                  <c:v>0.86670858220685321</c:v>
                </c:pt>
                <c:pt idx="2757">
                  <c:v>0.86702294875825214</c:v>
                </c:pt>
                <c:pt idx="2758">
                  <c:v>0.86733731530965108</c:v>
                </c:pt>
                <c:pt idx="2759">
                  <c:v>0.86765168186105002</c:v>
                </c:pt>
                <c:pt idx="2760">
                  <c:v>0.86796604841244895</c:v>
                </c:pt>
                <c:pt idx="2761">
                  <c:v>0.86828041496384789</c:v>
                </c:pt>
                <c:pt idx="2762">
                  <c:v>0.86859478151524683</c:v>
                </c:pt>
                <c:pt idx="2763">
                  <c:v>0.86890914806664565</c:v>
                </c:pt>
                <c:pt idx="2764">
                  <c:v>0.86922351461804459</c:v>
                </c:pt>
                <c:pt idx="2765">
                  <c:v>0.86953788116944353</c:v>
                </c:pt>
                <c:pt idx="2766">
                  <c:v>0.86985224772084246</c:v>
                </c:pt>
                <c:pt idx="2767">
                  <c:v>0.8701666142722414</c:v>
                </c:pt>
                <c:pt idx="2768">
                  <c:v>0.87048098082364034</c:v>
                </c:pt>
                <c:pt idx="2769">
                  <c:v>0.87079534737503927</c:v>
                </c:pt>
                <c:pt idx="2770">
                  <c:v>0.87110971392643821</c:v>
                </c:pt>
                <c:pt idx="2771">
                  <c:v>0.87142408047783715</c:v>
                </c:pt>
                <c:pt idx="2772">
                  <c:v>0.87173844702923609</c:v>
                </c:pt>
                <c:pt idx="2773">
                  <c:v>0.87205281358063502</c:v>
                </c:pt>
                <c:pt idx="2774">
                  <c:v>0.87236718013203396</c:v>
                </c:pt>
                <c:pt idx="2775">
                  <c:v>0.8726815466834329</c:v>
                </c:pt>
                <c:pt idx="2776">
                  <c:v>0.87299591323483183</c:v>
                </c:pt>
                <c:pt idx="2777">
                  <c:v>0.87331027978623077</c:v>
                </c:pt>
                <c:pt idx="2778">
                  <c:v>0.87362464633762971</c:v>
                </c:pt>
                <c:pt idx="2779">
                  <c:v>0.87393901288902864</c:v>
                </c:pt>
                <c:pt idx="2780">
                  <c:v>0.87425337944042758</c:v>
                </c:pt>
                <c:pt idx="2781">
                  <c:v>0.87456774599182652</c:v>
                </c:pt>
                <c:pt idx="2782">
                  <c:v>0.87488211254322545</c:v>
                </c:pt>
                <c:pt idx="2783">
                  <c:v>0.87519647909462428</c:v>
                </c:pt>
                <c:pt idx="2784">
                  <c:v>0.87551084564602322</c:v>
                </c:pt>
                <c:pt idx="2785">
                  <c:v>0.87582521219742215</c:v>
                </c:pt>
                <c:pt idx="2786">
                  <c:v>0.87613957874882109</c:v>
                </c:pt>
                <c:pt idx="2787">
                  <c:v>0.87645394530022003</c:v>
                </c:pt>
                <c:pt idx="2788">
                  <c:v>0.87676831185161896</c:v>
                </c:pt>
                <c:pt idx="2789">
                  <c:v>0.8770826784030179</c:v>
                </c:pt>
                <c:pt idx="2790">
                  <c:v>0.87739704495441684</c:v>
                </c:pt>
                <c:pt idx="2791">
                  <c:v>0.87771141150581578</c:v>
                </c:pt>
                <c:pt idx="2792">
                  <c:v>0.87802577805721471</c:v>
                </c:pt>
                <c:pt idx="2793">
                  <c:v>0.87834014460861365</c:v>
                </c:pt>
                <c:pt idx="2794">
                  <c:v>0.87865451116001259</c:v>
                </c:pt>
                <c:pt idx="2795">
                  <c:v>0.87896887771141152</c:v>
                </c:pt>
                <c:pt idx="2796">
                  <c:v>0.87928324426281046</c:v>
                </c:pt>
                <c:pt idx="2797">
                  <c:v>0.8795976108142094</c:v>
                </c:pt>
                <c:pt idx="2798">
                  <c:v>0.87991197736560833</c:v>
                </c:pt>
                <c:pt idx="2799">
                  <c:v>0.88022634391700727</c:v>
                </c:pt>
                <c:pt idx="2800">
                  <c:v>0.88054071046840621</c:v>
                </c:pt>
                <c:pt idx="2801">
                  <c:v>0.88085507701980514</c:v>
                </c:pt>
                <c:pt idx="2802">
                  <c:v>0.88116944357120397</c:v>
                </c:pt>
                <c:pt idx="2803">
                  <c:v>0.88148381012260291</c:v>
                </c:pt>
                <c:pt idx="2804">
                  <c:v>0.88179817667400184</c:v>
                </c:pt>
                <c:pt idx="2805">
                  <c:v>0.88211254322540078</c:v>
                </c:pt>
                <c:pt idx="2806">
                  <c:v>0.88242690977679972</c:v>
                </c:pt>
                <c:pt idx="2807">
                  <c:v>0.88274127632819865</c:v>
                </c:pt>
                <c:pt idx="2808">
                  <c:v>0.88305564287959759</c:v>
                </c:pt>
                <c:pt idx="2809">
                  <c:v>0.88337000943099653</c:v>
                </c:pt>
                <c:pt idx="2810">
                  <c:v>0.88368437598239546</c:v>
                </c:pt>
                <c:pt idx="2811">
                  <c:v>0.8839987425337944</c:v>
                </c:pt>
                <c:pt idx="2812">
                  <c:v>0.88431310908519334</c:v>
                </c:pt>
                <c:pt idx="2813">
                  <c:v>0.88462747563659228</c:v>
                </c:pt>
                <c:pt idx="2814">
                  <c:v>0.88494184218799121</c:v>
                </c:pt>
                <c:pt idx="2815">
                  <c:v>0.88525620873939015</c:v>
                </c:pt>
                <c:pt idx="2816">
                  <c:v>0.88557057529078909</c:v>
                </c:pt>
                <c:pt idx="2817">
                  <c:v>0.88588494184218802</c:v>
                </c:pt>
                <c:pt idx="2818">
                  <c:v>0.88619930839358696</c:v>
                </c:pt>
                <c:pt idx="2819">
                  <c:v>0.8865136749449859</c:v>
                </c:pt>
                <c:pt idx="2820">
                  <c:v>0.88682804149638483</c:v>
                </c:pt>
                <c:pt idx="2821">
                  <c:v>0.88714240804778377</c:v>
                </c:pt>
                <c:pt idx="2822">
                  <c:v>0.8874567745991826</c:v>
                </c:pt>
                <c:pt idx="2823">
                  <c:v>0.88777114115058153</c:v>
                </c:pt>
                <c:pt idx="2824">
                  <c:v>0.88808550770198047</c:v>
                </c:pt>
                <c:pt idx="2825">
                  <c:v>0.88839987425337941</c:v>
                </c:pt>
                <c:pt idx="2826">
                  <c:v>0.88871424080477834</c:v>
                </c:pt>
                <c:pt idx="2827">
                  <c:v>0.88902860735617728</c:v>
                </c:pt>
                <c:pt idx="2828">
                  <c:v>0.88934297390757622</c:v>
                </c:pt>
                <c:pt idx="2829">
                  <c:v>0.88965734045897515</c:v>
                </c:pt>
                <c:pt idx="2830">
                  <c:v>0.88997170701037409</c:v>
                </c:pt>
                <c:pt idx="2831">
                  <c:v>0.89028607356177303</c:v>
                </c:pt>
                <c:pt idx="2832">
                  <c:v>0.89060044011317196</c:v>
                </c:pt>
                <c:pt idx="2833">
                  <c:v>0.8909148066645709</c:v>
                </c:pt>
                <c:pt idx="2834">
                  <c:v>0.89122917321596984</c:v>
                </c:pt>
                <c:pt idx="2835">
                  <c:v>0.89154353976736878</c:v>
                </c:pt>
                <c:pt idx="2836">
                  <c:v>0.89185790631876771</c:v>
                </c:pt>
                <c:pt idx="2837">
                  <c:v>0.89217227287016665</c:v>
                </c:pt>
                <c:pt idx="2838">
                  <c:v>0.89248663942156559</c:v>
                </c:pt>
                <c:pt idx="2839">
                  <c:v>0.89280100597296452</c:v>
                </c:pt>
                <c:pt idx="2840">
                  <c:v>0.89311537252436346</c:v>
                </c:pt>
                <c:pt idx="2841">
                  <c:v>0.89342973907576229</c:v>
                </c:pt>
                <c:pt idx="2842">
                  <c:v>0.89374410562716122</c:v>
                </c:pt>
                <c:pt idx="2843">
                  <c:v>0.89405847217856016</c:v>
                </c:pt>
                <c:pt idx="2844">
                  <c:v>0.8943728387299591</c:v>
                </c:pt>
                <c:pt idx="2845">
                  <c:v>0.89468720528135803</c:v>
                </c:pt>
                <c:pt idx="2846">
                  <c:v>0.89500157183275697</c:v>
                </c:pt>
                <c:pt idx="2847">
                  <c:v>0.89531593838415591</c:v>
                </c:pt>
                <c:pt idx="2848">
                  <c:v>0.89563030493555484</c:v>
                </c:pt>
                <c:pt idx="2849">
                  <c:v>0.89594467148695378</c:v>
                </c:pt>
                <c:pt idx="2850">
                  <c:v>0.89625903803835272</c:v>
                </c:pt>
                <c:pt idx="2851">
                  <c:v>0.89657340458975165</c:v>
                </c:pt>
                <c:pt idx="2852">
                  <c:v>0.89688777114115059</c:v>
                </c:pt>
                <c:pt idx="2853">
                  <c:v>0.89720213769254953</c:v>
                </c:pt>
                <c:pt idx="2854">
                  <c:v>0.89751650424394847</c:v>
                </c:pt>
                <c:pt idx="2855">
                  <c:v>0.8978308707953474</c:v>
                </c:pt>
                <c:pt idx="2856">
                  <c:v>0.89814523734674634</c:v>
                </c:pt>
                <c:pt idx="2857">
                  <c:v>0.89845960389814528</c:v>
                </c:pt>
                <c:pt idx="2858">
                  <c:v>0.89877397044954421</c:v>
                </c:pt>
                <c:pt idx="2859">
                  <c:v>0.89908833700094315</c:v>
                </c:pt>
                <c:pt idx="2860">
                  <c:v>0.89940270355234198</c:v>
                </c:pt>
                <c:pt idx="2861">
                  <c:v>0.89971707010374091</c:v>
                </c:pt>
                <c:pt idx="2862">
                  <c:v>0.90003143665513985</c:v>
                </c:pt>
                <c:pt idx="2863">
                  <c:v>0.90034580320653879</c:v>
                </c:pt>
                <c:pt idx="2864">
                  <c:v>0.90066016975793772</c:v>
                </c:pt>
                <c:pt idx="2865">
                  <c:v>0.90097453630933666</c:v>
                </c:pt>
                <c:pt idx="2866">
                  <c:v>0.9012889028607356</c:v>
                </c:pt>
                <c:pt idx="2867">
                  <c:v>0.90160326941213453</c:v>
                </c:pt>
                <c:pt idx="2868">
                  <c:v>0.90191763596353347</c:v>
                </c:pt>
                <c:pt idx="2869">
                  <c:v>0.90223200251493241</c:v>
                </c:pt>
                <c:pt idx="2870">
                  <c:v>0.90254636906633134</c:v>
                </c:pt>
                <c:pt idx="2871">
                  <c:v>0.90286073561773028</c:v>
                </c:pt>
                <c:pt idx="2872">
                  <c:v>0.90317510216912922</c:v>
                </c:pt>
                <c:pt idx="2873">
                  <c:v>0.90348946872052815</c:v>
                </c:pt>
                <c:pt idx="2874">
                  <c:v>0.90380383527192709</c:v>
                </c:pt>
                <c:pt idx="2875">
                  <c:v>0.90411820182332603</c:v>
                </c:pt>
                <c:pt idx="2876">
                  <c:v>0.90443256837472497</c:v>
                </c:pt>
                <c:pt idx="2877">
                  <c:v>0.9047469349261239</c:v>
                </c:pt>
                <c:pt idx="2878">
                  <c:v>0.90506130147752284</c:v>
                </c:pt>
                <c:pt idx="2879">
                  <c:v>0.90537566802892178</c:v>
                </c:pt>
                <c:pt idx="2880">
                  <c:v>0.9056900345803206</c:v>
                </c:pt>
                <c:pt idx="2881">
                  <c:v>0.90600440113171954</c:v>
                </c:pt>
                <c:pt idx="2882">
                  <c:v>0.90631876768311848</c:v>
                </c:pt>
                <c:pt idx="2883">
                  <c:v>0.90663313423451741</c:v>
                </c:pt>
                <c:pt idx="2884">
                  <c:v>0.90694750078591635</c:v>
                </c:pt>
                <c:pt idx="2885">
                  <c:v>0.90726186733731529</c:v>
                </c:pt>
                <c:pt idx="2886">
                  <c:v>0.90757623388871422</c:v>
                </c:pt>
                <c:pt idx="2887">
                  <c:v>0.90789060044011316</c:v>
                </c:pt>
                <c:pt idx="2888">
                  <c:v>0.9082049669915121</c:v>
                </c:pt>
                <c:pt idx="2889">
                  <c:v>0.90851933354291103</c:v>
                </c:pt>
                <c:pt idx="2890">
                  <c:v>0.90883370009430997</c:v>
                </c:pt>
                <c:pt idx="2891">
                  <c:v>0.90914806664570891</c:v>
                </c:pt>
                <c:pt idx="2892">
                  <c:v>0.90946243319710784</c:v>
                </c:pt>
                <c:pt idx="2893">
                  <c:v>0.90977679974850678</c:v>
                </c:pt>
                <c:pt idx="2894">
                  <c:v>0.91009116629990572</c:v>
                </c:pt>
                <c:pt idx="2895">
                  <c:v>0.91040553285130466</c:v>
                </c:pt>
                <c:pt idx="2896">
                  <c:v>0.91071989940270359</c:v>
                </c:pt>
                <c:pt idx="2897">
                  <c:v>0.91103426595410253</c:v>
                </c:pt>
                <c:pt idx="2898">
                  <c:v>0.91134863250550147</c:v>
                </c:pt>
                <c:pt idx="2899">
                  <c:v>0.91166299905690029</c:v>
                </c:pt>
                <c:pt idx="2900">
                  <c:v>0.91197736560829923</c:v>
                </c:pt>
                <c:pt idx="2901">
                  <c:v>0.91229173215969817</c:v>
                </c:pt>
                <c:pt idx="2902">
                  <c:v>0.9126060987110971</c:v>
                </c:pt>
                <c:pt idx="2903">
                  <c:v>0.91292046526249604</c:v>
                </c:pt>
                <c:pt idx="2904">
                  <c:v>0.91323483181389498</c:v>
                </c:pt>
                <c:pt idx="2905">
                  <c:v>0.91354919836529391</c:v>
                </c:pt>
                <c:pt idx="2906">
                  <c:v>0.91386356491669285</c:v>
                </c:pt>
                <c:pt idx="2907">
                  <c:v>0.91417793146809179</c:v>
                </c:pt>
                <c:pt idx="2908">
                  <c:v>0.91449229801949072</c:v>
                </c:pt>
                <c:pt idx="2909">
                  <c:v>0.91480666457088966</c:v>
                </c:pt>
                <c:pt idx="2910">
                  <c:v>0.9151210311222886</c:v>
                </c:pt>
                <c:pt idx="2911">
                  <c:v>0.91543539767368753</c:v>
                </c:pt>
                <c:pt idx="2912">
                  <c:v>0.91574976422508647</c:v>
                </c:pt>
                <c:pt idx="2913">
                  <c:v>0.91606413077648541</c:v>
                </c:pt>
                <c:pt idx="2914">
                  <c:v>0.91637849732788434</c:v>
                </c:pt>
                <c:pt idx="2915">
                  <c:v>0.91669286387928328</c:v>
                </c:pt>
                <c:pt idx="2916">
                  <c:v>0.91700723043068222</c:v>
                </c:pt>
                <c:pt idx="2917">
                  <c:v>0.91732159698208116</c:v>
                </c:pt>
                <c:pt idx="2918">
                  <c:v>0.91763596353348009</c:v>
                </c:pt>
                <c:pt idx="2919">
                  <c:v>0.91795033008487892</c:v>
                </c:pt>
                <c:pt idx="2920">
                  <c:v>0.91826469663627786</c:v>
                </c:pt>
                <c:pt idx="2921">
                  <c:v>0.91857906318767679</c:v>
                </c:pt>
                <c:pt idx="2922">
                  <c:v>0.91889342973907573</c:v>
                </c:pt>
                <c:pt idx="2923">
                  <c:v>0.91920779629047467</c:v>
                </c:pt>
                <c:pt idx="2924">
                  <c:v>0.9195221628418736</c:v>
                </c:pt>
                <c:pt idx="2925">
                  <c:v>0.91983652939327254</c:v>
                </c:pt>
                <c:pt idx="2926">
                  <c:v>0.92015089594467148</c:v>
                </c:pt>
                <c:pt idx="2927">
                  <c:v>0.92046526249607041</c:v>
                </c:pt>
                <c:pt idx="2928">
                  <c:v>0.92077962904746935</c:v>
                </c:pt>
                <c:pt idx="2929">
                  <c:v>0.92109399559886829</c:v>
                </c:pt>
                <c:pt idx="2930">
                  <c:v>0.92140836215026722</c:v>
                </c:pt>
                <c:pt idx="2931">
                  <c:v>0.92172272870166616</c:v>
                </c:pt>
                <c:pt idx="2932">
                  <c:v>0.9220370952530651</c:v>
                </c:pt>
                <c:pt idx="2933">
                  <c:v>0.92235146180446403</c:v>
                </c:pt>
                <c:pt idx="2934">
                  <c:v>0.92266582835586297</c:v>
                </c:pt>
                <c:pt idx="2935">
                  <c:v>0.92298019490726191</c:v>
                </c:pt>
                <c:pt idx="2936">
                  <c:v>0.92329456145866085</c:v>
                </c:pt>
                <c:pt idx="2937">
                  <c:v>0.92360892801005978</c:v>
                </c:pt>
                <c:pt idx="2938">
                  <c:v>0.92392329456145861</c:v>
                </c:pt>
                <c:pt idx="2939">
                  <c:v>0.92423766111285754</c:v>
                </c:pt>
                <c:pt idx="2940">
                  <c:v>0.92455202766425648</c:v>
                </c:pt>
                <c:pt idx="2941">
                  <c:v>0.92486639421565542</c:v>
                </c:pt>
                <c:pt idx="2942">
                  <c:v>0.92518076076705436</c:v>
                </c:pt>
                <c:pt idx="2943">
                  <c:v>0.92549512731845329</c:v>
                </c:pt>
                <c:pt idx="2944">
                  <c:v>0.92580949386985223</c:v>
                </c:pt>
                <c:pt idx="2945">
                  <c:v>0.92612386042125117</c:v>
                </c:pt>
                <c:pt idx="2946">
                  <c:v>0.9264382269726501</c:v>
                </c:pt>
                <c:pt idx="2947">
                  <c:v>0.92675259352404904</c:v>
                </c:pt>
                <c:pt idx="2948">
                  <c:v>0.92706696007544798</c:v>
                </c:pt>
                <c:pt idx="2949">
                  <c:v>0.92738132662684691</c:v>
                </c:pt>
                <c:pt idx="2950">
                  <c:v>0.92769569317824585</c:v>
                </c:pt>
                <c:pt idx="2951">
                  <c:v>0.92801005972964479</c:v>
                </c:pt>
                <c:pt idx="2952">
                  <c:v>0.92832442628104372</c:v>
                </c:pt>
                <c:pt idx="2953">
                  <c:v>0.92863879283244266</c:v>
                </c:pt>
                <c:pt idx="2954">
                  <c:v>0.9289531593838416</c:v>
                </c:pt>
                <c:pt idx="2955">
                  <c:v>0.92926752593524053</c:v>
                </c:pt>
                <c:pt idx="2956">
                  <c:v>0.92958189248663947</c:v>
                </c:pt>
                <c:pt idx="2957">
                  <c:v>0.9298962590380383</c:v>
                </c:pt>
                <c:pt idx="2958">
                  <c:v>0.93021062558943723</c:v>
                </c:pt>
                <c:pt idx="2959">
                  <c:v>0.93052499214083617</c:v>
                </c:pt>
                <c:pt idx="2960">
                  <c:v>0.93083935869223511</c:v>
                </c:pt>
                <c:pt idx="2961">
                  <c:v>0.93115372524363405</c:v>
                </c:pt>
                <c:pt idx="2962">
                  <c:v>0.93146809179503298</c:v>
                </c:pt>
                <c:pt idx="2963">
                  <c:v>0.93178245834643192</c:v>
                </c:pt>
                <c:pt idx="2964">
                  <c:v>0.93209682489783086</c:v>
                </c:pt>
                <c:pt idx="2965">
                  <c:v>0.93241119144922979</c:v>
                </c:pt>
                <c:pt idx="2966">
                  <c:v>0.93272555800062873</c:v>
                </c:pt>
                <c:pt idx="2967">
                  <c:v>0.93303992455202767</c:v>
                </c:pt>
                <c:pt idx="2968">
                  <c:v>0.9333542911034266</c:v>
                </c:pt>
                <c:pt idx="2969">
                  <c:v>0.93366865765482554</c:v>
                </c:pt>
                <c:pt idx="2970">
                  <c:v>0.93398302420622448</c:v>
                </c:pt>
                <c:pt idx="2971">
                  <c:v>0.93429739075762341</c:v>
                </c:pt>
                <c:pt idx="2972">
                  <c:v>0.93461175730902235</c:v>
                </c:pt>
                <c:pt idx="2973">
                  <c:v>0.93492612386042129</c:v>
                </c:pt>
                <c:pt idx="2974">
                  <c:v>0.93524049041182022</c:v>
                </c:pt>
                <c:pt idx="2975">
                  <c:v>0.93555485696321916</c:v>
                </c:pt>
                <c:pt idx="2976">
                  <c:v>0.9358692235146181</c:v>
                </c:pt>
                <c:pt idx="2977">
                  <c:v>0.93618359006601692</c:v>
                </c:pt>
                <c:pt idx="2978">
                  <c:v>0.93649795661741586</c:v>
                </c:pt>
                <c:pt idx="2979">
                  <c:v>0.9368123231688148</c:v>
                </c:pt>
                <c:pt idx="2980">
                  <c:v>0.93712668972021373</c:v>
                </c:pt>
                <c:pt idx="2981">
                  <c:v>0.93744105627161267</c:v>
                </c:pt>
                <c:pt idx="2982">
                  <c:v>0.93775542282301161</c:v>
                </c:pt>
                <c:pt idx="2983">
                  <c:v>0.93806978937441055</c:v>
                </c:pt>
                <c:pt idx="2984">
                  <c:v>0.93838415592580948</c:v>
                </c:pt>
                <c:pt idx="2985">
                  <c:v>0.93869852247720842</c:v>
                </c:pt>
                <c:pt idx="2986">
                  <c:v>0.93901288902860736</c:v>
                </c:pt>
                <c:pt idx="2987">
                  <c:v>0.93932725558000629</c:v>
                </c:pt>
                <c:pt idx="2988">
                  <c:v>0.93964162213140523</c:v>
                </c:pt>
                <c:pt idx="2989">
                  <c:v>0.93995598868280417</c:v>
                </c:pt>
                <c:pt idx="2990">
                  <c:v>0.9402703552342031</c:v>
                </c:pt>
                <c:pt idx="2991">
                  <c:v>0.94058472178560204</c:v>
                </c:pt>
                <c:pt idx="2992">
                  <c:v>0.94089908833700098</c:v>
                </c:pt>
                <c:pt idx="2993">
                  <c:v>0.94121345488839991</c:v>
                </c:pt>
                <c:pt idx="2994">
                  <c:v>0.94152782143979885</c:v>
                </c:pt>
                <c:pt idx="2995">
                  <c:v>0.94184218799119779</c:v>
                </c:pt>
                <c:pt idx="2996">
                  <c:v>0.94215655454259661</c:v>
                </c:pt>
                <c:pt idx="2997">
                  <c:v>0.94247092109399555</c:v>
                </c:pt>
                <c:pt idx="2998">
                  <c:v>0.94278528764539449</c:v>
                </c:pt>
                <c:pt idx="2999">
                  <c:v>0.94309965419679342</c:v>
                </c:pt>
                <c:pt idx="3000">
                  <c:v>0.94341402074819236</c:v>
                </c:pt>
                <c:pt idx="3001">
                  <c:v>0.9437283872995913</c:v>
                </c:pt>
                <c:pt idx="3002">
                  <c:v>0.94404275385099023</c:v>
                </c:pt>
                <c:pt idx="3003">
                  <c:v>0.94435712040238917</c:v>
                </c:pt>
                <c:pt idx="3004">
                  <c:v>0.94467148695378811</c:v>
                </c:pt>
                <c:pt idx="3005">
                  <c:v>0.94498585350518705</c:v>
                </c:pt>
                <c:pt idx="3006">
                  <c:v>0.94530022005658598</c:v>
                </c:pt>
                <c:pt idx="3007">
                  <c:v>0.94561458660798492</c:v>
                </c:pt>
                <c:pt idx="3008">
                  <c:v>0.94592895315938386</c:v>
                </c:pt>
                <c:pt idx="3009">
                  <c:v>0.94624331971078279</c:v>
                </c:pt>
                <c:pt idx="3010">
                  <c:v>0.94655768626218173</c:v>
                </c:pt>
                <c:pt idx="3011">
                  <c:v>0.94687205281358067</c:v>
                </c:pt>
                <c:pt idx="3012">
                  <c:v>0.9471864193649796</c:v>
                </c:pt>
                <c:pt idx="3013">
                  <c:v>0.94750078591637854</c:v>
                </c:pt>
                <c:pt idx="3014">
                  <c:v>0.94781515246777748</c:v>
                </c:pt>
                <c:pt idx="3015">
                  <c:v>0.94812951901917641</c:v>
                </c:pt>
                <c:pt idx="3016">
                  <c:v>0.94844388557057524</c:v>
                </c:pt>
                <c:pt idx="3017">
                  <c:v>0.94875825212197418</c:v>
                </c:pt>
                <c:pt idx="3018">
                  <c:v>0.94907261867337311</c:v>
                </c:pt>
                <c:pt idx="3019">
                  <c:v>0.94938698522477205</c:v>
                </c:pt>
                <c:pt idx="3020">
                  <c:v>0.94970135177617099</c:v>
                </c:pt>
                <c:pt idx="3021">
                  <c:v>0.95001571832756992</c:v>
                </c:pt>
                <c:pt idx="3022">
                  <c:v>0.95033008487896886</c:v>
                </c:pt>
                <c:pt idx="3023">
                  <c:v>0.9506444514303678</c:v>
                </c:pt>
                <c:pt idx="3024">
                  <c:v>0.95095881798176674</c:v>
                </c:pt>
                <c:pt idx="3025">
                  <c:v>0.95127318453316567</c:v>
                </c:pt>
                <c:pt idx="3026">
                  <c:v>0.95158755108456461</c:v>
                </c:pt>
                <c:pt idx="3027">
                  <c:v>0.95190191763596355</c:v>
                </c:pt>
                <c:pt idx="3028">
                  <c:v>0.95221628418736248</c:v>
                </c:pt>
                <c:pt idx="3029">
                  <c:v>0.95253065073876142</c:v>
                </c:pt>
                <c:pt idx="3030">
                  <c:v>0.95284501729016036</c:v>
                </c:pt>
                <c:pt idx="3031">
                  <c:v>0.95315938384155929</c:v>
                </c:pt>
                <c:pt idx="3032">
                  <c:v>0.95347375039295823</c:v>
                </c:pt>
                <c:pt idx="3033">
                  <c:v>0.95378811694435717</c:v>
                </c:pt>
                <c:pt idx="3034">
                  <c:v>0.9541024834957561</c:v>
                </c:pt>
                <c:pt idx="3035">
                  <c:v>0.95441685004715493</c:v>
                </c:pt>
                <c:pt idx="3036">
                  <c:v>0.95473121659855387</c:v>
                </c:pt>
                <c:pt idx="3037">
                  <c:v>0.9550455831499528</c:v>
                </c:pt>
                <c:pt idx="3038">
                  <c:v>0.95535994970135174</c:v>
                </c:pt>
                <c:pt idx="3039">
                  <c:v>0.95567431625275068</c:v>
                </c:pt>
                <c:pt idx="3040">
                  <c:v>0.95598868280414961</c:v>
                </c:pt>
                <c:pt idx="3041">
                  <c:v>0.95630304935554855</c:v>
                </c:pt>
                <c:pt idx="3042">
                  <c:v>0.95661741590694749</c:v>
                </c:pt>
                <c:pt idx="3043">
                  <c:v>0.95693178245834642</c:v>
                </c:pt>
                <c:pt idx="3044">
                  <c:v>0.95724614900974536</c:v>
                </c:pt>
                <c:pt idx="3045">
                  <c:v>0.9575605155611443</c:v>
                </c:pt>
                <c:pt idx="3046">
                  <c:v>0.95787488211254324</c:v>
                </c:pt>
                <c:pt idx="3047">
                  <c:v>0.95818924866394217</c:v>
                </c:pt>
                <c:pt idx="3048">
                  <c:v>0.95850361521534111</c:v>
                </c:pt>
                <c:pt idx="3049">
                  <c:v>0.95881798176674005</c:v>
                </c:pt>
                <c:pt idx="3050">
                  <c:v>0.95913234831813898</c:v>
                </c:pt>
                <c:pt idx="3051">
                  <c:v>0.95944671486953792</c:v>
                </c:pt>
                <c:pt idx="3052">
                  <c:v>0.95976108142093686</c:v>
                </c:pt>
                <c:pt idx="3053">
                  <c:v>0.96007544797233579</c:v>
                </c:pt>
                <c:pt idx="3054">
                  <c:v>0.96038981452373462</c:v>
                </c:pt>
                <c:pt idx="3055">
                  <c:v>0.96070418107513356</c:v>
                </c:pt>
                <c:pt idx="3056">
                  <c:v>0.96101854762653249</c:v>
                </c:pt>
                <c:pt idx="3057">
                  <c:v>0.96133291417793143</c:v>
                </c:pt>
                <c:pt idx="3058">
                  <c:v>0.96164728072933037</c:v>
                </c:pt>
                <c:pt idx="3059">
                  <c:v>0.9619616472807293</c:v>
                </c:pt>
                <c:pt idx="3060">
                  <c:v>0.96227601383212824</c:v>
                </c:pt>
                <c:pt idx="3061">
                  <c:v>0.96259038038352718</c:v>
                </c:pt>
                <c:pt idx="3062">
                  <c:v>0.96290474693492611</c:v>
                </c:pt>
                <c:pt idx="3063">
                  <c:v>0.96321911348632505</c:v>
                </c:pt>
                <c:pt idx="3064">
                  <c:v>0.96353348003772399</c:v>
                </c:pt>
                <c:pt idx="3065">
                  <c:v>0.96384784658912293</c:v>
                </c:pt>
                <c:pt idx="3066">
                  <c:v>0.96416221314052186</c:v>
                </c:pt>
                <c:pt idx="3067">
                  <c:v>0.9644765796919208</c:v>
                </c:pt>
                <c:pt idx="3068">
                  <c:v>0.96479094624331974</c:v>
                </c:pt>
                <c:pt idx="3069">
                  <c:v>0.96510531279471867</c:v>
                </c:pt>
                <c:pt idx="3070">
                  <c:v>0.96541967934611761</c:v>
                </c:pt>
                <c:pt idx="3071">
                  <c:v>0.96573404589751655</c:v>
                </c:pt>
                <c:pt idx="3072">
                  <c:v>0.96604841244891548</c:v>
                </c:pt>
                <c:pt idx="3073">
                  <c:v>0.96636277900031442</c:v>
                </c:pt>
                <c:pt idx="3074">
                  <c:v>0.96667714555171325</c:v>
                </c:pt>
                <c:pt idx="3075">
                  <c:v>0.96699151210311218</c:v>
                </c:pt>
                <c:pt idx="3076">
                  <c:v>0.96730587865451112</c:v>
                </c:pt>
                <c:pt idx="3077">
                  <c:v>0.96762024520591006</c:v>
                </c:pt>
                <c:pt idx="3078">
                  <c:v>0.96793461175730899</c:v>
                </c:pt>
                <c:pt idx="3079">
                  <c:v>0.96824897830870793</c:v>
                </c:pt>
                <c:pt idx="3080">
                  <c:v>0.96856334486010687</c:v>
                </c:pt>
                <c:pt idx="3081">
                  <c:v>0.9688777114115058</c:v>
                </c:pt>
                <c:pt idx="3082">
                  <c:v>0.96919207796290474</c:v>
                </c:pt>
                <c:pt idx="3083">
                  <c:v>0.96950644451430368</c:v>
                </c:pt>
                <c:pt idx="3084">
                  <c:v>0.96982081106570261</c:v>
                </c:pt>
                <c:pt idx="3085">
                  <c:v>0.97013517761710155</c:v>
                </c:pt>
                <c:pt idx="3086">
                  <c:v>0.97044954416850049</c:v>
                </c:pt>
                <c:pt idx="3087">
                  <c:v>0.97076391071989943</c:v>
                </c:pt>
                <c:pt idx="3088">
                  <c:v>0.97107827727129836</c:v>
                </c:pt>
                <c:pt idx="3089">
                  <c:v>0.9713926438226973</c:v>
                </c:pt>
                <c:pt idx="3090">
                  <c:v>0.97170701037409624</c:v>
                </c:pt>
                <c:pt idx="3091">
                  <c:v>0.97202137692549517</c:v>
                </c:pt>
                <c:pt idx="3092">
                  <c:v>0.97233574347689411</c:v>
                </c:pt>
                <c:pt idx="3093">
                  <c:v>0.97265011002829294</c:v>
                </c:pt>
                <c:pt idx="3094">
                  <c:v>0.97296447657969187</c:v>
                </c:pt>
                <c:pt idx="3095">
                  <c:v>0.97327884313109081</c:v>
                </c:pt>
                <c:pt idx="3096">
                  <c:v>0.97359320968248975</c:v>
                </c:pt>
                <c:pt idx="3097">
                  <c:v>0.97390757623388868</c:v>
                </c:pt>
                <c:pt idx="3098">
                  <c:v>0.97422194278528762</c:v>
                </c:pt>
                <c:pt idx="3099">
                  <c:v>0.97453630933668656</c:v>
                </c:pt>
                <c:pt idx="3100">
                  <c:v>0.97485067588808549</c:v>
                </c:pt>
                <c:pt idx="3101">
                  <c:v>0.97516504243948443</c:v>
                </c:pt>
                <c:pt idx="3102">
                  <c:v>0.97547940899088337</c:v>
                </c:pt>
                <c:pt idx="3103">
                  <c:v>0.9757937755422823</c:v>
                </c:pt>
                <c:pt idx="3104">
                  <c:v>0.97610814209368124</c:v>
                </c:pt>
                <c:pt idx="3105">
                  <c:v>0.97642250864508018</c:v>
                </c:pt>
                <c:pt idx="3106">
                  <c:v>0.97673687519647912</c:v>
                </c:pt>
                <c:pt idx="3107">
                  <c:v>0.97705124174787805</c:v>
                </c:pt>
                <c:pt idx="3108">
                  <c:v>0.97736560829927699</c:v>
                </c:pt>
                <c:pt idx="3109">
                  <c:v>0.97767997485067593</c:v>
                </c:pt>
                <c:pt idx="3110">
                  <c:v>0.97799434140207486</c:v>
                </c:pt>
                <c:pt idx="3111">
                  <c:v>0.9783087079534738</c:v>
                </c:pt>
                <c:pt idx="3112">
                  <c:v>0.97862307450487274</c:v>
                </c:pt>
                <c:pt idx="3113">
                  <c:v>0.97893744105627156</c:v>
                </c:pt>
                <c:pt idx="3114">
                  <c:v>0.9792518076076705</c:v>
                </c:pt>
                <c:pt idx="3115">
                  <c:v>0.97956617415906944</c:v>
                </c:pt>
                <c:pt idx="3116">
                  <c:v>0.97988054071046837</c:v>
                </c:pt>
                <c:pt idx="3117">
                  <c:v>0.98019490726186731</c:v>
                </c:pt>
                <c:pt idx="3118">
                  <c:v>0.98050927381326625</c:v>
                </c:pt>
                <c:pt idx="3119">
                  <c:v>0.98082364036466518</c:v>
                </c:pt>
                <c:pt idx="3120">
                  <c:v>0.98113800691606412</c:v>
                </c:pt>
                <c:pt idx="3121">
                  <c:v>0.98145237346746306</c:v>
                </c:pt>
                <c:pt idx="3122">
                  <c:v>0.98176674001886199</c:v>
                </c:pt>
                <c:pt idx="3123">
                  <c:v>0.98208110657026093</c:v>
                </c:pt>
                <c:pt idx="3124">
                  <c:v>0.98239547312165987</c:v>
                </c:pt>
                <c:pt idx="3125">
                  <c:v>0.9827098396730588</c:v>
                </c:pt>
                <c:pt idx="3126">
                  <c:v>0.98302420622445774</c:v>
                </c:pt>
                <c:pt idx="3127">
                  <c:v>0.98333857277585668</c:v>
                </c:pt>
                <c:pt idx="3128">
                  <c:v>0.98365293932725562</c:v>
                </c:pt>
                <c:pt idx="3129">
                  <c:v>0.98396730587865455</c:v>
                </c:pt>
                <c:pt idx="3130">
                  <c:v>0.98428167243005349</c:v>
                </c:pt>
                <c:pt idx="3131">
                  <c:v>0.98459603898145243</c:v>
                </c:pt>
                <c:pt idx="3132">
                  <c:v>0.98491040553285125</c:v>
                </c:pt>
                <c:pt idx="3133">
                  <c:v>0.98522477208425019</c:v>
                </c:pt>
                <c:pt idx="3134">
                  <c:v>0.98553913863564913</c:v>
                </c:pt>
                <c:pt idx="3135">
                  <c:v>0.98585350518704806</c:v>
                </c:pt>
                <c:pt idx="3136">
                  <c:v>0.986167871738447</c:v>
                </c:pt>
                <c:pt idx="3137">
                  <c:v>0.98648223828984594</c:v>
                </c:pt>
                <c:pt idx="3138">
                  <c:v>0.98679660484124487</c:v>
                </c:pt>
                <c:pt idx="3139">
                  <c:v>0.98711097139264381</c:v>
                </c:pt>
                <c:pt idx="3140">
                  <c:v>0.98742533794404275</c:v>
                </c:pt>
                <c:pt idx="3141">
                  <c:v>0.98773970449544168</c:v>
                </c:pt>
                <c:pt idx="3142">
                  <c:v>0.98805407104684062</c:v>
                </c:pt>
                <c:pt idx="3143">
                  <c:v>0.98836843759823956</c:v>
                </c:pt>
                <c:pt idx="3144">
                  <c:v>0.98868280414963849</c:v>
                </c:pt>
                <c:pt idx="3145">
                  <c:v>0.98899717070103743</c:v>
                </c:pt>
                <c:pt idx="3146">
                  <c:v>0.98931153725243637</c:v>
                </c:pt>
                <c:pt idx="3147">
                  <c:v>0.98962590380383531</c:v>
                </c:pt>
                <c:pt idx="3148">
                  <c:v>0.98994027035523424</c:v>
                </c:pt>
                <c:pt idx="3149">
                  <c:v>0.99025463690663318</c:v>
                </c:pt>
                <c:pt idx="3150">
                  <c:v>0.99056900345803212</c:v>
                </c:pt>
                <c:pt idx="3151">
                  <c:v>0.99088337000943094</c:v>
                </c:pt>
                <c:pt idx="3152">
                  <c:v>0.99119773656082988</c:v>
                </c:pt>
                <c:pt idx="3153">
                  <c:v>0.99151210311222882</c:v>
                </c:pt>
                <c:pt idx="3154">
                  <c:v>0.99182646966362775</c:v>
                </c:pt>
                <c:pt idx="3155">
                  <c:v>0.99214083621502669</c:v>
                </c:pt>
                <c:pt idx="3156">
                  <c:v>0.99245520276642563</c:v>
                </c:pt>
                <c:pt idx="3157">
                  <c:v>0.99276956931782456</c:v>
                </c:pt>
                <c:pt idx="3158">
                  <c:v>0.9930839358692235</c:v>
                </c:pt>
                <c:pt idx="3159">
                  <c:v>0.99339830242062244</c:v>
                </c:pt>
                <c:pt idx="3160">
                  <c:v>0.99371266897202137</c:v>
                </c:pt>
                <c:pt idx="3161">
                  <c:v>0.99402703552342031</c:v>
                </c:pt>
                <c:pt idx="3162">
                  <c:v>0.99434140207481925</c:v>
                </c:pt>
                <c:pt idx="3163">
                  <c:v>0.99465576862621818</c:v>
                </c:pt>
                <c:pt idx="3164">
                  <c:v>0.99497013517761712</c:v>
                </c:pt>
                <c:pt idx="3165">
                  <c:v>0.99528450172901606</c:v>
                </c:pt>
                <c:pt idx="3166">
                  <c:v>0.99559886828041499</c:v>
                </c:pt>
                <c:pt idx="3167">
                  <c:v>0.99591323483181393</c:v>
                </c:pt>
                <c:pt idx="3168">
                  <c:v>0.99622760138321287</c:v>
                </c:pt>
                <c:pt idx="3169">
                  <c:v>0.99654196793461181</c:v>
                </c:pt>
                <c:pt idx="3170">
                  <c:v>0.99685633448601074</c:v>
                </c:pt>
                <c:pt idx="3171">
                  <c:v>0.99717070103740957</c:v>
                </c:pt>
                <c:pt idx="3172">
                  <c:v>0.9974850675888085</c:v>
                </c:pt>
                <c:pt idx="3173">
                  <c:v>0.99779943414020744</c:v>
                </c:pt>
                <c:pt idx="3174">
                  <c:v>0.99811380069160638</c:v>
                </c:pt>
                <c:pt idx="3175">
                  <c:v>0.99842816724300532</c:v>
                </c:pt>
                <c:pt idx="3176">
                  <c:v>0.99874253379440425</c:v>
                </c:pt>
                <c:pt idx="3177">
                  <c:v>0.99905690034580319</c:v>
                </c:pt>
                <c:pt idx="3178">
                  <c:v>0.99937126689720213</c:v>
                </c:pt>
                <c:pt idx="3179">
                  <c:v>0.99968563344860106</c:v>
                </c:pt>
                <c:pt idx="31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B-8642-A68D-FFB1287F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636992"/>
        <c:axId val="1518635200"/>
      </c:scatterChart>
      <c:valAx>
        <c:axId val="1518636992"/>
        <c:scaling>
          <c:orientation val="minMax"/>
          <c:max val="0.16000000000000003"/>
          <c:min val="-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35200"/>
        <c:crosses val="autoZero"/>
        <c:crossBetween val="midCat"/>
      </c:valAx>
      <c:valAx>
        <c:axId val="15186352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36992"/>
        <c:crossesAt val="-0.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Return Probability Desnity Function Approximation (Using 2% bin)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Aptos Narrow" panose="02110004020202020204"/>
            </a:rPr>
            <a:t>Return Probability Desnity Function Approximation (Using .2% bin) </a:t>
          </a:r>
        </a:p>
      </cx:txPr>
    </cx:title>
    <cx:plotArea>
      <cx:plotAreaRegion>
        <cx:series layoutId="clusteredColumn" uniqueId="{00000000-3236-F14F-B687-DE420D413E1C}">
          <cx:tx>
            <cx:txData>
              <cx:f>_xlchart.v1.0</cx:f>
              <cx:v>Return</cx:v>
            </cx:txData>
          </cx:tx>
          <cx:dataPt idx="808"/>
          <cx:dataId val="0"/>
          <cx:layoutPr>
            <cx:binning intervalClosed="r" underflow="-0.10000000000000001">
              <cx:binSize val="0.0002000000000000000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249766</xdr:colOff>
      <xdr:row>1</xdr:row>
      <xdr:rowOff>124177</xdr:rowOff>
    </xdr:from>
    <xdr:to>
      <xdr:col>25</xdr:col>
      <xdr:colOff>578556</xdr:colOff>
      <xdr:row>21</xdr:row>
      <xdr:rowOff>169333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83F946D-DFA2-7718-C6A7-C650ACD77F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45866" y="327377"/>
              <a:ext cx="8583790" cy="41091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256116</xdr:colOff>
      <xdr:row>23</xdr:row>
      <xdr:rowOff>183445</xdr:rowOff>
    </xdr:from>
    <xdr:to>
      <xdr:col>25</xdr:col>
      <xdr:colOff>317500</xdr:colOff>
      <xdr:row>40</xdr:row>
      <xdr:rowOff>183445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B4F2F2-15F1-7E91-B116-21E195016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10F0BB-241C-2F48-9B85-8B71E730C259}" name="Table2" displayName="Table2" ref="A1:H3183" totalsRowShown="0">
  <autoFilter ref="A1:H3183" xr:uid="{5210F0BB-241C-2F48-9B85-8B71E730C259}"/>
  <tableColumns count="8">
    <tableColumn id="1" xr3:uid="{6D2BA143-8CC8-8A4D-AFE1-83EFC41B2B1B}" name="Date" dataDxfId="2"/>
    <tableColumn id="2" xr3:uid="{42A9F336-7F84-854E-A31A-277CCF7134A0}" name="Adj Close"/>
    <tableColumn id="3" xr3:uid="{20723082-A09D-9543-9427-6CFAD6AB3F3C}" name="Close"/>
    <tableColumn id="4" xr3:uid="{B0848978-3652-4A45-A660-9A4717FD2859}" name="High"/>
    <tableColumn id="5" xr3:uid="{07AB30E5-6F2A-7340-8129-7BAE6E5D9EB0}" name="Low"/>
    <tableColumn id="6" xr3:uid="{FC8A6ACF-23BF-794C-8E41-67A6A554AA10}" name="Open"/>
    <tableColumn id="7" xr3:uid="{F46E3C45-F9E5-974B-AF9D-E3F71FB18FFA}" name="Volume" dataDxfId="1"/>
    <tableColumn id="8" xr3:uid="{87634CB9-7502-A94D-A689-EA87B2E9A91A}" name="Return" dataDxfId="0">
      <calculatedColumnFormula>B2/B1-1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DE25-2ECE-3940-8FD1-0FBDB2605E03}">
  <dimension ref="A1:O3183"/>
  <sheetViews>
    <sheetView tabSelected="1" topLeftCell="J1" zoomScale="90" zoomScaleNormal="90" workbookViewId="0">
      <selection activeCell="N32" sqref="N32"/>
    </sheetView>
  </sheetViews>
  <sheetFormatPr baseColWidth="10" defaultRowHeight="16" x14ac:dyDescent="0.2"/>
  <cols>
    <col min="1" max="1" width="8.5" style="1" bestFit="1" customWidth="1"/>
    <col min="2" max="6" width="12.1640625" bestFit="1" customWidth="1"/>
    <col min="7" max="7" width="17" style="2" customWidth="1"/>
    <col min="8" max="8" width="12.1640625" style="3" bestFit="1" customWidth="1"/>
    <col min="9" max="9" width="25.1640625" customWidth="1"/>
    <col min="10" max="10" width="19.5" style="3" customWidth="1"/>
    <col min="11" max="11" width="24" bestFit="1" customWidth="1"/>
    <col min="12" max="12" width="19.6640625" customWidth="1"/>
    <col min="13" max="13" width="20.6640625" customWidth="1"/>
    <col min="14" max="14" width="21.5" customWidth="1"/>
    <col min="15" max="15" width="28.1640625" customWidth="1"/>
  </cols>
  <sheetData>
    <row r="1" spans="1:15" x14ac:dyDescent="0.2">
      <c r="A1" s="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  <c r="H1" s="3" t="s">
        <v>7</v>
      </c>
      <c r="J1" s="3" t="s">
        <v>17</v>
      </c>
      <c r="K1" s="3" t="s">
        <v>18</v>
      </c>
    </row>
    <row r="2" spans="1:15" x14ac:dyDescent="0.2">
      <c r="A2" s="1">
        <v>41663</v>
      </c>
      <c r="B2">
        <v>30.3482131958007</v>
      </c>
      <c r="C2">
        <v>36.810001373291001</v>
      </c>
      <c r="D2">
        <v>37.549999237060497</v>
      </c>
      <c r="E2">
        <v>36.529998779296797</v>
      </c>
      <c r="F2">
        <v>37.450000762939403</v>
      </c>
      <c r="G2" s="2">
        <v>76395500</v>
      </c>
      <c r="J2" s="3" cm="1">
        <f t="array" ref="J2:J3182">_xlfn._xlws.SORT(_xlfn._xlws.FILTER(H3:H3183,ISNUMBER(H3:H3183)))</f>
        <v>-0.147390347519051</v>
      </c>
      <c r="K2" s="3" cm="1">
        <f t="array" ref="K2:K3182">_xlfn.SEQUENCE(ROWS(_xlfn.ANCHORARRAY(J2)))/ROWS(_xlfn.ANCHORARRAY(J2))</f>
        <v>3.1436655139893113E-4</v>
      </c>
    </row>
    <row r="3" spans="1:15" x14ac:dyDescent="0.2">
      <c r="A3" s="1">
        <v>41666</v>
      </c>
      <c r="B3">
        <v>29.705131530761701</v>
      </c>
      <c r="C3">
        <v>36.029998779296797</v>
      </c>
      <c r="D3">
        <v>36.889999389648402</v>
      </c>
      <c r="E3">
        <v>35.9799995422363</v>
      </c>
      <c r="F3">
        <v>36.869998931884702</v>
      </c>
      <c r="G3" s="2">
        <v>44420800</v>
      </c>
      <c r="H3" s="3">
        <f t="shared" ref="H3:H65" si="0">B3/B2-1</f>
        <v>-2.1190099756119518E-2</v>
      </c>
      <c r="J3" s="3">
        <v>-9.9931401497127315E-2</v>
      </c>
      <c r="K3" s="3">
        <v>6.2873310279786226E-4</v>
      </c>
    </row>
    <row r="4" spans="1:15" x14ac:dyDescent="0.2">
      <c r="A4" s="1">
        <v>41667</v>
      </c>
      <c r="B4">
        <v>29.902997970581001</v>
      </c>
      <c r="C4">
        <v>36.270000457763601</v>
      </c>
      <c r="D4">
        <v>36.389999389648402</v>
      </c>
      <c r="E4">
        <v>35.75</v>
      </c>
      <c r="F4">
        <v>36.119998931884702</v>
      </c>
      <c r="G4" s="2">
        <v>36205500</v>
      </c>
      <c r="H4" s="3">
        <f t="shared" si="0"/>
        <v>6.661018807958996E-3</v>
      </c>
      <c r="J4" s="3">
        <v>-9.4838219372183841E-2</v>
      </c>
      <c r="K4" s="3">
        <v>9.430996541967935E-4</v>
      </c>
    </row>
    <row r="5" spans="1:15" x14ac:dyDescent="0.2">
      <c r="A5" s="1">
        <v>41668</v>
      </c>
      <c r="B5">
        <v>30.224546432495099</v>
      </c>
      <c r="C5">
        <v>36.659999847412102</v>
      </c>
      <c r="D5">
        <v>36.880001068115199</v>
      </c>
      <c r="E5">
        <v>35.900001525878899</v>
      </c>
      <c r="F5">
        <v>35.9799995422363</v>
      </c>
      <c r="G5" s="2">
        <v>52745900</v>
      </c>
      <c r="H5" s="3">
        <f t="shared" si="0"/>
        <v>1.0753050989417146E-2</v>
      </c>
      <c r="J5" s="3">
        <v>-9.2533572044026569E-2</v>
      </c>
      <c r="K5" s="3">
        <v>1.2574662055957245E-3</v>
      </c>
      <c r="N5" t="s">
        <v>8</v>
      </c>
      <c r="O5" s="5">
        <f>AVERAGE(H3:H3183)</f>
        <v>1.0215473329794539E-3</v>
      </c>
    </row>
    <row r="6" spans="1:15" x14ac:dyDescent="0.2">
      <c r="A6" s="1">
        <v>41669</v>
      </c>
      <c r="B6">
        <v>30.3894329071044</v>
      </c>
      <c r="C6">
        <v>36.860000610351499</v>
      </c>
      <c r="D6">
        <v>36.880001068115199</v>
      </c>
      <c r="E6">
        <v>36.2299995422363</v>
      </c>
      <c r="F6">
        <v>36.790000915527301</v>
      </c>
      <c r="G6" s="2">
        <v>35036300</v>
      </c>
      <c r="H6" s="3">
        <f t="shared" si="0"/>
        <v>5.4553829278320976E-3</v>
      </c>
      <c r="J6" s="3">
        <v>-7.7156216290372837E-2</v>
      </c>
      <c r="K6" s="3">
        <v>1.5718327569946558E-3</v>
      </c>
      <c r="N6" t="s">
        <v>9</v>
      </c>
      <c r="O6">
        <f>_xlfn.VAR.S(H3:H3183)</f>
        <v>2.895081895682462E-4</v>
      </c>
    </row>
    <row r="7" spans="1:15" x14ac:dyDescent="0.2">
      <c r="A7" s="1">
        <v>41670</v>
      </c>
      <c r="B7">
        <v>31.1973972320556</v>
      </c>
      <c r="C7">
        <v>37.840000152587798</v>
      </c>
      <c r="D7">
        <v>37.889999389648402</v>
      </c>
      <c r="E7">
        <v>36.560001373291001</v>
      </c>
      <c r="F7">
        <v>36.950000762939403</v>
      </c>
      <c r="G7" s="2">
        <v>93162300</v>
      </c>
      <c r="H7" s="3">
        <f t="shared" si="0"/>
        <v>2.6587015539941694E-2</v>
      </c>
      <c r="J7" s="3">
        <v>-7.1710385897471807E-2</v>
      </c>
      <c r="K7" s="3">
        <v>1.886199308393587E-3</v>
      </c>
      <c r="N7" t="s">
        <v>10</v>
      </c>
      <c r="O7" s="5">
        <f>_xlfn.STDEV.S(H3:H3183)</f>
        <v>1.7014940187031109E-2</v>
      </c>
    </row>
    <row r="8" spans="1:15" x14ac:dyDescent="0.2">
      <c r="A8" s="1">
        <v>41673</v>
      </c>
      <c r="B8">
        <v>30.0761394500732</v>
      </c>
      <c r="C8">
        <v>36.4799995422363</v>
      </c>
      <c r="D8">
        <v>37.990001678466797</v>
      </c>
      <c r="E8">
        <v>36.430000305175703</v>
      </c>
      <c r="F8">
        <v>37.740001678466797</v>
      </c>
      <c r="G8" s="2">
        <v>64063100</v>
      </c>
      <c r="H8" s="3">
        <f t="shared" si="0"/>
        <v>-3.594074767334432E-2</v>
      </c>
      <c r="J8" s="3">
        <v>-7.0459062539986905E-2</v>
      </c>
      <c r="K8" s="3">
        <v>2.2005658597925182E-3</v>
      </c>
      <c r="N8" t="s">
        <v>11</v>
      </c>
      <c r="O8" s="5">
        <f>AVEDEV(H3:H3184)</f>
        <v>1.1610909434273333E-2</v>
      </c>
    </row>
    <row r="9" spans="1:15" x14ac:dyDescent="0.2">
      <c r="A9" s="1">
        <v>41674</v>
      </c>
      <c r="B9">
        <v>29.968948364257798</v>
      </c>
      <c r="C9">
        <v>36.349998474121001</v>
      </c>
      <c r="D9">
        <v>37.189998626708899</v>
      </c>
      <c r="E9">
        <v>36.25</v>
      </c>
      <c r="F9">
        <v>36.970001220703097</v>
      </c>
      <c r="G9" s="2">
        <v>54697900</v>
      </c>
      <c r="H9" s="3">
        <f t="shared" si="0"/>
        <v>-3.5639908503994899E-3</v>
      </c>
      <c r="J9" s="3">
        <v>-6.777258304979461E-2</v>
      </c>
      <c r="K9" s="3">
        <v>2.5149324111914491E-3</v>
      </c>
      <c r="N9" t="s">
        <v>14</v>
      </c>
      <c r="O9" s="4">
        <f>KURT(H2:H3182)</f>
        <v>9.2001031861470981</v>
      </c>
    </row>
    <row r="10" spans="1:15" x14ac:dyDescent="0.2">
      <c r="A10" s="1">
        <v>41675</v>
      </c>
      <c r="B10">
        <v>29.531997680663999</v>
      </c>
      <c r="C10">
        <v>35.819999694824197</v>
      </c>
      <c r="D10">
        <v>36.470001220703097</v>
      </c>
      <c r="E10">
        <v>35.799999237060497</v>
      </c>
      <c r="F10">
        <v>36.290000915527301</v>
      </c>
      <c r="G10" s="2">
        <v>55814400</v>
      </c>
      <c r="H10" s="3">
        <f t="shared" si="0"/>
        <v>-1.458011399942627E-2</v>
      </c>
      <c r="J10" s="3">
        <v>-6.1946845650081572E-2</v>
      </c>
      <c r="K10" s="3">
        <v>2.8292989625903803E-3</v>
      </c>
      <c r="N10" t="s">
        <v>12</v>
      </c>
      <c r="O10" s="4">
        <f>KURT(H3:H3183) + 3</f>
        <v>12.202023155276988</v>
      </c>
    </row>
    <row r="11" spans="1:15" x14ac:dyDescent="0.2">
      <c r="A11" s="1">
        <v>41676</v>
      </c>
      <c r="B11">
        <v>29.828798294067301</v>
      </c>
      <c r="C11">
        <v>36.180000305175703</v>
      </c>
      <c r="D11">
        <v>36.25</v>
      </c>
      <c r="E11">
        <v>35.689998626708899</v>
      </c>
      <c r="F11">
        <v>35.799999237060497</v>
      </c>
      <c r="G11" s="2">
        <v>35351800</v>
      </c>
      <c r="H11" s="3">
        <f t="shared" si="0"/>
        <v>1.0050136689453648E-2</v>
      </c>
      <c r="J11" s="3">
        <v>-6.1809036369069537E-2</v>
      </c>
      <c r="K11" s="3">
        <v>3.1436655139893115E-3</v>
      </c>
      <c r="N11" t="s">
        <v>13</v>
      </c>
      <c r="O11">
        <f>SKEW(H3:H3183)</f>
        <v>0.31613325831300765</v>
      </c>
    </row>
    <row r="12" spans="1:15" x14ac:dyDescent="0.2">
      <c r="A12" s="1">
        <v>41677</v>
      </c>
      <c r="B12">
        <v>30.142097473144499</v>
      </c>
      <c r="C12">
        <v>36.560001373291001</v>
      </c>
      <c r="D12">
        <v>36.590000152587798</v>
      </c>
      <c r="E12">
        <v>36.009998321533203</v>
      </c>
      <c r="F12">
        <v>36.319999694824197</v>
      </c>
      <c r="G12" s="2">
        <v>33260500</v>
      </c>
      <c r="H12" s="3">
        <f t="shared" si="0"/>
        <v>1.0503245085119906E-2</v>
      </c>
      <c r="J12" s="3">
        <v>-6.0527568326576686E-2</v>
      </c>
      <c r="K12" s="3">
        <v>3.4580320653882428E-3</v>
      </c>
    </row>
    <row r="13" spans="1:15" x14ac:dyDescent="0.2">
      <c r="A13" s="1">
        <v>41680</v>
      </c>
      <c r="B13">
        <v>30.339958190917901</v>
      </c>
      <c r="C13">
        <v>36.799999237060497</v>
      </c>
      <c r="D13">
        <v>36.799999237060497</v>
      </c>
      <c r="E13">
        <v>36.290000915527301</v>
      </c>
      <c r="F13">
        <v>36.630001068115199</v>
      </c>
      <c r="G13" s="2">
        <v>26767000</v>
      </c>
      <c r="H13" s="3">
        <f t="shared" si="0"/>
        <v>6.5642650764330401E-3</v>
      </c>
      <c r="J13" s="3">
        <v>-5.6723199013224201E-2</v>
      </c>
      <c r="K13" s="3">
        <v>3.772398616787174E-3</v>
      </c>
      <c r="N13" t="s">
        <v>15</v>
      </c>
      <c r="O13" s="3">
        <f>MIN(H3:H3183)</f>
        <v>-0.147390347519051</v>
      </c>
    </row>
    <row r="14" spans="1:15" x14ac:dyDescent="0.2">
      <c r="A14" s="1">
        <v>41681</v>
      </c>
      <c r="B14">
        <v>30.645015716552699</v>
      </c>
      <c r="C14">
        <v>37.169998168945298</v>
      </c>
      <c r="D14">
        <v>37.259998321533203</v>
      </c>
      <c r="E14">
        <v>36.860000610351499</v>
      </c>
      <c r="F14">
        <v>36.880001068115199</v>
      </c>
      <c r="G14" s="2">
        <v>32141400</v>
      </c>
      <c r="H14" s="3">
        <f t="shared" si="0"/>
        <v>1.005464555076796E-2</v>
      </c>
      <c r="J14" s="3">
        <v>-5.4978334142037344E-2</v>
      </c>
      <c r="K14" s="3">
        <v>4.0867651681861048E-3</v>
      </c>
      <c r="N14" t="s">
        <v>16</v>
      </c>
      <c r="O14" s="3">
        <f>MAX(H3:H3183)</f>
        <v>0.15506739165511529</v>
      </c>
    </row>
    <row r="15" spans="1:15" x14ac:dyDescent="0.2">
      <c r="A15" s="1">
        <v>41682</v>
      </c>
      <c r="B15">
        <v>30.892351150512599</v>
      </c>
      <c r="C15">
        <v>37.470001220703097</v>
      </c>
      <c r="D15">
        <v>37.599998474121001</v>
      </c>
      <c r="E15">
        <v>37.299999237060497</v>
      </c>
      <c r="F15">
        <v>37.349998474121001</v>
      </c>
      <c r="G15" s="2">
        <v>27051800</v>
      </c>
      <c r="H15" s="3">
        <f t="shared" si="0"/>
        <v>8.0709840793555809E-3</v>
      </c>
      <c r="J15" s="3">
        <v>-5.4338020691248601E-2</v>
      </c>
      <c r="K15" s="3">
        <v>4.4011317195850365E-3</v>
      </c>
    </row>
    <row r="16" spans="1:15" x14ac:dyDescent="0.2">
      <c r="A16" s="1">
        <v>41683</v>
      </c>
      <c r="B16">
        <v>31.007774353027301</v>
      </c>
      <c r="C16">
        <v>37.610000610351499</v>
      </c>
      <c r="D16">
        <v>37.860000610351499</v>
      </c>
      <c r="E16">
        <v>37.330001831054602</v>
      </c>
      <c r="F16">
        <v>37.330001831054602</v>
      </c>
      <c r="G16" s="2">
        <v>37635500</v>
      </c>
      <c r="H16" s="3">
        <f t="shared" si="0"/>
        <v>3.7363035902429065E-3</v>
      </c>
      <c r="J16" s="3">
        <v>-5.4095726771217878E-2</v>
      </c>
      <c r="K16" s="3">
        <v>4.7154982709839673E-3</v>
      </c>
    </row>
    <row r="17" spans="1:11" x14ac:dyDescent="0.2">
      <c r="A17" s="1">
        <v>41684</v>
      </c>
      <c r="B17">
        <v>31.0160217285156</v>
      </c>
      <c r="C17">
        <v>37.619998931884702</v>
      </c>
      <c r="D17">
        <v>37.779998779296797</v>
      </c>
      <c r="E17">
        <v>37.330001831054602</v>
      </c>
      <c r="F17">
        <v>37.389999389648402</v>
      </c>
      <c r="G17" s="2">
        <v>31407500</v>
      </c>
      <c r="H17" s="3">
        <f t="shared" si="0"/>
        <v>2.6597766722624705E-4</v>
      </c>
      <c r="J17" s="3">
        <v>-5.3698481537007736E-2</v>
      </c>
      <c r="K17" s="3">
        <v>5.0298648223828981E-3</v>
      </c>
    </row>
    <row r="18" spans="1:11" x14ac:dyDescent="0.2">
      <c r="A18" s="1">
        <v>41688</v>
      </c>
      <c r="B18">
        <v>31.08247756958</v>
      </c>
      <c r="C18">
        <v>37.419998168945298</v>
      </c>
      <c r="D18">
        <v>37.779998779296797</v>
      </c>
      <c r="E18">
        <v>37.409999847412102</v>
      </c>
      <c r="F18">
        <v>37.630001068115199</v>
      </c>
      <c r="G18" s="2">
        <v>32834000</v>
      </c>
      <c r="H18" s="3">
        <f t="shared" si="0"/>
        <v>2.1426294334614404E-3</v>
      </c>
      <c r="J18" s="3">
        <v>-5.3469020599410833E-2</v>
      </c>
      <c r="K18" s="3">
        <v>5.3442313737818298E-3</v>
      </c>
    </row>
    <row r="19" spans="1:11" x14ac:dyDescent="0.2">
      <c r="A19" s="1">
        <v>41689</v>
      </c>
      <c r="B19">
        <v>31.1572246551513</v>
      </c>
      <c r="C19">
        <v>37.509998321533203</v>
      </c>
      <c r="D19">
        <v>37.75</v>
      </c>
      <c r="E19">
        <v>37.209999084472599</v>
      </c>
      <c r="F19">
        <v>37.220001220703097</v>
      </c>
      <c r="G19" s="2">
        <v>29750400</v>
      </c>
      <c r="H19" s="3">
        <f t="shared" si="0"/>
        <v>2.4047981826407216E-3</v>
      </c>
      <c r="J19" s="3">
        <v>-5.1333455619284152E-2</v>
      </c>
      <c r="K19" s="3">
        <v>5.6585979251807606E-3</v>
      </c>
    </row>
    <row r="20" spans="1:11" x14ac:dyDescent="0.2">
      <c r="A20" s="1">
        <v>41690</v>
      </c>
      <c r="B20">
        <v>31.356575012206999</v>
      </c>
      <c r="C20">
        <v>37.75</v>
      </c>
      <c r="D20">
        <v>37.869998931884702</v>
      </c>
      <c r="E20">
        <v>37.400001525878899</v>
      </c>
      <c r="F20">
        <v>37.569999694824197</v>
      </c>
      <c r="G20" s="2">
        <v>27526100</v>
      </c>
      <c r="H20" s="3">
        <f t="shared" si="0"/>
        <v>6.3982064918204351E-3</v>
      </c>
      <c r="J20" s="3">
        <v>-5.0852805851266725E-2</v>
      </c>
      <c r="K20" s="3">
        <v>5.9729644765796923E-3</v>
      </c>
    </row>
    <row r="21" spans="1:11" x14ac:dyDescent="0.2">
      <c r="A21" s="1">
        <v>41691</v>
      </c>
      <c r="B21">
        <v>31.547634124755799</v>
      </c>
      <c r="C21">
        <v>37.9799995422363</v>
      </c>
      <c r="D21">
        <v>38.349998474121001</v>
      </c>
      <c r="E21">
        <v>37.860000610351499</v>
      </c>
      <c r="F21">
        <v>37.939998626708899</v>
      </c>
      <c r="G21" s="2">
        <v>38021300</v>
      </c>
      <c r="H21" s="3">
        <f t="shared" si="0"/>
        <v>6.0931116512061845E-3</v>
      </c>
      <c r="J21" s="3">
        <v>-4.9566522318313933E-2</v>
      </c>
      <c r="K21" s="3">
        <v>6.2873310279786231E-3</v>
      </c>
    </row>
    <row r="22" spans="1:11" x14ac:dyDescent="0.2">
      <c r="A22" s="1">
        <v>41694</v>
      </c>
      <c r="B22">
        <v>31.306739807128899</v>
      </c>
      <c r="C22">
        <v>37.689998626708899</v>
      </c>
      <c r="D22">
        <v>37.9799995422363</v>
      </c>
      <c r="E22">
        <v>37.540000915527301</v>
      </c>
      <c r="F22">
        <v>37.689998626708899</v>
      </c>
      <c r="G22" s="2">
        <v>32085100</v>
      </c>
      <c r="H22" s="3">
        <f t="shared" si="0"/>
        <v>-7.6358917018715111E-3</v>
      </c>
      <c r="J22" s="3">
        <v>-4.9542520559455072E-2</v>
      </c>
      <c r="K22" s="3">
        <v>6.6016975793775539E-3</v>
      </c>
    </row>
    <row r="23" spans="1:11" x14ac:dyDescent="0.2">
      <c r="A23" s="1">
        <v>41695</v>
      </c>
      <c r="B23">
        <v>31.182142257690401</v>
      </c>
      <c r="C23">
        <v>37.540000915527301</v>
      </c>
      <c r="D23">
        <v>37.849998474121001</v>
      </c>
      <c r="E23">
        <v>37.349998474121001</v>
      </c>
      <c r="F23">
        <v>37.610000610351499</v>
      </c>
      <c r="G23" s="2">
        <v>30736500</v>
      </c>
      <c r="H23" s="3">
        <f t="shared" si="0"/>
        <v>-3.9798953901334366E-3</v>
      </c>
      <c r="J23" s="3">
        <v>-4.7919155397019075E-2</v>
      </c>
      <c r="K23" s="3">
        <v>6.9160641307764855E-3</v>
      </c>
    </row>
    <row r="24" spans="1:11" x14ac:dyDescent="0.2">
      <c r="A24" s="1">
        <v>41696</v>
      </c>
      <c r="B24">
        <v>31.123996734619102</v>
      </c>
      <c r="C24">
        <v>37.470001220703097</v>
      </c>
      <c r="D24">
        <v>37.740001678466797</v>
      </c>
      <c r="E24">
        <v>37.189998626708899</v>
      </c>
      <c r="F24">
        <v>37.580001831054602</v>
      </c>
      <c r="G24" s="2">
        <v>41041800</v>
      </c>
      <c r="H24" s="3">
        <f t="shared" si="0"/>
        <v>-1.8647058496104041E-3</v>
      </c>
      <c r="J24" s="3">
        <v>-4.5958698818849175E-2</v>
      </c>
      <c r="K24" s="3">
        <v>7.2304306821754163E-3</v>
      </c>
    </row>
    <row r="25" spans="1:11" x14ac:dyDescent="0.2">
      <c r="A25" s="1">
        <v>41697</v>
      </c>
      <c r="B25">
        <v>31.447952270507798</v>
      </c>
      <c r="C25">
        <v>37.860000610351499</v>
      </c>
      <c r="D25">
        <v>37.889999389648402</v>
      </c>
      <c r="E25">
        <v>37.2299995422363</v>
      </c>
      <c r="F25">
        <v>37.450000762939403</v>
      </c>
      <c r="G25" s="2">
        <v>33903400</v>
      </c>
      <c r="H25" s="3">
        <f t="shared" si="0"/>
        <v>1.0408545491471521E-2</v>
      </c>
      <c r="J25" s="3">
        <v>-4.5529797786743376E-2</v>
      </c>
      <c r="K25" s="3">
        <v>7.544797233574348E-3</v>
      </c>
    </row>
    <row r="26" spans="1:11" x14ac:dyDescent="0.2">
      <c r="A26" s="1">
        <v>41698</v>
      </c>
      <c r="B26">
        <v>31.821731567382798</v>
      </c>
      <c r="C26">
        <v>38.310001373291001</v>
      </c>
      <c r="D26">
        <v>38.459999084472599</v>
      </c>
      <c r="E26">
        <v>37.819999694824197</v>
      </c>
      <c r="F26">
        <v>37.9799995422363</v>
      </c>
      <c r="G26" s="2">
        <v>41215000</v>
      </c>
      <c r="H26" s="3">
        <f t="shared" si="0"/>
        <v>1.1885648186560349E-2</v>
      </c>
      <c r="J26" s="3">
        <v>-4.5302191006575843E-2</v>
      </c>
      <c r="K26" s="3">
        <v>7.8591637849732797E-3</v>
      </c>
    </row>
    <row r="27" spans="1:11" x14ac:dyDescent="0.2">
      <c r="A27" s="1">
        <v>41701</v>
      </c>
      <c r="B27">
        <v>31.381494522094702</v>
      </c>
      <c r="C27">
        <v>37.779998779296797</v>
      </c>
      <c r="D27">
        <v>38.130001068115199</v>
      </c>
      <c r="E27">
        <v>37.490001678466797</v>
      </c>
      <c r="F27">
        <v>37.919998168945298</v>
      </c>
      <c r="G27" s="2">
        <v>29717500</v>
      </c>
      <c r="H27" s="3">
        <f t="shared" si="0"/>
        <v>-1.3834477999913108E-2</v>
      </c>
      <c r="J27" s="3">
        <v>-4.4563525564968454E-2</v>
      </c>
      <c r="K27" s="3">
        <v>8.1735303363722096E-3</v>
      </c>
    </row>
    <row r="28" spans="1:11" x14ac:dyDescent="0.2">
      <c r="A28" s="1">
        <v>41702</v>
      </c>
      <c r="B28">
        <v>31.904802322387599</v>
      </c>
      <c r="C28">
        <v>38.409999847412102</v>
      </c>
      <c r="D28">
        <v>38.4799995422363</v>
      </c>
      <c r="E28">
        <v>38.069999694824197</v>
      </c>
      <c r="F28">
        <v>38.200000762939403</v>
      </c>
      <c r="G28" s="2">
        <v>26802400</v>
      </c>
      <c r="H28" s="3">
        <f t="shared" si="0"/>
        <v>1.6675681265736264E-2</v>
      </c>
      <c r="J28" s="3">
        <v>-4.3743222452149788E-2</v>
      </c>
      <c r="K28" s="3">
        <v>8.4878968877711413E-3</v>
      </c>
    </row>
    <row r="29" spans="1:11" x14ac:dyDescent="0.2">
      <c r="A29" s="1">
        <v>41703</v>
      </c>
      <c r="B29">
        <v>31.6556186676025</v>
      </c>
      <c r="C29">
        <v>38.110000610351499</v>
      </c>
      <c r="D29">
        <v>38.270000457763601</v>
      </c>
      <c r="E29">
        <v>37.930000305175703</v>
      </c>
      <c r="F29">
        <v>38.25</v>
      </c>
      <c r="G29" s="2">
        <v>20520100</v>
      </c>
      <c r="H29" s="3">
        <f t="shared" si="0"/>
        <v>-7.8102240617942131E-3</v>
      </c>
      <c r="J29" s="3">
        <v>-4.3554617630977344E-2</v>
      </c>
      <c r="K29" s="3">
        <v>8.802263439170073E-3</v>
      </c>
    </row>
    <row r="30" spans="1:11" x14ac:dyDescent="0.2">
      <c r="A30" s="1">
        <v>41704</v>
      </c>
      <c r="B30">
        <v>31.688827514648398</v>
      </c>
      <c r="C30">
        <v>38.150001525878899</v>
      </c>
      <c r="D30">
        <v>38.240001678466797</v>
      </c>
      <c r="E30">
        <v>37.889999389648402</v>
      </c>
      <c r="F30">
        <v>38.139999389648402</v>
      </c>
      <c r="G30" s="2">
        <v>23582200</v>
      </c>
      <c r="H30" s="3">
        <f t="shared" si="0"/>
        <v>1.0490664357125645E-3</v>
      </c>
      <c r="J30" s="3">
        <v>-4.3494604703568585E-2</v>
      </c>
      <c r="K30" s="3">
        <v>9.1166299905690029E-3</v>
      </c>
    </row>
    <row r="31" spans="1:11" x14ac:dyDescent="0.2">
      <c r="A31" s="1">
        <v>41705</v>
      </c>
      <c r="B31">
        <v>31.4811706542968</v>
      </c>
      <c r="C31">
        <v>37.900001525878899</v>
      </c>
      <c r="D31">
        <v>38.360000610351499</v>
      </c>
      <c r="E31">
        <v>37.689998626708899</v>
      </c>
      <c r="F31">
        <v>38.279998779296797</v>
      </c>
      <c r="G31" s="2">
        <v>26591600</v>
      </c>
      <c r="H31" s="3">
        <f t="shared" si="0"/>
        <v>-6.5529991684168953E-3</v>
      </c>
      <c r="J31" s="3">
        <v>-4.3115518747383286E-2</v>
      </c>
      <c r="K31" s="3">
        <v>9.4309965419679346E-3</v>
      </c>
    </row>
    <row r="32" spans="1:11" x14ac:dyDescent="0.2">
      <c r="A32" s="1">
        <v>41708</v>
      </c>
      <c r="B32">
        <v>31.414724349975501</v>
      </c>
      <c r="C32">
        <v>37.819999694824197</v>
      </c>
      <c r="D32">
        <v>38.009998321533203</v>
      </c>
      <c r="E32">
        <v>37.720001220703097</v>
      </c>
      <c r="F32">
        <v>37.990001678466797</v>
      </c>
      <c r="G32" s="2">
        <v>19006600</v>
      </c>
      <c r="H32" s="3">
        <f t="shared" si="0"/>
        <v>-2.1106681530672633E-3</v>
      </c>
      <c r="J32" s="3">
        <v>-4.2412853650190541E-2</v>
      </c>
      <c r="K32" s="3">
        <v>9.7453630933668663E-3</v>
      </c>
    </row>
    <row r="33" spans="1:11" x14ac:dyDescent="0.2">
      <c r="A33" s="1">
        <v>41709</v>
      </c>
      <c r="B33">
        <v>31.580848693847599</v>
      </c>
      <c r="C33">
        <v>38.020000457763601</v>
      </c>
      <c r="D33">
        <v>38.2299995422363</v>
      </c>
      <c r="E33">
        <v>37.720001220703097</v>
      </c>
      <c r="F33">
        <v>37.869998931884702</v>
      </c>
      <c r="G33" s="2">
        <v>25216400</v>
      </c>
      <c r="H33" s="3">
        <f t="shared" si="0"/>
        <v>5.28810445768646E-3</v>
      </c>
      <c r="J33" s="3">
        <v>-4.2322542041162481E-2</v>
      </c>
      <c r="K33" s="3">
        <v>1.0059729644765796E-2</v>
      </c>
    </row>
    <row r="34" spans="1:11" x14ac:dyDescent="0.2">
      <c r="A34" s="1">
        <v>41710</v>
      </c>
      <c r="B34">
        <v>31.788497924804599</v>
      </c>
      <c r="C34">
        <v>38.270000457763601</v>
      </c>
      <c r="D34">
        <v>38.430000305175703</v>
      </c>
      <c r="E34">
        <v>37.790000915527301</v>
      </c>
      <c r="F34">
        <v>37.799999237060497</v>
      </c>
      <c r="G34" s="2">
        <v>30494100</v>
      </c>
      <c r="H34" s="3">
        <f t="shared" si="0"/>
        <v>6.575163098686776E-3</v>
      </c>
      <c r="J34" s="3">
        <v>-4.2096111309362527E-2</v>
      </c>
      <c r="K34" s="3">
        <v>1.0374096196164728E-2</v>
      </c>
    </row>
    <row r="35" spans="1:11" x14ac:dyDescent="0.2">
      <c r="A35" s="1">
        <v>41711</v>
      </c>
      <c r="B35">
        <v>31.472873687744102</v>
      </c>
      <c r="C35">
        <v>37.889999389648402</v>
      </c>
      <c r="D35">
        <v>38.450000762939403</v>
      </c>
      <c r="E35">
        <v>37.639999389648402</v>
      </c>
      <c r="F35">
        <v>38.419998168945298</v>
      </c>
      <c r="G35" s="2">
        <v>32169700</v>
      </c>
      <c r="H35" s="3">
        <f t="shared" si="0"/>
        <v>-9.928881754875718E-3</v>
      </c>
      <c r="J35" s="3">
        <v>-4.1812168680009254E-2</v>
      </c>
      <c r="K35" s="3">
        <v>1.068846274756366E-2</v>
      </c>
    </row>
    <row r="36" spans="1:11" x14ac:dyDescent="0.2">
      <c r="A36" s="1">
        <v>41712</v>
      </c>
      <c r="B36">
        <v>31.315044403076101</v>
      </c>
      <c r="C36">
        <v>37.700000762939403</v>
      </c>
      <c r="D36">
        <v>38.139999389648402</v>
      </c>
      <c r="E36">
        <v>37.509998321533203</v>
      </c>
      <c r="F36">
        <v>37.650001525878899</v>
      </c>
      <c r="G36" s="2">
        <v>27195600</v>
      </c>
      <c r="H36" s="3">
        <f t="shared" si="0"/>
        <v>-5.0147719662936296E-3</v>
      </c>
      <c r="J36" s="3">
        <v>-4.1738748923517144E-2</v>
      </c>
      <c r="K36" s="3">
        <v>1.1002829298962591E-2</v>
      </c>
    </row>
    <row r="37" spans="1:11" x14ac:dyDescent="0.2">
      <c r="A37" s="1">
        <v>41715</v>
      </c>
      <c r="B37">
        <v>31.6057739257812</v>
      </c>
      <c r="C37">
        <v>38.049999237060497</v>
      </c>
      <c r="D37">
        <v>38.409999847412102</v>
      </c>
      <c r="E37">
        <v>37.790000915527301</v>
      </c>
      <c r="F37">
        <v>37.900001525878899</v>
      </c>
      <c r="G37" s="2">
        <v>20479600</v>
      </c>
      <c r="H37" s="3">
        <f t="shared" si="0"/>
        <v>9.2840207717075351E-3</v>
      </c>
      <c r="J37" s="3">
        <v>-4.171374717707732E-2</v>
      </c>
      <c r="K37" s="3">
        <v>1.1317195850361521E-2</v>
      </c>
    </row>
    <row r="38" spans="1:11" x14ac:dyDescent="0.2">
      <c r="A38" s="1">
        <v>41716</v>
      </c>
      <c r="B38">
        <v>32.851726531982401</v>
      </c>
      <c r="C38">
        <v>39.549999237060497</v>
      </c>
      <c r="D38">
        <v>39.900001525878899</v>
      </c>
      <c r="E38">
        <v>38.220001220703097</v>
      </c>
      <c r="F38">
        <v>38.259998321533203</v>
      </c>
      <c r="G38" s="2">
        <v>64063900</v>
      </c>
      <c r="H38" s="3">
        <f t="shared" si="0"/>
        <v>3.9421676846991049E-2</v>
      </c>
      <c r="J38" s="3">
        <v>-4.1357327107202857E-2</v>
      </c>
      <c r="K38" s="3">
        <v>1.1631562401760453E-2</v>
      </c>
    </row>
    <row r="39" spans="1:11" x14ac:dyDescent="0.2">
      <c r="A39" s="1">
        <v>41717</v>
      </c>
      <c r="B39">
        <v>32.619144439697202</v>
      </c>
      <c r="C39">
        <v>39.270000457763601</v>
      </c>
      <c r="D39">
        <v>39.549999237060497</v>
      </c>
      <c r="E39">
        <v>38.909999847412102</v>
      </c>
      <c r="F39">
        <v>39.470001220703097</v>
      </c>
      <c r="G39" s="2">
        <v>35597200</v>
      </c>
      <c r="H39" s="3">
        <f t="shared" si="0"/>
        <v>-7.0797524768986264E-3</v>
      </c>
      <c r="J39" s="3">
        <v>-4.1185165430925208E-2</v>
      </c>
      <c r="K39" s="3">
        <v>1.1945928953159385E-2</v>
      </c>
    </row>
    <row r="40" spans="1:11" x14ac:dyDescent="0.2">
      <c r="A40" s="1">
        <v>41718</v>
      </c>
      <c r="B40">
        <v>33.499629974365199</v>
      </c>
      <c r="C40">
        <v>40.330001831054602</v>
      </c>
      <c r="D40">
        <v>40.650001525878899</v>
      </c>
      <c r="E40">
        <v>39.240001678466797</v>
      </c>
      <c r="F40">
        <v>39.25</v>
      </c>
      <c r="G40" s="2">
        <v>59269800</v>
      </c>
      <c r="H40" s="3">
        <f t="shared" si="0"/>
        <v>2.6992907073198902E-2</v>
      </c>
      <c r="J40" s="3">
        <v>-4.1060825464839912E-2</v>
      </c>
      <c r="K40" s="3">
        <v>1.2260295504558314E-2</v>
      </c>
    </row>
    <row r="41" spans="1:11" x14ac:dyDescent="0.2">
      <c r="A41" s="1">
        <v>41719</v>
      </c>
      <c r="B41">
        <v>33.3584175109863</v>
      </c>
      <c r="C41">
        <v>40.159999847412102</v>
      </c>
      <c r="D41">
        <v>40.939998626708899</v>
      </c>
      <c r="E41">
        <v>40.009998321533203</v>
      </c>
      <c r="F41">
        <v>40.720001220703097</v>
      </c>
      <c r="G41" s="2">
        <v>80721800</v>
      </c>
      <c r="H41" s="3">
        <f t="shared" si="0"/>
        <v>-4.2153439750516331E-3</v>
      </c>
      <c r="J41" s="3">
        <v>-4.0981498695117136E-2</v>
      </c>
      <c r="K41" s="3">
        <v>1.2574662055957246E-2</v>
      </c>
    </row>
    <row r="42" spans="1:11" x14ac:dyDescent="0.2">
      <c r="A42" s="1">
        <v>41722</v>
      </c>
      <c r="B42">
        <v>33.640823364257798</v>
      </c>
      <c r="C42">
        <v>40.5</v>
      </c>
      <c r="D42">
        <v>40.639999389648402</v>
      </c>
      <c r="E42">
        <v>39.860000610351499</v>
      </c>
      <c r="F42">
        <v>40.340000152587798</v>
      </c>
      <c r="G42" s="2">
        <v>46098400</v>
      </c>
      <c r="H42" s="3">
        <f t="shared" si="0"/>
        <v>8.4658048655483764E-3</v>
      </c>
      <c r="J42" s="3">
        <v>-4.006938073389632E-2</v>
      </c>
      <c r="K42" s="3">
        <v>1.2889028607356178E-2</v>
      </c>
    </row>
    <row r="43" spans="1:11" x14ac:dyDescent="0.2">
      <c r="A43" s="1">
        <v>41723</v>
      </c>
      <c r="B43">
        <v>33.507942199707003</v>
      </c>
      <c r="C43">
        <v>40.340000152587798</v>
      </c>
      <c r="D43">
        <v>40.990001678466797</v>
      </c>
      <c r="E43">
        <v>39.959999084472599</v>
      </c>
      <c r="F43">
        <v>40.659999847412102</v>
      </c>
      <c r="G43" s="2">
        <v>43193100</v>
      </c>
      <c r="H43" s="3">
        <f t="shared" si="0"/>
        <v>-3.9499973919180364E-3</v>
      </c>
      <c r="J43" s="3">
        <v>-4.0022082724692543E-2</v>
      </c>
      <c r="K43" s="3">
        <v>1.3203395158755108E-2</v>
      </c>
    </row>
    <row r="44" spans="1:11" x14ac:dyDescent="0.2">
      <c r="A44" s="1">
        <v>41724</v>
      </c>
      <c r="B44">
        <v>33.051082611083899</v>
      </c>
      <c r="C44">
        <v>39.790000915527301</v>
      </c>
      <c r="D44">
        <v>40.709999084472599</v>
      </c>
      <c r="E44">
        <v>39.599998474121001</v>
      </c>
      <c r="F44">
        <v>40.4799995422363</v>
      </c>
      <c r="G44" s="2">
        <v>41977500</v>
      </c>
      <c r="H44" s="3">
        <f t="shared" si="0"/>
        <v>-1.3634367216590726E-2</v>
      </c>
      <c r="J44" s="3">
        <v>-3.9917172212307506E-2</v>
      </c>
      <c r="K44" s="3">
        <v>1.3517761710154039E-2</v>
      </c>
    </row>
    <row r="45" spans="1:11" x14ac:dyDescent="0.2">
      <c r="A45" s="1">
        <v>41725</v>
      </c>
      <c r="B45">
        <v>32.693901062011697</v>
      </c>
      <c r="C45">
        <v>39.360000610351499</v>
      </c>
      <c r="D45">
        <v>39.970001220703097</v>
      </c>
      <c r="E45">
        <v>39.340000152587798</v>
      </c>
      <c r="F45">
        <v>39.740001678466797</v>
      </c>
      <c r="G45" s="2">
        <v>35369200</v>
      </c>
      <c r="H45" s="3">
        <f t="shared" si="0"/>
        <v>-1.0806954594353213E-2</v>
      </c>
      <c r="J45" s="3">
        <v>-3.9694709306146825E-2</v>
      </c>
      <c r="K45" s="3">
        <v>1.3832128261552971E-2</v>
      </c>
    </row>
    <row r="46" spans="1:11" x14ac:dyDescent="0.2">
      <c r="A46" s="1">
        <v>41726</v>
      </c>
      <c r="B46">
        <v>33.474693298339801</v>
      </c>
      <c r="C46">
        <v>40.299999237060497</v>
      </c>
      <c r="D46">
        <v>40.639999389648402</v>
      </c>
      <c r="E46">
        <v>39.680000305175703</v>
      </c>
      <c r="F46">
        <v>39.790000915527301</v>
      </c>
      <c r="G46" s="2">
        <v>43472700</v>
      </c>
      <c r="H46" s="3">
        <f t="shared" si="0"/>
        <v>2.3881892676164584E-2</v>
      </c>
      <c r="J46" s="3">
        <v>-3.9660995619757444E-2</v>
      </c>
      <c r="K46" s="3">
        <v>1.4146494812951903E-2</v>
      </c>
    </row>
    <row r="47" spans="1:11" x14ac:dyDescent="0.2">
      <c r="A47" s="1">
        <v>41729</v>
      </c>
      <c r="B47">
        <v>34.047855377197202</v>
      </c>
      <c r="C47">
        <v>40.990001678466797</v>
      </c>
      <c r="D47">
        <v>41.5</v>
      </c>
      <c r="E47">
        <v>40.400001525878899</v>
      </c>
      <c r="F47">
        <v>40.430000305175703</v>
      </c>
      <c r="G47" s="2">
        <v>46886300</v>
      </c>
      <c r="H47" s="3">
        <f t="shared" si="0"/>
        <v>1.7122250344436374E-2</v>
      </c>
      <c r="J47" s="3">
        <v>-3.9431412040147551E-2</v>
      </c>
      <c r="K47" s="3">
        <v>1.4460861364350833E-2</v>
      </c>
    </row>
    <row r="48" spans="1:11" x14ac:dyDescent="0.2">
      <c r="A48" s="1">
        <v>41730</v>
      </c>
      <c r="B48">
        <v>34.405014038085902</v>
      </c>
      <c r="C48">
        <v>41.419998168945298</v>
      </c>
      <c r="D48">
        <v>41.590000152587798</v>
      </c>
      <c r="E48">
        <v>41.069999694824197</v>
      </c>
      <c r="F48">
        <v>41.150001525878899</v>
      </c>
      <c r="G48" s="2">
        <v>32605000</v>
      </c>
      <c r="H48" s="3">
        <f t="shared" si="0"/>
        <v>1.0489901843506511E-2</v>
      </c>
      <c r="J48" s="3">
        <v>-3.9296904321054038E-2</v>
      </c>
      <c r="K48" s="3">
        <v>1.4775227915749764E-2</v>
      </c>
    </row>
    <row r="49" spans="1:11" x14ac:dyDescent="0.2">
      <c r="A49" s="1">
        <v>41731</v>
      </c>
      <c r="B49">
        <v>34.346874237060497</v>
      </c>
      <c r="C49">
        <v>41.349998474121001</v>
      </c>
      <c r="D49">
        <v>41.659999847412102</v>
      </c>
      <c r="E49">
        <v>41.169998168945298</v>
      </c>
      <c r="F49">
        <v>41.439998626708899</v>
      </c>
      <c r="G49" s="2">
        <v>28666700</v>
      </c>
      <c r="H49" s="3">
        <f t="shared" si="0"/>
        <v>-1.6898641855237484E-3</v>
      </c>
      <c r="J49" s="3">
        <v>-3.906268303168714E-2</v>
      </c>
      <c r="K49" s="3">
        <v>1.5089594467148696E-2</v>
      </c>
    </row>
    <row r="50" spans="1:11" x14ac:dyDescent="0.2">
      <c r="A50" s="1">
        <v>41732</v>
      </c>
      <c r="B50">
        <v>34.064468383788999</v>
      </c>
      <c r="C50">
        <v>41.009998321533203</v>
      </c>
      <c r="D50">
        <v>41.290000915527301</v>
      </c>
      <c r="E50">
        <v>40.709999084472599</v>
      </c>
      <c r="F50">
        <v>41.290000915527301</v>
      </c>
      <c r="G50" s="2">
        <v>30139600</v>
      </c>
      <c r="H50" s="3">
        <f t="shared" si="0"/>
        <v>-8.222170417090835E-3</v>
      </c>
      <c r="J50" s="3">
        <v>-3.8952558335832332E-2</v>
      </c>
      <c r="K50" s="3">
        <v>1.5403961018547626E-2</v>
      </c>
    </row>
    <row r="51" spans="1:11" x14ac:dyDescent="0.2">
      <c r="A51" s="1">
        <v>41733</v>
      </c>
      <c r="B51">
        <v>33.117542266845703</v>
      </c>
      <c r="C51">
        <v>39.869998931884702</v>
      </c>
      <c r="D51">
        <v>41.389999389648402</v>
      </c>
      <c r="E51">
        <v>39.639999389648402</v>
      </c>
      <c r="F51">
        <v>41.25</v>
      </c>
      <c r="G51" s="2">
        <v>51409600</v>
      </c>
      <c r="H51" s="3">
        <f t="shared" si="0"/>
        <v>-2.7798059440549805E-2</v>
      </c>
      <c r="J51" s="3">
        <v>-3.8587038017535269E-2</v>
      </c>
      <c r="K51" s="3">
        <v>1.5718327569946559E-2</v>
      </c>
    </row>
    <row r="52" spans="1:11" x14ac:dyDescent="0.2">
      <c r="A52" s="1">
        <v>41736</v>
      </c>
      <c r="B52">
        <v>33.0593872070312</v>
      </c>
      <c r="C52">
        <v>39.799999237060497</v>
      </c>
      <c r="D52">
        <v>40.270000457763601</v>
      </c>
      <c r="E52">
        <v>39.740001678466797</v>
      </c>
      <c r="F52">
        <v>39.959999084472599</v>
      </c>
      <c r="G52" s="2">
        <v>37559600</v>
      </c>
      <c r="H52" s="3">
        <f t="shared" si="0"/>
        <v>-1.7560197959715085E-3</v>
      </c>
      <c r="J52" s="3">
        <v>-3.8387867581976431E-2</v>
      </c>
      <c r="K52" s="3">
        <v>1.6032694121345489E-2</v>
      </c>
    </row>
    <row r="53" spans="1:11" x14ac:dyDescent="0.2">
      <c r="A53" s="1">
        <v>41737</v>
      </c>
      <c r="B53">
        <v>33.075984954833899</v>
      </c>
      <c r="C53">
        <v>39.819999694824197</v>
      </c>
      <c r="D53">
        <v>39.930000305175703</v>
      </c>
      <c r="E53">
        <v>39.200000762939403</v>
      </c>
      <c r="F53">
        <v>39.75</v>
      </c>
      <c r="G53" s="2">
        <v>35918600</v>
      </c>
      <c r="H53" s="3">
        <f t="shared" si="0"/>
        <v>5.0205854387908033E-4</v>
      </c>
      <c r="J53" s="3">
        <v>-3.8323782234957471E-2</v>
      </c>
      <c r="K53" s="3">
        <v>1.6347060672744419E-2</v>
      </c>
    </row>
    <row r="54" spans="1:11" x14ac:dyDescent="0.2">
      <c r="A54" s="1">
        <v>41738</v>
      </c>
      <c r="B54">
        <v>33.615924835205</v>
      </c>
      <c r="C54">
        <v>40.470001220703097</v>
      </c>
      <c r="D54">
        <v>40.549999237060497</v>
      </c>
      <c r="E54">
        <v>39.880001068115199</v>
      </c>
      <c r="F54">
        <v>39.930000305175703</v>
      </c>
      <c r="G54" s="2">
        <v>27398700</v>
      </c>
      <c r="H54" s="3">
        <f t="shared" si="0"/>
        <v>1.632422681012824E-2</v>
      </c>
      <c r="J54" s="3">
        <v>-3.7884372312126269E-2</v>
      </c>
      <c r="K54" s="3">
        <v>1.6661427224143353E-2</v>
      </c>
    </row>
    <row r="55" spans="1:11" x14ac:dyDescent="0.2">
      <c r="A55" s="1">
        <v>41739</v>
      </c>
      <c r="B55">
        <v>32.693901062011697</v>
      </c>
      <c r="C55">
        <v>39.360000610351499</v>
      </c>
      <c r="D55">
        <v>40.689998626708899</v>
      </c>
      <c r="E55">
        <v>39.090000152587798</v>
      </c>
      <c r="F55">
        <v>40.439998626708899</v>
      </c>
      <c r="G55" s="2">
        <v>45960800</v>
      </c>
      <c r="H55" s="3">
        <f t="shared" si="0"/>
        <v>-2.7428184044119841E-2</v>
      </c>
      <c r="J55" s="3">
        <v>-3.7776889246050382E-2</v>
      </c>
      <c r="K55" s="3">
        <v>1.6975793775542283E-2</v>
      </c>
    </row>
    <row r="56" spans="1:11" x14ac:dyDescent="0.2">
      <c r="A56" s="1">
        <v>41740</v>
      </c>
      <c r="B56">
        <v>32.569305419921797</v>
      </c>
      <c r="C56">
        <v>39.209999084472599</v>
      </c>
      <c r="D56">
        <v>39.790000915527301</v>
      </c>
      <c r="E56">
        <v>39</v>
      </c>
      <c r="F56">
        <v>39</v>
      </c>
      <c r="G56" s="2">
        <v>34330200</v>
      </c>
      <c r="H56" s="3">
        <f t="shared" si="0"/>
        <v>-3.8109750761641248E-3</v>
      </c>
      <c r="J56" s="3">
        <v>-3.7740139122867333E-2</v>
      </c>
      <c r="K56" s="3">
        <v>1.7290160326941213E-2</v>
      </c>
    </row>
    <row r="57" spans="1:11" x14ac:dyDescent="0.2">
      <c r="A57" s="1">
        <v>41743</v>
      </c>
      <c r="B57">
        <v>32.544387817382798</v>
      </c>
      <c r="C57">
        <v>39.180000305175703</v>
      </c>
      <c r="D57">
        <v>39.409999847412102</v>
      </c>
      <c r="E57">
        <v>38.900001525878899</v>
      </c>
      <c r="F57">
        <v>39.110000610351499</v>
      </c>
      <c r="G57" s="2">
        <v>32006600</v>
      </c>
      <c r="H57" s="3">
        <f t="shared" si="0"/>
        <v>-7.6506398333431314E-4</v>
      </c>
      <c r="J57" s="3">
        <v>-3.763753498428013E-2</v>
      </c>
      <c r="K57" s="3">
        <v>1.7604526878340146E-2</v>
      </c>
    </row>
    <row r="58" spans="1:11" x14ac:dyDescent="0.2">
      <c r="A58" s="1">
        <v>41744</v>
      </c>
      <c r="B58">
        <v>33.017848968505803</v>
      </c>
      <c r="C58">
        <v>39.75</v>
      </c>
      <c r="D58">
        <v>39.959999084472599</v>
      </c>
      <c r="E58">
        <v>39.049999237060497</v>
      </c>
      <c r="F58">
        <v>39.340000152587798</v>
      </c>
      <c r="G58" s="2">
        <v>33968700</v>
      </c>
      <c r="H58" s="3">
        <f t="shared" si="0"/>
        <v>1.4548165839829208E-2</v>
      </c>
      <c r="J58" s="3">
        <v>-3.7561104854188732E-2</v>
      </c>
      <c r="K58" s="3">
        <v>1.7918893429739076E-2</v>
      </c>
    </row>
    <row r="59" spans="1:11" x14ac:dyDescent="0.2">
      <c r="A59" s="1">
        <v>41745</v>
      </c>
      <c r="B59">
        <v>33.557781219482401</v>
      </c>
      <c r="C59">
        <v>40.400001525878899</v>
      </c>
      <c r="D59">
        <v>40.419998168945298</v>
      </c>
      <c r="E59">
        <v>39.909999847412102</v>
      </c>
      <c r="F59">
        <v>40.060001373291001</v>
      </c>
      <c r="G59" s="2">
        <v>30615800</v>
      </c>
      <c r="H59" s="3">
        <f t="shared" si="0"/>
        <v>1.6352738529139543E-2</v>
      </c>
      <c r="J59" s="3">
        <v>-3.7558711975663739E-2</v>
      </c>
      <c r="K59" s="3">
        <v>1.8233259981138006E-2</v>
      </c>
    </row>
    <row r="60" spans="1:11" x14ac:dyDescent="0.2">
      <c r="A60" s="1">
        <v>41746</v>
      </c>
      <c r="B60">
        <v>33.233818054199197</v>
      </c>
      <c r="C60">
        <v>40.009998321533203</v>
      </c>
      <c r="D60">
        <v>40.200000762939403</v>
      </c>
      <c r="E60">
        <v>39.509998321533203</v>
      </c>
      <c r="F60">
        <v>40.009998321533203</v>
      </c>
      <c r="G60" s="2">
        <v>36688400</v>
      </c>
      <c r="H60" s="3">
        <f t="shared" si="0"/>
        <v>-9.6538910950144663E-3</v>
      </c>
      <c r="J60" s="3">
        <v>-3.7514295076040205E-2</v>
      </c>
      <c r="K60" s="3">
        <v>1.8547626532536939E-2</v>
      </c>
    </row>
    <row r="61" spans="1:11" x14ac:dyDescent="0.2">
      <c r="A61" s="1">
        <v>41750</v>
      </c>
      <c r="B61">
        <v>33.175674438476499</v>
      </c>
      <c r="C61">
        <v>39.939998626708899</v>
      </c>
      <c r="D61">
        <v>40.150001525878899</v>
      </c>
      <c r="E61">
        <v>39.790000915527301</v>
      </c>
      <c r="F61">
        <v>40.130001068115199</v>
      </c>
      <c r="G61" s="2">
        <v>22221200</v>
      </c>
      <c r="H61" s="3">
        <f t="shared" si="0"/>
        <v>-1.7495316255230486E-3</v>
      </c>
      <c r="J61" s="3">
        <v>-3.7403399018598793E-2</v>
      </c>
      <c r="K61" s="3">
        <v>1.8861993083935869E-2</v>
      </c>
    </row>
    <row r="62" spans="1:11" x14ac:dyDescent="0.2">
      <c r="A62" s="1">
        <v>41751</v>
      </c>
      <c r="B62">
        <v>33.217205047607401</v>
      </c>
      <c r="C62">
        <v>39.990001678466797</v>
      </c>
      <c r="D62">
        <v>40.139999389648402</v>
      </c>
      <c r="E62">
        <v>39.830001831054602</v>
      </c>
      <c r="F62">
        <v>39.959999084472599</v>
      </c>
      <c r="G62" s="2">
        <v>27056700</v>
      </c>
      <c r="H62" s="3">
        <f t="shared" si="0"/>
        <v>1.2518391813833851E-3</v>
      </c>
      <c r="J62" s="3">
        <v>-3.6945777879030528E-2</v>
      </c>
      <c r="K62" s="3">
        <v>1.9176359635334799E-2</v>
      </c>
    </row>
    <row r="63" spans="1:11" x14ac:dyDescent="0.2">
      <c r="A63" s="1">
        <v>41752</v>
      </c>
      <c r="B63">
        <v>32.968017578125</v>
      </c>
      <c r="C63">
        <v>39.689998626708899</v>
      </c>
      <c r="D63">
        <v>39.990001678466797</v>
      </c>
      <c r="E63">
        <v>39.470001220703097</v>
      </c>
      <c r="F63">
        <v>39.990001678466797</v>
      </c>
      <c r="G63" s="2">
        <v>24602800</v>
      </c>
      <c r="H63" s="3">
        <f t="shared" si="0"/>
        <v>-7.501759077118697E-3</v>
      </c>
      <c r="J63" s="3">
        <v>-3.6802195143152305E-2</v>
      </c>
      <c r="K63" s="3">
        <v>1.9490726186733733E-2</v>
      </c>
    </row>
    <row r="64" spans="1:11" x14ac:dyDescent="0.2">
      <c r="A64" s="1">
        <v>41753</v>
      </c>
      <c r="B64">
        <v>33.1092109680175</v>
      </c>
      <c r="C64">
        <v>39.860000610351499</v>
      </c>
      <c r="D64">
        <v>39.970001220703097</v>
      </c>
      <c r="E64">
        <v>39.299999237060497</v>
      </c>
      <c r="F64">
        <v>39.740001678466797</v>
      </c>
      <c r="G64" s="2">
        <v>42381600</v>
      </c>
      <c r="H64" s="3">
        <f t="shared" si="0"/>
        <v>4.2827382495145283E-3</v>
      </c>
      <c r="J64" s="3">
        <v>-3.6788372985293138E-2</v>
      </c>
      <c r="K64" s="3">
        <v>1.9805092738132662E-2</v>
      </c>
    </row>
    <row r="65" spans="1:11" x14ac:dyDescent="0.2">
      <c r="A65" s="1">
        <v>41754</v>
      </c>
      <c r="B65">
        <v>33.150753021240199</v>
      </c>
      <c r="C65">
        <v>39.909999847412102</v>
      </c>
      <c r="D65">
        <v>40.680000305175703</v>
      </c>
      <c r="E65">
        <v>39.75</v>
      </c>
      <c r="F65">
        <v>40.290000915527301</v>
      </c>
      <c r="G65" s="2">
        <v>56876800</v>
      </c>
      <c r="H65" s="3">
        <f t="shared" si="0"/>
        <v>1.2546977716512142E-3</v>
      </c>
      <c r="J65" s="3">
        <v>-3.660602043793626E-2</v>
      </c>
      <c r="K65" s="3">
        <v>2.0119459289531592E-2</v>
      </c>
    </row>
    <row r="66" spans="1:11" x14ac:dyDescent="0.2">
      <c r="A66" s="1">
        <v>41757</v>
      </c>
      <c r="B66">
        <v>33.948169708251903</v>
      </c>
      <c r="C66">
        <v>40.869998931884702</v>
      </c>
      <c r="D66">
        <v>41.290000915527301</v>
      </c>
      <c r="E66">
        <v>40.090000152587798</v>
      </c>
      <c r="F66">
        <v>40.139999389648402</v>
      </c>
      <c r="G66" s="2">
        <v>50610200</v>
      </c>
      <c r="H66" s="3">
        <f t="shared" ref="H66:H129" si="1">B66/B65-1</f>
        <v>2.405425561527319E-2</v>
      </c>
      <c r="J66" s="3">
        <v>-3.6605636385867557E-2</v>
      </c>
      <c r="K66" s="3">
        <v>2.0433825840930526E-2</v>
      </c>
    </row>
    <row r="67" spans="1:11" x14ac:dyDescent="0.2">
      <c r="A67" s="1">
        <v>41758</v>
      </c>
      <c r="B67">
        <v>33.649127960205</v>
      </c>
      <c r="C67">
        <v>40.509998321533203</v>
      </c>
      <c r="D67">
        <v>41.189998626708899</v>
      </c>
      <c r="E67">
        <v>40.389999389648402</v>
      </c>
      <c r="F67">
        <v>41.099998474121001</v>
      </c>
      <c r="G67" s="2">
        <v>29636200</v>
      </c>
      <c r="H67" s="3">
        <f t="shared" si="1"/>
        <v>-8.8087738047984976E-3</v>
      </c>
      <c r="J67" s="3">
        <v>-3.6203575811804334E-2</v>
      </c>
      <c r="K67" s="3">
        <v>2.0748192392329456E-2</v>
      </c>
    </row>
    <row r="68" spans="1:11" x14ac:dyDescent="0.2">
      <c r="A68" s="1">
        <v>41759</v>
      </c>
      <c r="B68">
        <v>33.557781219482401</v>
      </c>
      <c r="C68">
        <v>40.400001525878899</v>
      </c>
      <c r="D68">
        <v>40.5</v>
      </c>
      <c r="E68">
        <v>40.169998168945298</v>
      </c>
      <c r="F68">
        <v>40.400001525878899</v>
      </c>
      <c r="G68" s="2">
        <v>35458700</v>
      </c>
      <c r="H68" s="3">
        <f t="shared" si="1"/>
        <v>-2.7146837454637973E-3</v>
      </c>
      <c r="J68" s="3">
        <v>-3.594074767334432E-2</v>
      </c>
      <c r="K68" s="3">
        <v>2.1062558943728386E-2</v>
      </c>
    </row>
    <row r="69" spans="1:11" x14ac:dyDescent="0.2">
      <c r="A69" s="1">
        <v>41760</v>
      </c>
      <c r="B69">
        <v>33.225513458251903</v>
      </c>
      <c r="C69">
        <v>40</v>
      </c>
      <c r="D69">
        <v>40.360000610351499</v>
      </c>
      <c r="E69">
        <v>39.950000762939403</v>
      </c>
      <c r="F69">
        <v>40.240001678466797</v>
      </c>
      <c r="G69" s="2">
        <v>28787400</v>
      </c>
      <c r="H69" s="3">
        <f t="shared" si="1"/>
        <v>-9.9013626394820475E-3</v>
      </c>
      <c r="J69" s="3">
        <v>-3.5854780863172619E-2</v>
      </c>
      <c r="K69" s="3">
        <v>2.1376925495127319E-2</v>
      </c>
    </row>
    <row r="70" spans="1:11" x14ac:dyDescent="0.2">
      <c r="A70" s="1">
        <v>41761</v>
      </c>
      <c r="B70">
        <v>32.968017578125</v>
      </c>
      <c r="C70">
        <v>39.689998626708899</v>
      </c>
      <c r="D70">
        <v>40.340000152587798</v>
      </c>
      <c r="E70">
        <v>39.659999847412102</v>
      </c>
      <c r="F70">
        <v>40.310001373291001</v>
      </c>
      <c r="G70" s="2">
        <v>43416600</v>
      </c>
      <c r="H70" s="3">
        <f t="shared" si="1"/>
        <v>-7.7499443447411887E-3</v>
      </c>
      <c r="J70" s="3">
        <v>-3.5565998935803034E-2</v>
      </c>
      <c r="K70" s="3">
        <v>2.1691292046526249E-2</v>
      </c>
    </row>
    <row r="71" spans="1:11" x14ac:dyDescent="0.2">
      <c r="A71" s="1">
        <v>41764</v>
      </c>
      <c r="B71">
        <v>32.752048492431598</v>
      </c>
      <c r="C71">
        <v>39.430000305175703</v>
      </c>
      <c r="D71">
        <v>39.639999389648402</v>
      </c>
      <c r="E71">
        <v>39.299999237060497</v>
      </c>
      <c r="F71">
        <v>39.520000457763601</v>
      </c>
      <c r="G71" s="2">
        <v>22460900</v>
      </c>
      <c r="H71" s="3">
        <f t="shared" si="1"/>
        <v>-6.5508666143365701E-3</v>
      </c>
      <c r="J71" s="3">
        <v>-3.5507987221104043E-2</v>
      </c>
      <c r="K71" s="3">
        <v>2.2005658597925182E-2</v>
      </c>
    </row>
    <row r="72" spans="1:11" x14ac:dyDescent="0.2">
      <c r="A72" s="1">
        <v>41765</v>
      </c>
      <c r="B72">
        <v>32.444705963134702</v>
      </c>
      <c r="C72">
        <v>39.060001373291001</v>
      </c>
      <c r="D72">
        <v>39.349998474121001</v>
      </c>
      <c r="E72">
        <v>38.950000762939403</v>
      </c>
      <c r="F72">
        <v>39.290000915527301</v>
      </c>
      <c r="G72" s="2">
        <v>27112400</v>
      </c>
      <c r="H72" s="3">
        <f t="shared" si="1"/>
        <v>-9.3839177530503637E-3</v>
      </c>
      <c r="J72" s="3">
        <v>-3.5384466994497821E-2</v>
      </c>
      <c r="K72" s="3">
        <v>2.2320025149324112E-2</v>
      </c>
    </row>
    <row r="73" spans="1:11" x14ac:dyDescent="0.2">
      <c r="A73" s="1">
        <v>41766</v>
      </c>
      <c r="B73">
        <v>32.743747711181598</v>
      </c>
      <c r="C73">
        <v>39.419998168945298</v>
      </c>
      <c r="D73">
        <v>39.509998321533203</v>
      </c>
      <c r="E73">
        <v>38.509998321533203</v>
      </c>
      <c r="F73">
        <v>39.220001220703097</v>
      </c>
      <c r="G73" s="2">
        <v>41744500</v>
      </c>
      <c r="H73" s="3">
        <f t="shared" si="1"/>
        <v>9.2169658861043224E-3</v>
      </c>
      <c r="J73" s="3">
        <v>-3.5368214677202636E-2</v>
      </c>
      <c r="K73" s="3">
        <v>2.2634391700723042E-2</v>
      </c>
    </row>
    <row r="74" spans="1:11" x14ac:dyDescent="0.2">
      <c r="A74" s="1">
        <v>41767</v>
      </c>
      <c r="B74">
        <v>32.926490783691399</v>
      </c>
      <c r="C74">
        <v>39.639999389648402</v>
      </c>
      <c r="D74">
        <v>39.900001525878899</v>
      </c>
      <c r="E74">
        <v>38.970001220703097</v>
      </c>
      <c r="F74">
        <v>39.340000152587798</v>
      </c>
      <c r="G74" s="2">
        <v>32120400</v>
      </c>
      <c r="H74" s="3">
        <f t="shared" si="1"/>
        <v>5.5810066129784452E-3</v>
      </c>
      <c r="J74" s="3">
        <v>-3.4783053768686845E-2</v>
      </c>
      <c r="K74" s="3">
        <v>2.2948758252121976E-2</v>
      </c>
    </row>
    <row r="75" spans="1:11" x14ac:dyDescent="0.2">
      <c r="A75" s="1">
        <v>41768</v>
      </c>
      <c r="B75">
        <v>32.843425750732401</v>
      </c>
      <c r="C75">
        <v>39.540000915527301</v>
      </c>
      <c r="D75">
        <v>39.849998474121001</v>
      </c>
      <c r="E75">
        <v>39.369998931884702</v>
      </c>
      <c r="F75">
        <v>39.540000915527301</v>
      </c>
      <c r="G75" s="2">
        <v>29647600</v>
      </c>
      <c r="H75" s="3">
        <f t="shared" si="1"/>
        <v>-2.5227417493315363E-3</v>
      </c>
      <c r="J75" s="3">
        <v>-3.45592514347145E-2</v>
      </c>
      <c r="K75" s="3">
        <v>2.3263124803520906E-2</v>
      </c>
    </row>
    <row r="76" spans="1:11" x14ac:dyDescent="0.2">
      <c r="A76" s="1">
        <v>41771</v>
      </c>
      <c r="B76">
        <v>33.200584411621001</v>
      </c>
      <c r="C76">
        <v>39.970001220703097</v>
      </c>
      <c r="D76">
        <v>40.020000457763601</v>
      </c>
      <c r="E76">
        <v>39.650001525878899</v>
      </c>
      <c r="F76">
        <v>39.740001678466797</v>
      </c>
      <c r="G76" s="2">
        <v>22782600</v>
      </c>
      <c r="H76" s="3">
        <f t="shared" si="1"/>
        <v>1.0874586092184169E-2</v>
      </c>
      <c r="J76" s="3">
        <v>-3.4458513967676963E-2</v>
      </c>
      <c r="K76" s="3">
        <v>2.3577491354919836E-2</v>
      </c>
    </row>
    <row r="77" spans="1:11" x14ac:dyDescent="0.2">
      <c r="A77" s="1">
        <v>41772</v>
      </c>
      <c r="B77">
        <v>33.811248779296797</v>
      </c>
      <c r="C77">
        <v>40.419998168945298</v>
      </c>
      <c r="D77">
        <v>40.5</v>
      </c>
      <c r="E77">
        <v>39.849998474121001</v>
      </c>
      <c r="F77">
        <v>39.919998168945298</v>
      </c>
      <c r="G77" s="2">
        <v>27004800</v>
      </c>
      <c r="H77" s="3">
        <f t="shared" si="1"/>
        <v>1.8393181279726223E-2</v>
      </c>
      <c r="J77" s="3">
        <v>-3.4258427731989394E-2</v>
      </c>
      <c r="K77" s="3">
        <v>2.3891857906318769E-2</v>
      </c>
    </row>
    <row r="78" spans="1:11" x14ac:dyDescent="0.2">
      <c r="A78" s="1">
        <v>41773</v>
      </c>
      <c r="B78">
        <v>33.660678863525298</v>
      </c>
      <c r="C78">
        <v>40.240001678466797</v>
      </c>
      <c r="D78">
        <v>40.450000762939403</v>
      </c>
      <c r="E78">
        <v>40.049999237060497</v>
      </c>
      <c r="F78">
        <v>40.299999237060497</v>
      </c>
      <c r="G78" s="2">
        <v>18818700</v>
      </c>
      <c r="H78" s="3">
        <f t="shared" si="1"/>
        <v>-4.4532491761645199E-3</v>
      </c>
      <c r="J78" s="3">
        <v>-3.3890345950696177E-2</v>
      </c>
      <c r="K78" s="3">
        <v>2.4206224457717699E-2</v>
      </c>
    </row>
    <row r="79" spans="1:11" x14ac:dyDescent="0.2">
      <c r="A79" s="1">
        <v>41774</v>
      </c>
      <c r="B79">
        <v>33.1253242492675</v>
      </c>
      <c r="C79">
        <v>39.599998474121001</v>
      </c>
      <c r="D79">
        <v>40.400001525878899</v>
      </c>
      <c r="E79">
        <v>39.509998321533203</v>
      </c>
      <c r="F79">
        <v>40.090000152587798</v>
      </c>
      <c r="G79" s="2">
        <v>37793200</v>
      </c>
      <c r="H79" s="3">
        <f t="shared" si="1"/>
        <v>-1.5904450900362188E-2</v>
      </c>
      <c r="J79" s="3">
        <v>-3.3792827963442629E-2</v>
      </c>
      <c r="K79" s="3">
        <v>2.4520591009116629E-2</v>
      </c>
    </row>
    <row r="80" spans="1:11" x14ac:dyDescent="0.2">
      <c r="A80" s="1">
        <v>41775</v>
      </c>
      <c r="B80">
        <v>33.317710876464801</v>
      </c>
      <c r="C80">
        <v>39.830001831054602</v>
      </c>
      <c r="D80">
        <v>39.840000152587798</v>
      </c>
      <c r="E80">
        <v>39.270000457763601</v>
      </c>
      <c r="F80">
        <v>39.669998168945298</v>
      </c>
      <c r="G80" s="2">
        <v>29867100</v>
      </c>
      <c r="H80" s="3">
        <f t="shared" si="1"/>
        <v>5.8078413285738151E-3</v>
      </c>
      <c r="J80" s="3">
        <v>-3.3786253376312469E-2</v>
      </c>
      <c r="K80" s="3">
        <v>2.4834957560515562E-2</v>
      </c>
    </row>
    <row r="81" spans="1:11" x14ac:dyDescent="0.2">
      <c r="A81" s="1">
        <v>41778</v>
      </c>
      <c r="B81">
        <v>33.2507934570312</v>
      </c>
      <c r="C81">
        <v>39.75</v>
      </c>
      <c r="D81">
        <v>39.819999694824197</v>
      </c>
      <c r="E81">
        <v>39.459999084472599</v>
      </c>
      <c r="F81">
        <v>39.610000610351499</v>
      </c>
      <c r="G81" s="2">
        <v>24537400</v>
      </c>
      <c r="H81" s="3">
        <f t="shared" si="1"/>
        <v>-2.0084638972261981E-3</v>
      </c>
      <c r="J81" s="3">
        <v>-3.3566939737344037E-2</v>
      </c>
      <c r="K81" s="3">
        <v>2.5149324111914492E-2</v>
      </c>
    </row>
    <row r="82" spans="1:11" x14ac:dyDescent="0.2">
      <c r="A82" s="1">
        <v>41779</v>
      </c>
      <c r="B82">
        <v>33.192234039306598</v>
      </c>
      <c r="C82">
        <v>39.680000305175703</v>
      </c>
      <c r="D82">
        <v>39.939998626708899</v>
      </c>
      <c r="E82">
        <v>39.459999084472599</v>
      </c>
      <c r="F82">
        <v>39.680000305175703</v>
      </c>
      <c r="G82" s="2">
        <v>21320900</v>
      </c>
      <c r="H82" s="3">
        <f t="shared" si="1"/>
        <v>-1.7611434686596317E-3</v>
      </c>
      <c r="J82" s="3">
        <v>-3.3434224776588417E-2</v>
      </c>
      <c r="K82" s="3">
        <v>2.5463690663313422E-2</v>
      </c>
    </row>
    <row r="83" spans="1:11" x14ac:dyDescent="0.2">
      <c r="A83" s="1">
        <v>41780</v>
      </c>
      <c r="B83">
        <v>33.752696990966797</v>
      </c>
      <c r="C83">
        <v>40.349998474121001</v>
      </c>
      <c r="D83">
        <v>40.349998474121001</v>
      </c>
      <c r="E83">
        <v>39.740001678466797</v>
      </c>
      <c r="F83">
        <v>39.799999237060497</v>
      </c>
      <c r="G83" s="2">
        <v>22398700</v>
      </c>
      <c r="H83" s="3">
        <f t="shared" si="1"/>
        <v>1.6885363937735987E-2</v>
      </c>
      <c r="J83" s="3">
        <v>-3.3209573138984094E-2</v>
      </c>
      <c r="K83" s="3">
        <v>2.5778057214712356E-2</v>
      </c>
    </row>
    <row r="84" spans="1:11" x14ac:dyDescent="0.2">
      <c r="A84" s="1">
        <v>41781</v>
      </c>
      <c r="B84">
        <v>33.543563842773402</v>
      </c>
      <c r="C84">
        <v>40.099998474121001</v>
      </c>
      <c r="D84">
        <v>40.349998474121001</v>
      </c>
      <c r="E84">
        <v>39.849998474121001</v>
      </c>
      <c r="F84">
        <v>40.290000915527301</v>
      </c>
      <c r="G84" s="2">
        <v>20201800</v>
      </c>
      <c r="H84" s="3">
        <f t="shared" si="1"/>
        <v>-6.1960425932590102E-3</v>
      </c>
      <c r="J84" s="3">
        <v>-3.2928405612570932E-2</v>
      </c>
      <c r="K84" s="3">
        <v>2.6092423766111286E-2</v>
      </c>
    </row>
    <row r="85" spans="1:11" x14ac:dyDescent="0.2">
      <c r="A85" s="1">
        <v>41782</v>
      </c>
      <c r="B85">
        <v>33.560287475585902</v>
      </c>
      <c r="C85">
        <v>40.119998931884702</v>
      </c>
      <c r="D85">
        <v>40.369998931884702</v>
      </c>
      <c r="E85">
        <v>40</v>
      </c>
      <c r="F85">
        <v>40.369998931884702</v>
      </c>
      <c r="G85" s="2">
        <v>18020000</v>
      </c>
      <c r="H85" s="3">
        <f t="shared" si="1"/>
        <v>4.9856457980701485E-4</v>
      </c>
      <c r="J85" s="3">
        <v>-3.2656782425950936E-2</v>
      </c>
      <c r="K85" s="3">
        <v>2.6406790317510215E-2</v>
      </c>
    </row>
    <row r="86" spans="1:11" x14ac:dyDescent="0.2">
      <c r="A86" s="1">
        <v>41786</v>
      </c>
      <c r="B86">
        <v>33.6188354492187</v>
      </c>
      <c r="C86">
        <v>40.189998626708899</v>
      </c>
      <c r="D86">
        <v>40.259998321533203</v>
      </c>
      <c r="E86">
        <v>39.810001373291001</v>
      </c>
      <c r="F86">
        <v>40.259998321533203</v>
      </c>
      <c r="G86" s="2">
        <v>26160600</v>
      </c>
      <c r="H86" s="3">
        <f t="shared" si="1"/>
        <v>1.7445611476178957E-3</v>
      </c>
      <c r="J86" s="3">
        <v>-3.2586826600418561E-2</v>
      </c>
      <c r="K86" s="3">
        <v>2.6721156868909149E-2</v>
      </c>
    </row>
    <row r="87" spans="1:11" x14ac:dyDescent="0.2">
      <c r="A87" s="1">
        <v>41787</v>
      </c>
      <c r="B87">
        <v>33.4682807922363</v>
      </c>
      <c r="C87">
        <v>40.009998321533203</v>
      </c>
      <c r="D87">
        <v>40.189998626708899</v>
      </c>
      <c r="E87">
        <v>39.819999694824197</v>
      </c>
      <c r="F87">
        <v>40.139999389648402</v>
      </c>
      <c r="G87" s="2">
        <v>25711500</v>
      </c>
      <c r="H87" s="3">
        <f t="shared" si="1"/>
        <v>-4.4782829318943396E-3</v>
      </c>
      <c r="J87" s="3">
        <v>-3.235448260648377E-2</v>
      </c>
      <c r="K87" s="3">
        <v>2.7035523420308079E-2</v>
      </c>
    </row>
    <row r="88" spans="1:11" x14ac:dyDescent="0.2">
      <c r="A88" s="1">
        <v>41788</v>
      </c>
      <c r="B88">
        <v>33.7443237304687</v>
      </c>
      <c r="C88">
        <v>40.340000152587798</v>
      </c>
      <c r="D88">
        <v>40.349998474121001</v>
      </c>
      <c r="E88">
        <v>39.909999847412102</v>
      </c>
      <c r="F88">
        <v>40.150001525878899</v>
      </c>
      <c r="G88" s="2">
        <v>19888200</v>
      </c>
      <c r="H88" s="3">
        <f t="shared" si="1"/>
        <v>8.2478971640644883E-3</v>
      </c>
      <c r="J88" s="3">
        <v>-3.2312098229865582E-2</v>
      </c>
      <c r="K88" s="3">
        <v>2.7349889971707009E-2</v>
      </c>
    </row>
    <row r="89" spans="1:11" x14ac:dyDescent="0.2">
      <c r="A89" s="1">
        <v>41789</v>
      </c>
      <c r="B89">
        <v>34.246219635009702</v>
      </c>
      <c r="C89">
        <v>40.939998626708899</v>
      </c>
      <c r="D89">
        <v>40.970001220703097</v>
      </c>
      <c r="E89">
        <v>40.25</v>
      </c>
      <c r="F89">
        <v>40.450000762939403</v>
      </c>
      <c r="G89" s="2">
        <v>34567600</v>
      </c>
      <c r="H89" s="3">
        <f t="shared" si="1"/>
        <v>1.4873491273669437E-2</v>
      </c>
      <c r="J89" s="3">
        <v>-3.2273439786580926E-2</v>
      </c>
      <c r="K89" s="3">
        <v>2.7664256523105942E-2</v>
      </c>
    </row>
    <row r="90" spans="1:11" x14ac:dyDescent="0.2">
      <c r="A90" s="1">
        <v>41792</v>
      </c>
      <c r="B90">
        <v>34.120738983154297</v>
      </c>
      <c r="C90">
        <v>40.790000915527301</v>
      </c>
      <c r="D90">
        <v>41.090000152587798</v>
      </c>
      <c r="E90">
        <v>40.680000305175703</v>
      </c>
      <c r="F90">
        <v>40.950000762939403</v>
      </c>
      <c r="G90" s="2">
        <v>18504300</v>
      </c>
      <c r="H90" s="3">
        <f t="shared" si="1"/>
        <v>-3.6640730916508435E-3</v>
      </c>
      <c r="J90" s="3">
        <v>-3.2122516863563155E-2</v>
      </c>
      <c r="K90" s="3">
        <v>2.7978623074504872E-2</v>
      </c>
    </row>
    <row r="91" spans="1:11" x14ac:dyDescent="0.2">
      <c r="A91" s="1">
        <v>41793</v>
      </c>
      <c r="B91">
        <v>33.702503204345703</v>
      </c>
      <c r="C91">
        <v>40.290000915527301</v>
      </c>
      <c r="D91">
        <v>40.680000305175703</v>
      </c>
      <c r="E91">
        <v>40.25</v>
      </c>
      <c r="F91">
        <v>40.599998474121001</v>
      </c>
      <c r="G91" s="2">
        <v>18068900</v>
      </c>
      <c r="H91" s="3">
        <f t="shared" si="1"/>
        <v>-1.2257524053482016E-2</v>
      </c>
      <c r="J91" s="3">
        <v>-3.2119269759742441E-2</v>
      </c>
      <c r="K91" s="3">
        <v>2.8292989625903806E-2</v>
      </c>
    </row>
    <row r="92" spans="1:11" x14ac:dyDescent="0.2">
      <c r="A92" s="1">
        <v>41794</v>
      </c>
      <c r="B92">
        <v>33.727577209472599</v>
      </c>
      <c r="C92">
        <v>40.319999694824197</v>
      </c>
      <c r="D92">
        <v>40.369998931884702</v>
      </c>
      <c r="E92">
        <v>39.860000610351499</v>
      </c>
      <c r="F92">
        <v>40.209999084472599</v>
      </c>
      <c r="G92" s="2">
        <v>23209000</v>
      </c>
      <c r="H92" s="3">
        <f t="shared" si="1"/>
        <v>7.4398049826940316E-4</v>
      </c>
      <c r="J92" s="3">
        <v>-3.1918204154036012E-2</v>
      </c>
      <c r="K92" s="3">
        <v>2.8607356177302735E-2</v>
      </c>
    </row>
    <row r="93" spans="1:11" x14ac:dyDescent="0.2">
      <c r="A93" s="1">
        <v>41795</v>
      </c>
      <c r="B93">
        <v>34.472068786621001</v>
      </c>
      <c r="C93">
        <v>41.209999084472599</v>
      </c>
      <c r="D93">
        <v>41.25</v>
      </c>
      <c r="E93">
        <v>40.400001525878899</v>
      </c>
      <c r="F93">
        <v>40.590000152587798</v>
      </c>
      <c r="G93" s="2">
        <v>31865200</v>
      </c>
      <c r="H93" s="3">
        <f t="shared" si="1"/>
        <v>2.2073674978922098E-2</v>
      </c>
      <c r="J93" s="3">
        <v>-3.1862500590369547E-2</v>
      </c>
      <c r="K93" s="3">
        <v>2.8921722728701665E-2</v>
      </c>
    </row>
    <row r="94" spans="1:11" x14ac:dyDescent="0.2">
      <c r="A94" s="1">
        <v>41796</v>
      </c>
      <c r="B94">
        <v>34.697933197021399</v>
      </c>
      <c r="C94">
        <v>41.4799995422363</v>
      </c>
      <c r="D94">
        <v>41.659999847412102</v>
      </c>
      <c r="E94">
        <v>41.240001678466797</v>
      </c>
      <c r="F94">
        <v>41.4799995422363</v>
      </c>
      <c r="G94" s="2">
        <v>24060500</v>
      </c>
      <c r="H94" s="3">
        <f t="shared" si="1"/>
        <v>6.5520990863205952E-3</v>
      </c>
      <c r="J94" s="3">
        <v>-3.1849451230123171E-2</v>
      </c>
      <c r="K94" s="3">
        <v>2.9236089280100599E-2</v>
      </c>
    </row>
    <row r="95" spans="1:11" x14ac:dyDescent="0.2">
      <c r="A95" s="1">
        <v>41799</v>
      </c>
      <c r="B95">
        <v>34.522258758544901</v>
      </c>
      <c r="C95">
        <v>41.270000457763601</v>
      </c>
      <c r="D95">
        <v>41.4799995422363</v>
      </c>
      <c r="E95">
        <v>41.020000457763601</v>
      </c>
      <c r="F95">
        <v>41.389999389648402</v>
      </c>
      <c r="G95" s="2">
        <v>15019200</v>
      </c>
      <c r="H95" s="3">
        <f t="shared" si="1"/>
        <v>-5.0629654936213964E-3</v>
      </c>
      <c r="J95" s="3">
        <v>-3.1786989559603018E-2</v>
      </c>
      <c r="K95" s="3">
        <v>2.9550455831499529E-2</v>
      </c>
    </row>
    <row r="96" spans="1:11" x14ac:dyDescent="0.2">
      <c r="A96" s="1">
        <v>41800</v>
      </c>
      <c r="B96">
        <v>34.388423919677699</v>
      </c>
      <c r="C96">
        <v>41.110000610351499</v>
      </c>
      <c r="D96">
        <v>41.159999847412102</v>
      </c>
      <c r="E96">
        <v>40.860000610351499</v>
      </c>
      <c r="F96">
        <v>41.029998779296797</v>
      </c>
      <c r="G96" s="2">
        <v>15117700</v>
      </c>
      <c r="H96" s="3">
        <f t="shared" si="1"/>
        <v>-3.8767694722198209E-3</v>
      </c>
      <c r="J96" s="3">
        <v>-3.1749059658492063E-2</v>
      </c>
      <c r="K96" s="3">
        <v>2.9864822382898459E-2</v>
      </c>
    </row>
    <row r="97" spans="1:11" x14ac:dyDescent="0.2">
      <c r="A97" s="1">
        <v>41801</v>
      </c>
      <c r="B97">
        <v>34.179290771484297</v>
      </c>
      <c r="C97">
        <v>40.860000610351499</v>
      </c>
      <c r="D97">
        <v>41.069999694824197</v>
      </c>
      <c r="E97">
        <v>40.770000457763601</v>
      </c>
      <c r="F97">
        <v>40.930000305175703</v>
      </c>
      <c r="G97" s="2">
        <v>18040000</v>
      </c>
      <c r="H97" s="3">
        <f t="shared" si="1"/>
        <v>-6.0814984915238401E-3</v>
      </c>
      <c r="J97" s="3">
        <v>-3.165569625585396E-2</v>
      </c>
      <c r="K97" s="3">
        <v>3.0179188934297392E-2</v>
      </c>
    </row>
    <row r="98" spans="1:11" x14ac:dyDescent="0.2">
      <c r="A98" s="1">
        <v>41802</v>
      </c>
      <c r="B98">
        <v>33.945079803466797</v>
      </c>
      <c r="C98">
        <v>40.580001831054602</v>
      </c>
      <c r="D98">
        <v>40.880001068115199</v>
      </c>
      <c r="E98">
        <v>40.290000915527301</v>
      </c>
      <c r="F98">
        <v>40.810001373291001</v>
      </c>
      <c r="G98" s="2">
        <v>29818900</v>
      </c>
      <c r="H98" s="3">
        <f t="shared" si="1"/>
        <v>-6.8524232870537105E-3</v>
      </c>
      <c r="J98" s="3">
        <v>-3.1612913269090215E-2</v>
      </c>
      <c r="K98" s="3">
        <v>3.0493555485696322E-2</v>
      </c>
    </row>
    <row r="99" spans="1:11" x14ac:dyDescent="0.2">
      <c r="A99" s="1">
        <v>41803</v>
      </c>
      <c r="B99">
        <v>34.488796234130803</v>
      </c>
      <c r="C99">
        <v>41.2299995422363</v>
      </c>
      <c r="D99">
        <v>41.569999694824197</v>
      </c>
      <c r="E99">
        <v>40.860000610351499</v>
      </c>
      <c r="F99">
        <v>41.099998474121001</v>
      </c>
      <c r="G99" s="2">
        <v>26310000</v>
      </c>
      <c r="H99" s="3">
        <f t="shared" si="1"/>
        <v>1.6017532844582627E-2</v>
      </c>
      <c r="J99" s="3">
        <v>-3.1572545579657274E-2</v>
      </c>
      <c r="K99" s="3">
        <v>3.0807922037095252E-2</v>
      </c>
    </row>
    <row r="100" spans="1:11" x14ac:dyDescent="0.2">
      <c r="A100" s="1">
        <v>41806</v>
      </c>
      <c r="B100">
        <v>34.714649200439403</v>
      </c>
      <c r="C100">
        <v>41.5</v>
      </c>
      <c r="D100">
        <v>41.610000610351499</v>
      </c>
      <c r="E100">
        <v>41.040000915527301</v>
      </c>
      <c r="F100">
        <v>41.040000915527301</v>
      </c>
      <c r="G100" s="2">
        <v>24205300</v>
      </c>
      <c r="H100" s="3">
        <f t="shared" si="1"/>
        <v>6.5485894252548249E-3</v>
      </c>
      <c r="J100" s="3">
        <v>-3.1255614544726362E-2</v>
      </c>
      <c r="K100" s="3">
        <v>3.1122288588494185E-2</v>
      </c>
    </row>
    <row r="101" spans="1:11" x14ac:dyDescent="0.2">
      <c r="A101" s="1">
        <v>41807</v>
      </c>
      <c r="B101">
        <v>34.865226745605398</v>
      </c>
      <c r="C101">
        <v>41.680000305175703</v>
      </c>
      <c r="D101">
        <v>41.909999847412102</v>
      </c>
      <c r="E101">
        <v>40.340000152587798</v>
      </c>
      <c r="F101">
        <v>41.290000915527301</v>
      </c>
      <c r="G101" s="2">
        <v>22518600</v>
      </c>
      <c r="H101" s="3">
        <f t="shared" si="1"/>
        <v>4.3375793399660356E-3</v>
      </c>
      <c r="J101" s="3">
        <v>-3.1246937793045659E-2</v>
      </c>
      <c r="K101" s="3">
        <v>3.1436655139893119E-2</v>
      </c>
    </row>
    <row r="102" spans="1:11" x14ac:dyDescent="0.2">
      <c r="A102" s="1">
        <v>41808</v>
      </c>
      <c r="B102">
        <v>34.840133666992102</v>
      </c>
      <c r="C102">
        <v>41.650001525878899</v>
      </c>
      <c r="D102">
        <v>41.740001678466797</v>
      </c>
      <c r="E102">
        <v>41.180000305175703</v>
      </c>
      <c r="F102">
        <v>41.610000610351499</v>
      </c>
      <c r="G102" s="2">
        <v>27097000</v>
      </c>
      <c r="H102" s="3">
        <f t="shared" si="1"/>
        <v>-7.19716489910871E-4</v>
      </c>
      <c r="J102" s="3">
        <v>-3.1047815986458116E-2</v>
      </c>
      <c r="K102" s="3">
        <v>3.1751021691292049E-2</v>
      </c>
    </row>
    <row r="103" spans="1:11" x14ac:dyDescent="0.2">
      <c r="A103" s="1">
        <v>41809</v>
      </c>
      <c r="B103">
        <v>34.723030090332003</v>
      </c>
      <c r="C103">
        <v>41.509998321533203</v>
      </c>
      <c r="D103">
        <v>41.770000457763601</v>
      </c>
      <c r="E103">
        <v>41.330001831054602</v>
      </c>
      <c r="F103">
        <v>41.569999694824197</v>
      </c>
      <c r="G103" s="2">
        <v>19828200</v>
      </c>
      <c r="H103" s="3">
        <f t="shared" si="1"/>
        <v>-3.3611689834314173E-3</v>
      </c>
      <c r="J103" s="3">
        <v>-3.0888701958814324E-2</v>
      </c>
      <c r="K103" s="3">
        <v>3.2065388242690979E-2</v>
      </c>
    </row>
    <row r="104" spans="1:11" x14ac:dyDescent="0.2">
      <c r="A104" s="1">
        <v>41810</v>
      </c>
      <c r="B104">
        <v>34.865226745605398</v>
      </c>
      <c r="C104">
        <v>41.680000305175703</v>
      </c>
      <c r="D104">
        <v>41.830001831054602</v>
      </c>
      <c r="E104">
        <v>41.380001068115199</v>
      </c>
      <c r="F104">
        <v>41.450000762939403</v>
      </c>
      <c r="G104" s="2">
        <v>47764900</v>
      </c>
      <c r="H104" s="3">
        <f t="shared" si="1"/>
        <v>4.0951683912224812E-3</v>
      </c>
      <c r="J104" s="3">
        <v>-3.0867940760641921E-2</v>
      </c>
      <c r="K104" s="3">
        <v>3.2379754794089909E-2</v>
      </c>
    </row>
    <row r="105" spans="1:11" x14ac:dyDescent="0.2">
      <c r="A105" s="1">
        <v>41813</v>
      </c>
      <c r="B105">
        <v>35.124538421630803</v>
      </c>
      <c r="C105">
        <v>41.990001678466797</v>
      </c>
      <c r="D105">
        <v>42</v>
      </c>
      <c r="E105">
        <v>41.689998626708899</v>
      </c>
      <c r="F105">
        <v>41.7299995422363</v>
      </c>
      <c r="G105" s="2">
        <v>18743900</v>
      </c>
      <c r="H105" s="3">
        <f t="shared" si="1"/>
        <v>7.4375445172771837E-3</v>
      </c>
      <c r="J105" s="3">
        <v>-3.0379444496047681E-2</v>
      </c>
      <c r="K105" s="3">
        <v>3.2694121345488839E-2</v>
      </c>
    </row>
    <row r="106" spans="1:11" x14ac:dyDescent="0.2">
      <c r="A106" s="1">
        <v>41814</v>
      </c>
      <c r="B106">
        <v>34.9237670898437</v>
      </c>
      <c r="C106">
        <v>41.75</v>
      </c>
      <c r="D106">
        <v>41.939998626708899</v>
      </c>
      <c r="E106">
        <v>41.560001373291001</v>
      </c>
      <c r="F106">
        <v>41.830001831054602</v>
      </c>
      <c r="G106" s="2">
        <v>26509100</v>
      </c>
      <c r="H106" s="3">
        <f t="shared" si="1"/>
        <v>-5.7159849156469544E-3</v>
      </c>
      <c r="J106" s="3">
        <v>-3.016025660028343E-2</v>
      </c>
      <c r="K106" s="3">
        <v>3.3008487896887768E-2</v>
      </c>
    </row>
    <row r="107" spans="1:11" x14ac:dyDescent="0.2">
      <c r="A107" s="1">
        <v>41815</v>
      </c>
      <c r="B107">
        <v>35.158000946044901</v>
      </c>
      <c r="C107">
        <v>42.029998779296797</v>
      </c>
      <c r="D107">
        <v>42.049999237060497</v>
      </c>
      <c r="E107">
        <v>41.459999084472599</v>
      </c>
      <c r="F107">
        <v>41.700000762939403</v>
      </c>
      <c r="G107" s="2">
        <v>20049100</v>
      </c>
      <c r="H107" s="3">
        <f t="shared" si="1"/>
        <v>6.7070043045074357E-3</v>
      </c>
      <c r="J107" s="3">
        <v>-3.013041422025331E-2</v>
      </c>
      <c r="K107" s="3">
        <v>3.3322854448286705E-2</v>
      </c>
    </row>
    <row r="108" spans="1:11" x14ac:dyDescent="0.2">
      <c r="A108" s="1">
        <v>41816</v>
      </c>
      <c r="B108">
        <v>34.898696899413999</v>
      </c>
      <c r="C108">
        <v>41.720001220703097</v>
      </c>
      <c r="D108">
        <v>41.939998626708899</v>
      </c>
      <c r="E108">
        <v>41.430000305175703</v>
      </c>
      <c r="F108">
        <v>41.930000305175703</v>
      </c>
      <c r="G108" s="2">
        <v>23604400</v>
      </c>
      <c r="H108" s="3">
        <f t="shared" si="1"/>
        <v>-7.3753922195076704E-3</v>
      </c>
      <c r="J108" s="3">
        <v>-3.0114415820062024E-2</v>
      </c>
      <c r="K108" s="3">
        <v>3.3637220999685635E-2</v>
      </c>
    </row>
    <row r="109" spans="1:11" x14ac:dyDescent="0.2">
      <c r="A109" s="1">
        <v>41817</v>
      </c>
      <c r="B109">
        <v>35.342021942138601</v>
      </c>
      <c r="C109">
        <v>42.25</v>
      </c>
      <c r="D109">
        <v>42.290000915527301</v>
      </c>
      <c r="E109">
        <v>41.509998321533203</v>
      </c>
      <c r="F109">
        <v>41.610000610351499</v>
      </c>
      <c r="G109" s="2">
        <v>74640000</v>
      </c>
      <c r="H109" s="3">
        <f t="shared" si="1"/>
        <v>1.2703197600826277E-2</v>
      </c>
      <c r="J109" s="3">
        <v>-2.9733339417804761E-2</v>
      </c>
      <c r="K109" s="3">
        <v>3.3951587551084565E-2</v>
      </c>
    </row>
    <row r="110" spans="1:11" x14ac:dyDescent="0.2">
      <c r="A110" s="1">
        <v>41820</v>
      </c>
      <c r="B110">
        <v>34.881942749023402</v>
      </c>
      <c r="C110">
        <v>41.700000762939403</v>
      </c>
      <c r="D110">
        <v>42.209999084472599</v>
      </c>
      <c r="E110">
        <v>41.700000762939403</v>
      </c>
      <c r="F110">
        <v>42.169998168945298</v>
      </c>
      <c r="G110" s="2">
        <v>30793100</v>
      </c>
      <c r="H110" s="3">
        <f t="shared" si="1"/>
        <v>-1.3017908083143404E-2</v>
      </c>
      <c r="J110" s="3">
        <v>-2.9637860443236907E-2</v>
      </c>
      <c r="K110" s="3">
        <v>3.4265954102483495E-2</v>
      </c>
    </row>
    <row r="111" spans="1:11" x14ac:dyDescent="0.2">
      <c r="A111" s="1">
        <v>41821</v>
      </c>
      <c r="B111">
        <v>35.024158477783203</v>
      </c>
      <c r="C111">
        <v>41.869998931884702</v>
      </c>
      <c r="D111">
        <v>42.150001525878899</v>
      </c>
      <c r="E111">
        <v>41.689998626708899</v>
      </c>
      <c r="F111">
        <v>41.860000610351499</v>
      </c>
      <c r="G111" s="2">
        <v>26917000</v>
      </c>
      <c r="H111" s="3">
        <f t="shared" si="1"/>
        <v>4.077058717258053E-3</v>
      </c>
      <c r="J111" s="3">
        <v>-2.9614574887130374E-2</v>
      </c>
      <c r="K111" s="3">
        <v>3.4580320653882425E-2</v>
      </c>
    </row>
    <row r="112" spans="1:11" x14ac:dyDescent="0.2">
      <c r="A112" s="1">
        <v>41822</v>
      </c>
      <c r="B112">
        <v>35.049259185791001</v>
      </c>
      <c r="C112">
        <v>41.900001525878899</v>
      </c>
      <c r="D112">
        <v>41.900001525878899</v>
      </c>
      <c r="E112">
        <v>41.529998779296797</v>
      </c>
      <c r="F112">
        <v>41.7299995422363</v>
      </c>
      <c r="G112" s="2">
        <v>20208100</v>
      </c>
      <c r="H112" s="3">
        <f t="shared" si="1"/>
        <v>7.1666841114037538E-4</v>
      </c>
      <c r="J112" s="3">
        <v>-2.9572018980054016E-2</v>
      </c>
      <c r="K112" s="3">
        <v>3.4894687205281355E-2</v>
      </c>
    </row>
    <row r="113" spans="1:11" x14ac:dyDescent="0.2">
      <c r="A113" s="1">
        <v>41823</v>
      </c>
      <c r="B113">
        <v>34.965610504150298</v>
      </c>
      <c r="C113">
        <v>41.799999237060497</v>
      </c>
      <c r="D113">
        <v>41.990001678466797</v>
      </c>
      <c r="E113">
        <v>41.560001373291001</v>
      </c>
      <c r="F113">
        <v>41.909999847412102</v>
      </c>
      <c r="G113" s="2">
        <v>15969300</v>
      </c>
      <c r="H113" s="3">
        <f t="shared" si="1"/>
        <v>-2.3866034142774328E-3</v>
      </c>
      <c r="J113" s="3">
        <v>-2.9511628795655498E-2</v>
      </c>
      <c r="K113" s="3">
        <v>3.5209053756680292E-2</v>
      </c>
    </row>
    <row r="114" spans="1:11" x14ac:dyDescent="0.2">
      <c r="A114" s="1">
        <v>41827</v>
      </c>
      <c r="B114">
        <v>35.124538421630803</v>
      </c>
      <c r="C114">
        <v>41.990001678466797</v>
      </c>
      <c r="D114">
        <v>42.119998931884702</v>
      </c>
      <c r="E114">
        <v>41.709999084472599</v>
      </c>
      <c r="F114">
        <v>41.75</v>
      </c>
      <c r="G114" s="2">
        <v>21952400</v>
      </c>
      <c r="H114" s="3">
        <f t="shared" si="1"/>
        <v>4.5452636230001175E-3</v>
      </c>
      <c r="J114" s="3">
        <v>-2.9362565975400434E-2</v>
      </c>
      <c r="K114" s="3">
        <v>3.5523420308079222E-2</v>
      </c>
    </row>
    <row r="115" spans="1:11" x14ac:dyDescent="0.2">
      <c r="A115" s="1">
        <v>41828</v>
      </c>
      <c r="B115">
        <v>34.9488716125488</v>
      </c>
      <c r="C115">
        <v>41.779998779296797</v>
      </c>
      <c r="D115">
        <v>42</v>
      </c>
      <c r="E115">
        <v>41.610000610351499</v>
      </c>
      <c r="F115">
        <v>41.869998931884702</v>
      </c>
      <c r="G115" s="2">
        <v>31218200</v>
      </c>
      <c r="H115" s="3">
        <f t="shared" si="1"/>
        <v>-5.0012560157608466E-3</v>
      </c>
      <c r="J115" s="3">
        <v>-2.9355072656220615E-2</v>
      </c>
      <c r="K115" s="3">
        <v>3.5837786859478152E-2</v>
      </c>
    </row>
    <row r="116" spans="1:11" x14ac:dyDescent="0.2">
      <c r="A116" s="1">
        <v>41829</v>
      </c>
      <c r="B116">
        <v>34.856853485107401</v>
      </c>
      <c r="C116">
        <v>41.669998168945298</v>
      </c>
      <c r="D116">
        <v>41.990001678466797</v>
      </c>
      <c r="E116">
        <v>41.529998779296797</v>
      </c>
      <c r="F116">
        <v>41.9799995422363</v>
      </c>
      <c r="G116" s="2">
        <v>18445900</v>
      </c>
      <c r="H116" s="3">
        <f t="shared" si="1"/>
        <v>-2.6329355769060259E-3</v>
      </c>
      <c r="J116" s="3">
        <v>-2.9282145472017573E-2</v>
      </c>
      <c r="K116" s="3">
        <v>3.6152153410877082E-2</v>
      </c>
    </row>
    <row r="117" spans="1:11" x14ac:dyDescent="0.2">
      <c r="A117" s="1">
        <v>41830</v>
      </c>
      <c r="B117">
        <v>34.873584747314403</v>
      </c>
      <c r="C117">
        <v>41.689998626708899</v>
      </c>
      <c r="D117">
        <v>42</v>
      </c>
      <c r="E117">
        <v>41.049999237060497</v>
      </c>
      <c r="F117">
        <v>41.369998931884702</v>
      </c>
      <c r="G117" s="2">
        <v>21854700</v>
      </c>
      <c r="H117" s="3">
        <f t="shared" si="1"/>
        <v>4.7999921203878415E-4</v>
      </c>
      <c r="J117" s="3">
        <v>-2.917171904980953E-2</v>
      </c>
      <c r="K117" s="3">
        <v>3.6466519962276012E-2</v>
      </c>
    </row>
    <row r="118" spans="1:11" x14ac:dyDescent="0.2">
      <c r="A118" s="1">
        <v>41831</v>
      </c>
      <c r="B118">
        <v>35.208183288574197</v>
      </c>
      <c r="C118">
        <v>42.090000152587798</v>
      </c>
      <c r="D118">
        <v>42.090000152587798</v>
      </c>
      <c r="E118">
        <v>41.4799995422363</v>
      </c>
      <c r="F118">
        <v>41.700000762939403</v>
      </c>
      <c r="G118" s="2">
        <v>24083000</v>
      </c>
      <c r="H118" s="3">
        <f t="shared" si="1"/>
        <v>9.5946127616135524E-3</v>
      </c>
      <c r="J118" s="3">
        <v>-2.9156915158355501E-2</v>
      </c>
      <c r="K118" s="3">
        <v>3.6780886513674942E-2</v>
      </c>
    </row>
    <row r="119" spans="1:11" x14ac:dyDescent="0.2">
      <c r="A119" s="1">
        <v>41834</v>
      </c>
      <c r="B119">
        <v>35.250015258788999</v>
      </c>
      <c r="C119">
        <v>42.139999389648402</v>
      </c>
      <c r="D119">
        <v>42.450000762939403</v>
      </c>
      <c r="E119">
        <v>42.040000915527301</v>
      </c>
      <c r="F119">
        <v>42.220001220703097</v>
      </c>
      <c r="G119" s="2">
        <v>21881100</v>
      </c>
      <c r="H119" s="3">
        <f t="shared" si="1"/>
        <v>1.1881320280553442E-3</v>
      </c>
      <c r="J119" s="3">
        <v>-2.9134700900779631E-2</v>
      </c>
      <c r="K119" s="3">
        <v>3.7095253065073878E-2</v>
      </c>
    </row>
    <row r="120" spans="1:11" x14ac:dyDescent="0.2">
      <c r="A120" s="1">
        <v>41835</v>
      </c>
      <c r="B120">
        <v>35.509330749511697</v>
      </c>
      <c r="C120">
        <v>42.450000762939403</v>
      </c>
      <c r="D120">
        <v>42.470001220703097</v>
      </c>
      <c r="E120">
        <v>42.029998779296797</v>
      </c>
      <c r="F120">
        <v>42.330001831054602</v>
      </c>
      <c r="G120" s="2">
        <v>28748700</v>
      </c>
      <c r="H120" s="3">
        <f t="shared" si="1"/>
        <v>7.3564646375023912E-3</v>
      </c>
      <c r="J120" s="3">
        <v>-2.9087322793642789E-2</v>
      </c>
      <c r="K120" s="3">
        <v>3.7409619616472808E-2</v>
      </c>
    </row>
    <row r="121" spans="1:11" x14ac:dyDescent="0.2">
      <c r="A121" s="1">
        <v>41836</v>
      </c>
      <c r="B121">
        <v>36.872825622558501</v>
      </c>
      <c r="C121">
        <v>44.080001831054602</v>
      </c>
      <c r="D121">
        <v>44.310001373291001</v>
      </c>
      <c r="E121">
        <v>42.4799995422363</v>
      </c>
      <c r="F121">
        <v>42.509998321533203</v>
      </c>
      <c r="G121" s="2">
        <v>63318000</v>
      </c>
      <c r="H121" s="3">
        <f t="shared" si="1"/>
        <v>3.8398213772743439E-2</v>
      </c>
      <c r="J121" s="3">
        <v>-2.9076386615899064E-2</v>
      </c>
      <c r="K121" s="3">
        <v>3.7723986167871738E-2</v>
      </c>
    </row>
    <row r="122" spans="1:11" x14ac:dyDescent="0.2">
      <c r="A122" s="1">
        <v>41837</v>
      </c>
      <c r="B122">
        <v>37.249244689941399</v>
      </c>
      <c r="C122">
        <v>44.529998779296797</v>
      </c>
      <c r="D122">
        <v>45.709999084472599</v>
      </c>
      <c r="E122">
        <v>44.25</v>
      </c>
      <c r="F122">
        <v>45.450000762939403</v>
      </c>
      <c r="G122" s="2">
        <v>82180300</v>
      </c>
      <c r="H122" s="3">
        <f t="shared" si="1"/>
        <v>1.0208576669334724E-2</v>
      </c>
      <c r="J122" s="3">
        <v>-2.9070483721917229E-2</v>
      </c>
      <c r="K122" s="3">
        <v>3.8038352719270668E-2</v>
      </c>
    </row>
    <row r="123" spans="1:11" x14ac:dyDescent="0.2">
      <c r="A123" s="1">
        <v>41838</v>
      </c>
      <c r="B123">
        <v>37.383079528808501</v>
      </c>
      <c r="C123">
        <v>44.689998626708899</v>
      </c>
      <c r="D123">
        <v>44.840000152587798</v>
      </c>
      <c r="E123">
        <v>44.25</v>
      </c>
      <c r="F123">
        <v>44.650001525878899</v>
      </c>
      <c r="G123" s="2">
        <v>43407500</v>
      </c>
      <c r="H123" s="3">
        <f t="shared" si="1"/>
        <v>3.5929544338717534E-3</v>
      </c>
      <c r="J123" s="3">
        <v>-2.9068074338626126E-2</v>
      </c>
      <c r="K123" s="3">
        <v>3.8352719270669598E-2</v>
      </c>
    </row>
    <row r="124" spans="1:11" x14ac:dyDescent="0.2">
      <c r="A124" s="1">
        <v>41841</v>
      </c>
      <c r="B124">
        <v>37.508556365966797</v>
      </c>
      <c r="C124">
        <v>44.840000152587798</v>
      </c>
      <c r="D124">
        <v>45.159999847412102</v>
      </c>
      <c r="E124">
        <v>44.220001220703097</v>
      </c>
      <c r="F124">
        <v>44.560001373291001</v>
      </c>
      <c r="G124" s="2">
        <v>37604400</v>
      </c>
      <c r="H124" s="3">
        <f t="shared" si="1"/>
        <v>3.356514196793281E-3</v>
      </c>
      <c r="J124" s="3">
        <v>-2.9030088533434806E-2</v>
      </c>
      <c r="K124" s="3">
        <v>3.8667085822068535E-2</v>
      </c>
    </row>
    <row r="125" spans="1:11" x14ac:dyDescent="0.2">
      <c r="A125" s="1">
        <v>41842</v>
      </c>
      <c r="B125">
        <v>37.500194549560497</v>
      </c>
      <c r="C125">
        <v>44.830001831054602</v>
      </c>
      <c r="D125">
        <v>45.150001525878899</v>
      </c>
      <c r="E125">
        <v>44.590000152587798</v>
      </c>
      <c r="F125">
        <v>45</v>
      </c>
      <c r="G125" s="2">
        <v>43095800</v>
      </c>
      <c r="H125" s="3">
        <f t="shared" si="1"/>
        <v>-2.2293090474378996E-4</v>
      </c>
      <c r="J125" s="3">
        <v>-2.8824701858017887E-2</v>
      </c>
      <c r="K125" s="3">
        <v>3.8981452373467465E-2</v>
      </c>
    </row>
    <row r="126" spans="1:11" x14ac:dyDescent="0.2">
      <c r="A126" s="1">
        <v>41843</v>
      </c>
      <c r="B126">
        <v>37.533641815185497</v>
      </c>
      <c r="C126">
        <v>44.869998931884702</v>
      </c>
      <c r="D126">
        <v>45.450000762939403</v>
      </c>
      <c r="E126">
        <v>44.619998931884702</v>
      </c>
      <c r="F126">
        <v>45.450000762939403</v>
      </c>
      <c r="G126" s="2">
        <v>52362900</v>
      </c>
      <c r="H126" s="3">
        <f t="shared" si="1"/>
        <v>8.9192245605018705E-4</v>
      </c>
      <c r="J126" s="3">
        <v>-2.8721998448954622E-2</v>
      </c>
      <c r="K126" s="3">
        <v>3.9295818924866395E-2</v>
      </c>
    </row>
    <row r="127" spans="1:11" x14ac:dyDescent="0.2">
      <c r="A127" s="1">
        <v>41844</v>
      </c>
      <c r="B127">
        <v>37.140506744384702</v>
      </c>
      <c r="C127">
        <v>44.400001525878899</v>
      </c>
      <c r="D127">
        <v>45</v>
      </c>
      <c r="E127">
        <v>44.319999694824197</v>
      </c>
      <c r="F127">
        <v>44.930000305175703</v>
      </c>
      <c r="G127" s="2">
        <v>30725300</v>
      </c>
      <c r="H127" s="3">
        <f t="shared" si="1"/>
        <v>-1.0474205320564978E-2</v>
      </c>
      <c r="J127" s="3">
        <v>-2.8442045600590271E-2</v>
      </c>
      <c r="K127" s="3">
        <v>3.9610185476265325E-2</v>
      </c>
    </row>
    <row r="128" spans="1:11" x14ac:dyDescent="0.2">
      <c r="A128" s="1">
        <v>41845</v>
      </c>
      <c r="B128">
        <v>37.224155426025298</v>
      </c>
      <c r="C128">
        <v>44.5</v>
      </c>
      <c r="D128">
        <v>44.659999847412102</v>
      </c>
      <c r="E128">
        <v>44.299999237060497</v>
      </c>
      <c r="F128">
        <v>44.299999237060497</v>
      </c>
      <c r="G128" s="2">
        <v>26737700</v>
      </c>
      <c r="H128" s="3">
        <f t="shared" si="1"/>
        <v>2.2522224108652011E-3</v>
      </c>
      <c r="J128" s="3">
        <v>-2.8372931043769367E-2</v>
      </c>
      <c r="K128" s="3">
        <v>3.9924552027664255E-2</v>
      </c>
    </row>
    <row r="129" spans="1:11" x14ac:dyDescent="0.2">
      <c r="A129" s="1">
        <v>41848</v>
      </c>
      <c r="B129">
        <v>36.780796051025298</v>
      </c>
      <c r="C129">
        <v>43.970001220703097</v>
      </c>
      <c r="D129">
        <v>44.509998321533203</v>
      </c>
      <c r="E129">
        <v>43.930000305175703</v>
      </c>
      <c r="F129">
        <v>44.360000610351499</v>
      </c>
      <c r="G129" s="2">
        <v>29684200</v>
      </c>
      <c r="H129" s="3">
        <f t="shared" si="1"/>
        <v>-1.1910528793086517E-2</v>
      </c>
      <c r="J129" s="3">
        <v>-2.8285783539008458E-2</v>
      </c>
      <c r="K129" s="3">
        <v>4.0238918579063185E-2</v>
      </c>
    </row>
    <row r="130" spans="1:11" x14ac:dyDescent="0.2">
      <c r="A130" s="1">
        <v>41849</v>
      </c>
      <c r="B130">
        <v>36.713874816894503</v>
      </c>
      <c r="C130">
        <v>43.889999389648402</v>
      </c>
      <c r="D130">
        <v>44.090000152587798</v>
      </c>
      <c r="E130">
        <v>43.639999389648402</v>
      </c>
      <c r="F130">
        <v>43.909999847412102</v>
      </c>
      <c r="G130" s="2">
        <v>27763100</v>
      </c>
      <c r="H130" s="3">
        <f t="shared" ref="H130:H193" si="2">B130/B129-1</f>
        <v>-1.819461276421408E-3</v>
      </c>
      <c r="J130" s="3">
        <v>-2.8266938531620101E-2</v>
      </c>
      <c r="K130" s="3">
        <v>4.0553285130462122E-2</v>
      </c>
    </row>
    <row r="131" spans="1:11" x14ac:dyDescent="0.2">
      <c r="A131" s="1">
        <v>41850</v>
      </c>
      <c r="B131">
        <v>36.454566955566399</v>
      </c>
      <c r="C131">
        <v>43.580001831054602</v>
      </c>
      <c r="D131">
        <v>44.099998474121001</v>
      </c>
      <c r="E131">
        <v>43.290000915527301</v>
      </c>
      <c r="F131">
        <v>44.069999694824197</v>
      </c>
      <c r="G131" s="2">
        <v>31921400</v>
      </c>
      <c r="H131" s="3">
        <f t="shared" si="2"/>
        <v>-7.0629390828771399E-3</v>
      </c>
      <c r="J131" s="3">
        <v>-2.818688944653569E-2</v>
      </c>
      <c r="K131" s="3">
        <v>4.0867651681861052E-2</v>
      </c>
    </row>
    <row r="132" spans="1:11" x14ac:dyDescent="0.2">
      <c r="A132" s="1">
        <v>41851</v>
      </c>
      <c r="B132">
        <v>36.103240966796797</v>
      </c>
      <c r="C132">
        <v>43.159999847412102</v>
      </c>
      <c r="D132">
        <v>43.689998626708899</v>
      </c>
      <c r="E132">
        <v>43.080001831054602</v>
      </c>
      <c r="F132">
        <v>43.380001068115199</v>
      </c>
      <c r="G132" s="2">
        <v>31537500</v>
      </c>
      <c r="H132" s="3">
        <f t="shared" si="2"/>
        <v>-9.6373655788539736E-3</v>
      </c>
      <c r="J132" s="3">
        <v>-2.8095449889727342E-2</v>
      </c>
      <c r="K132" s="3">
        <v>4.1182018233259982E-2</v>
      </c>
    </row>
    <row r="133" spans="1:11" x14ac:dyDescent="0.2">
      <c r="A133" s="1">
        <v>41852</v>
      </c>
      <c r="B133">
        <v>35.852291107177699</v>
      </c>
      <c r="C133">
        <v>42.860000610351499</v>
      </c>
      <c r="D133">
        <v>43.25</v>
      </c>
      <c r="E133">
        <v>42.599998474121001</v>
      </c>
      <c r="F133">
        <v>43.209999084472599</v>
      </c>
      <c r="G133" s="2">
        <v>31170300</v>
      </c>
      <c r="H133" s="3">
        <f t="shared" si="2"/>
        <v>-6.9508956231904007E-3</v>
      </c>
      <c r="J133" s="3">
        <v>-2.8018683222808205E-2</v>
      </c>
      <c r="K133" s="3">
        <v>4.1496384784658912E-2</v>
      </c>
    </row>
    <row r="134" spans="1:11" x14ac:dyDescent="0.2">
      <c r="A134" s="1">
        <v>41855</v>
      </c>
      <c r="B134">
        <v>36.278915405273402</v>
      </c>
      <c r="C134">
        <v>43.369998931884702</v>
      </c>
      <c r="D134">
        <v>43.470001220703097</v>
      </c>
      <c r="E134">
        <v>42.810001373291001</v>
      </c>
      <c r="F134">
        <v>42.970001220703097</v>
      </c>
      <c r="G134" s="2">
        <v>34277400</v>
      </c>
      <c r="H134" s="3">
        <f t="shared" si="2"/>
        <v>1.1899498886147608E-2</v>
      </c>
      <c r="J134" s="3">
        <v>-2.7920454801943828E-2</v>
      </c>
      <c r="K134" s="3">
        <v>4.1810751336057841E-2</v>
      </c>
    </row>
    <row r="135" spans="1:11" x14ac:dyDescent="0.2">
      <c r="A135" s="1">
        <v>41856</v>
      </c>
      <c r="B135">
        <v>36.036327362060497</v>
      </c>
      <c r="C135">
        <v>43.080001831054602</v>
      </c>
      <c r="D135">
        <v>43.459999084472599</v>
      </c>
      <c r="E135">
        <v>42.830001831054602</v>
      </c>
      <c r="F135">
        <v>43.310001373291001</v>
      </c>
      <c r="G135" s="2">
        <v>26266400</v>
      </c>
      <c r="H135" s="3">
        <f t="shared" si="2"/>
        <v>-6.6867501550954556E-3</v>
      </c>
      <c r="J135" s="3">
        <v>-2.7852640315972677E-2</v>
      </c>
      <c r="K135" s="3">
        <v>4.2125117887456771E-2</v>
      </c>
    </row>
    <row r="136" spans="1:11" x14ac:dyDescent="0.2">
      <c r="A136" s="1">
        <v>41857</v>
      </c>
      <c r="B136">
        <v>35.751918792724602</v>
      </c>
      <c r="C136">
        <v>42.740001678466797</v>
      </c>
      <c r="D136">
        <v>43.169998168945298</v>
      </c>
      <c r="E136">
        <v>42.209999084472599</v>
      </c>
      <c r="F136">
        <v>42.740001678466797</v>
      </c>
      <c r="G136" s="2">
        <v>24634000</v>
      </c>
      <c r="H136" s="3">
        <f t="shared" si="2"/>
        <v>-7.8922739955826771E-3</v>
      </c>
      <c r="J136" s="3">
        <v>-2.7815326356277925E-2</v>
      </c>
      <c r="K136" s="3">
        <v>4.2439484438855708E-2</v>
      </c>
    </row>
    <row r="137" spans="1:11" x14ac:dyDescent="0.2">
      <c r="A137" s="1">
        <v>41858</v>
      </c>
      <c r="B137">
        <v>36.161792755126903</v>
      </c>
      <c r="C137">
        <v>43.2299995422363</v>
      </c>
      <c r="D137">
        <v>43.450000762939403</v>
      </c>
      <c r="E137">
        <v>42.650001525878899</v>
      </c>
      <c r="F137">
        <v>42.840000152587798</v>
      </c>
      <c r="G137" s="2">
        <v>30314900</v>
      </c>
      <c r="H137" s="3">
        <f t="shared" si="2"/>
        <v>1.1464390618545206E-2</v>
      </c>
      <c r="J137" s="3">
        <v>-2.7805998590759162E-2</v>
      </c>
      <c r="K137" s="3">
        <v>4.2753850990254638E-2</v>
      </c>
    </row>
    <row r="138" spans="1:11" x14ac:dyDescent="0.2">
      <c r="A138" s="1">
        <v>41859</v>
      </c>
      <c r="B138">
        <v>36.136699676513601</v>
      </c>
      <c r="C138">
        <v>43.200000762939403</v>
      </c>
      <c r="D138">
        <v>43.319999694824197</v>
      </c>
      <c r="E138">
        <v>42.909999847412102</v>
      </c>
      <c r="F138">
        <v>43.2299995422363</v>
      </c>
      <c r="G138" s="2">
        <v>28942700</v>
      </c>
      <c r="H138" s="3">
        <f t="shared" si="2"/>
        <v>-6.9391135509300206E-4</v>
      </c>
      <c r="J138" s="3">
        <v>-2.7798059440549805E-2</v>
      </c>
      <c r="K138" s="3">
        <v>4.3068217541653568E-2</v>
      </c>
    </row>
    <row r="139" spans="1:11" x14ac:dyDescent="0.2">
      <c r="A139" s="1">
        <v>41862</v>
      </c>
      <c r="B139">
        <v>36.136699676513601</v>
      </c>
      <c r="C139">
        <v>43.200000762939403</v>
      </c>
      <c r="D139">
        <v>43.450000762939403</v>
      </c>
      <c r="E139">
        <v>43.020000457763601</v>
      </c>
      <c r="F139">
        <v>43.259998321533203</v>
      </c>
      <c r="G139" s="2">
        <v>20351600</v>
      </c>
      <c r="H139" s="3">
        <f t="shared" si="2"/>
        <v>0</v>
      </c>
      <c r="J139" s="3">
        <v>-2.7731267143212945E-2</v>
      </c>
      <c r="K139" s="3">
        <v>4.3382584093052498E-2</v>
      </c>
    </row>
    <row r="140" spans="1:11" x14ac:dyDescent="0.2">
      <c r="A140" s="1">
        <v>41863</v>
      </c>
      <c r="B140">
        <v>36.404384613037102</v>
      </c>
      <c r="C140">
        <v>43.520000457763601</v>
      </c>
      <c r="D140">
        <v>43.590000152587798</v>
      </c>
      <c r="E140">
        <v>43</v>
      </c>
      <c r="F140">
        <v>43.040000915527301</v>
      </c>
      <c r="G140" s="2">
        <v>21431100</v>
      </c>
      <c r="H140" s="3">
        <f t="shared" si="2"/>
        <v>7.4075645789390965E-3</v>
      </c>
      <c r="J140" s="3">
        <v>-2.7428184044119841E-2</v>
      </c>
      <c r="K140" s="3">
        <v>4.3696950644451428E-2</v>
      </c>
    </row>
    <row r="141" spans="1:11" x14ac:dyDescent="0.2">
      <c r="A141" s="1">
        <v>41864</v>
      </c>
      <c r="B141">
        <v>36.872825622558501</v>
      </c>
      <c r="C141">
        <v>44.080001831054602</v>
      </c>
      <c r="D141">
        <v>44.180000305175703</v>
      </c>
      <c r="E141">
        <v>43.520000457763601</v>
      </c>
      <c r="F141">
        <v>43.680000305175703</v>
      </c>
      <c r="G141" s="2">
        <v>22889500</v>
      </c>
      <c r="H141" s="3">
        <f t="shared" si="2"/>
        <v>1.2867708505465147E-2</v>
      </c>
      <c r="J141" s="3">
        <v>-2.7356565070649763E-2</v>
      </c>
      <c r="K141" s="3">
        <v>4.4011317195850365E-2</v>
      </c>
    </row>
    <row r="142" spans="1:11" x14ac:dyDescent="0.2">
      <c r="A142" s="1">
        <v>41865</v>
      </c>
      <c r="B142">
        <v>37.031753540038999</v>
      </c>
      <c r="C142">
        <v>44.270000457763601</v>
      </c>
      <c r="D142">
        <v>44.419998168945298</v>
      </c>
      <c r="E142">
        <v>44.009998321533203</v>
      </c>
      <c r="F142">
        <v>44.080001831054602</v>
      </c>
      <c r="G142" s="2">
        <v>19313200</v>
      </c>
      <c r="H142" s="3">
        <f t="shared" si="2"/>
        <v>4.3101637804310311E-3</v>
      </c>
      <c r="J142" s="3">
        <v>-2.7119216856716477E-2</v>
      </c>
      <c r="K142" s="3">
        <v>4.4325683747249295E-2</v>
      </c>
    </row>
    <row r="143" spans="1:11" x14ac:dyDescent="0.2">
      <c r="A143" s="1">
        <v>41866</v>
      </c>
      <c r="B143">
        <v>37.466724395751903</v>
      </c>
      <c r="C143">
        <v>44.790000915527301</v>
      </c>
      <c r="D143">
        <v>44.900001525878899</v>
      </c>
      <c r="E143">
        <v>44.400001525878899</v>
      </c>
      <c r="F143">
        <v>44.580001831054602</v>
      </c>
      <c r="G143" s="2">
        <v>41611300</v>
      </c>
      <c r="H143" s="3">
        <f t="shared" si="2"/>
        <v>1.1745888707177077E-2</v>
      </c>
      <c r="J143" s="3">
        <v>-2.7084533942614009E-2</v>
      </c>
      <c r="K143" s="3">
        <v>4.4640050298648225E-2</v>
      </c>
    </row>
    <row r="144" spans="1:11" x14ac:dyDescent="0.2">
      <c r="A144" s="1">
        <v>41869</v>
      </c>
      <c r="B144">
        <v>37.734405517578097</v>
      </c>
      <c r="C144">
        <v>45.110000610351499</v>
      </c>
      <c r="D144">
        <v>45.110000610351499</v>
      </c>
      <c r="E144">
        <v>44.680000305175703</v>
      </c>
      <c r="F144">
        <v>44.939998626708899</v>
      </c>
      <c r="G144" s="2">
        <v>26891100</v>
      </c>
      <c r="H144" s="3">
        <f t="shared" si="2"/>
        <v>7.1445029194103782E-3</v>
      </c>
      <c r="J144" s="3">
        <v>-2.699553593920867E-2</v>
      </c>
      <c r="K144" s="3">
        <v>4.4954416850047155E-2</v>
      </c>
    </row>
    <row r="145" spans="1:11" x14ac:dyDescent="0.2">
      <c r="A145" s="1">
        <v>41870</v>
      </c>
      <c r="B145">
        <v>38.155265808105398</v>
      </c>
      <c r="C145">
        <v>45.330001831054602</v>
      </c>
      <c r="D145">
        <v>45.340000152587798</v>
      </c>
      <c r="E145">
        <v>44.830001831054602</v>
      </c>
      <c r="F145">
        <v>44.970001220703097</v>
      </c>
      <c r="G145" s="2">
        <v>28139500</v>
      </c>
      <c r="H145" s="3">
        <f t="shared" si="2"/>
        <v>1.1153224352010715E-2</v>
      </c>
      <c r="J145" s="3">
        <v>-2.69806569160711E-2</v>
      </c>
      <c r="K145" s="3">
        <v>4.5268783401446085E-2</v>
      </c>
    </row>
    <row r="146" spans="1:11" x14ac:dyDescent="0.2">
      <c r="A146" s="1">
        <v>41871</v>
      </c>
      <c r="B146">
        <v>37.835414886474602</v>
      </c>
      <c r="C146">
        <v>44.950000762939403</v>
      </c>
      <c r="D146">
        <v>45.400001525878899</v>
      </c>
      <c r="E146">
        <v>44.900001525878899</v>
      </c>
      <c r="F146">
        <v>45.340000152587798</v>
      </c>
      <c r="G146" s="2">
        <v>24770500</v>
      </c>
      <c r="H146" s="3">
        <f t="shared" si="2"/>
        <v>-8.382877562416291E-3</v>
      </c>
      <c r="J146" s="3">
        <v>-2.6970188343966361E-2</v>
      </c>
      <c r="K146" s="3">
        <v>4.5583149952845015E-2</v>
      </c>
    </row>
    <row r="147" spans="1:11" x14ac:dyDescent="0.2">
      <c r="A147" s="1">
        <v>41872</v>
      </c>
      <c r="B147">
        <v>38.062675476074197</v>
      </c>
      <c r="C147">
        <v>45.220001220703097</v>
      </c>
      <c r="D147">
        <v>45.25</v>
      </c>
      <c r="E147">
        <v>44.830001831054602</v>
      </c>
      <c r="F147">
        <v>44.840000152587798</v>
      </c>
      <c r="G147" s="2">
        <v>22285500</v>
      </c>
      <c r="H147" s="3">
        <f t="shared" si="2"/>
        <v>6.0065573558925056E-3</v>
      </c>
      <c r="J147" s="3">
        <v>-2.694620873579745E-2</v>
      </c>
      <c r="K147" s="3">
        <v>4.5897516504243951E-2</v>
      </c>
    </row>
    <row r="148" spans="1:11" x14ac:dyDescent="0.2">
      <c r="A148" s="1">
        <v>41873</v>
      </c>
      <c r="B148">
        <v>38.003765106201101</v>
      </c>
      <c r="C148">
        <v>45.150001525878899</v>
      </c>
      <c r="D148">
        <v>45.470001220703097</v>
      </c>
      <c r="E148">
        <v>45.069999694824197</v>
      </c>
      <c r="F148">
        <v>45.349998474121001</v>
      </c>
      <c r="G148" s="2">
        <v>18294500</v>
      </c>
      <c r="H148" s="3">
        <f t="shared" si="2"/>
        <v>-1.547720151993226E-3</v>
      </c>
      <c r="J148" s="3">
        <v>-2.6808318488671934E-2</v>
      </c>
      <c r="K148" s="3">
        <v>4.6211883055642881E-2</v>
      </c>
    </row>
    <row r="149" spans="1:11" x14ac:dyDescent="0.2">
      <c r="A149" s="1">
        <v>41876</v>
      </c>
      <c r="B149">
        <v>38.020580291747997</v>
      </c>
      <c r="C149">
        <v>45.169998168945298</v>
      </c>
      <c r="D149">
        <v>45.439998626708899</v>
      </c>
      <c r="E149">
        <v>45.040000915527301</v>
      </c>
      <c r="F149">
        <v>45.400001525878899</v>
      </c>
      <c r="G149" s="2">
        <v>16910000</v>
      </c>
      <c r="H149" s="3">
        <f t="shared" si="2"/>
        <v>4.4246104300205147E-4</v>
      </c>
      <c r="J149" s="3">
        <v>-2.6788610832234272E-2</v>
      </c>
      <c r="K149" s="3">
        <v>4.6526249607041811E-2</v>
      </c>
    </row>
    <row r="150" spans="1:11" x14ac:dyDescent="0.2">
      <c r="A150" s="1">
        <v>41877</v>
      </c>
      <c r="B150">
        <v>37.885917663574197</v>
      </c>
      <c r="C150">
        <v>45.009998321533203</v>
      </c>
      <c r="D150">
        <v>45.400001525878899</v>
      </c>
      <c r="E150">
        <v>44.939998626708899</v>
      </c>
      <c r="F150">
        <v>45.310001373291001</v>
      </c>
      <c r="G150" s="2">
        <v>14873100</v>
      </c>
      <c r="H150" s="3">
        <f t="shared" si="2"/>
        <v>-3.5418351624429967E-3</v>
      </c>
      <c r="J150" s="3">
        <v>-2.6774239293420821E-2</v>
      </c>
      <c r="K150" s="3">
        <v>4.6840616158440741E-2</v>
      </c>
    </row>
    <row r="151" spans="1:11" x14ac:dyDescent="0.2">
      <c r="A151" s="1">
        <v>41878</v>
      </c>
      <c r="B151">
        <v>37.768081665038999</v>
      </c>
      <c r="C151">
        <v>44.869998931884702</v>
      </c>
      <c r="D151">
        <v>45</v>
      </c>
      <c r="E151">
        <v>44.759998321533203</v>
      </c>
      <c r="F151">
        <v>44.900001525878899</v>
      </c>
      <c r="G151" s="2">
        <v>21287900</v>
      </c>
      <c r="H151" s="3">
        <f t="shared" si="2"/>
        <v>-3.110284923849016E-3</v>
      </c>
      <c r="J151" s="3">
        <v>-2.6662265110083294E-2</v>
      </c>
      <c r="K151" s="3">
        <v>4.7154982709839671E-2</v>
      </c>
    </row>
    <row r="152" spans="1:11" x14ac:dyDescent="0.2">
      <c r="A152" s="1">
        <v>41879</v>
      </c>
      <c r="B152">
        <v>37.7765083312988</v>
      </c>
      <c r="C152">
        <v>44.880001068115199</v>
      </c>
      <c r="D152">
        <v>44.9799995422363</v>
      </c>
      <c r="E152">
        <v>44.610000610351499</v>
      </c>
      <c r="F152">
        <v>44.75</v>
      </c>
      <c r="G152" s="2">
        <v>17657600</v>
      </c>
      <c r="H152" s="3">
        <f t="shared" si="2"/>
        <v>2.2311607813541023E-4</v>
      </c>
      <c r="J152" s="3">
        <v>-2.6622897596166317E-2</v>
      </c>
      <c r="K152" s="3">
        <v>4.7469349261238601E-2</v>
      </c>
    </row>
    <row r="153" spans="1:11" x14ac:dyDescent="0.2">
      <c r="A153" s="1">
        <v>41880</v>
      </c>
      <c r="B153">
        <v>38.2394409179687</v>
      </c>
      <c r="C153">
        <v>45.430000305175703</v>
      </c>
      <c r="D153">
        <v>45.439998626708899</v>
      </c>
      <c r="E153">
        <v>44.860000610351499</v>
      </c>
      <c r="F153">
        <v>45.090000152587798</v>
      </c>
      <c r="G153" s="2">
        <v>21607600</v>
      </c>
      <c r="H153" s="3">
        <f t="shared" si="2"/>
        <v>1.2254509670666103E-2</v>
      </c>
      <c r="J153" s="3">
        <v>-2.6588033751594575E-2</v>
      </c>
      <c r="K153" s="3">
        <v>4.7783715812637538E-2</v>
      </c>
    </row>
    <row r="154" spans="1:11" x14ac:dyDescent="0.2">
      <c r="A154" s="1">
        <v>41884</v>
      </c>
      <c r="B154">
        <v>37.953262329101499</v>
      </c>
      <c r="C154">
        <v>45.090000152587798</v>
      </c>
      <c r="D154">
        <v>45.459999084472599</v>
      </c>
      <c r="E154">
        <v>44.849998474121001</v>
      </c>
      <c r="F154">
        <v>45.430000305175703</v>
      </c>
      <c r="G154" s="2">
        <v>22976800</v>
      </c>
      <c r="H154" s="3">
        <f t="shared" si="2"/>
        <v>-7.4838591254802189E-3</v>
      </c>
      <c r="J154" s="3">
        <v>-2.6585667543834401E-2</v>
      </c>
      <c r="K154" s="3">
        <v>4.8098082364036468E-2</v>
      </c>
    </row>
    <row r="155" spans="1:11" x14ac:dyDescent="0.2">
      <c r="A155" s="1">
        <v>41885</v>
      </c>
      <c r="B155">
        <v>37.843841552734297</v>
      </c>
      <c r="C155">
        <v>44.959999084472599</v>
      </c>
      <c r="D155">
        <v>45.110000610351499</v>
      </c>
      <c r="E155">
        <v>44.529998779296797</v>
      </c>
      <c r="F155">
        <v>44.529998779296797</v>
      </c>
      <c r="G155" s="2">
        <v>33684500</v>
      </c>
      <c r="H155" s="3">
        <f t="shared" si="2"/>
        <v>-2.8830400775139431E-3</v>
      </c>
      <c r="J155" s="3">
        <v>-2.6578813484892883E-2</v>
      </c>
      <c r="K155" s="3">
        <v>4.8412448915435398E-2</v>
      </c>
    </row>
    <row r="156" spans="1:11" x14ac:dyDescent="0.2">
      <c r="A156" s="1">
        <v>41886</v>
      </c>
      <c r="B156">
        <v>38.096343994140597</v>
      </c>
      <c r="C156">
        <v>45.259998321533203</v>
      </c>
      <c r="D156">
        <v>45.270000457763601</v>
      </c>
      <c r="E156">
        <v>44.720001220703097</v>
      </c>
      <c r="F156">
        <v>44.740001678466797</v>
      </c>
      <c r="G156" s="2">
        <v>26475500</v>
      </c>
      <c r="H156" s="3">
        <f t="shared" si="2"/>
        <v>6.6722201300426498E-3</v>
      </c>
      <c r="J156" s="3">
        <v>-2.6368345723921105E-2</v>
      </c>
      <c r="K156" s="3">
        <v>4.8726815466834328E-2</v>
      </c>
    </row>
    <row r="157" spans="1:11" x14ac:dyDescent="0.2">
      <c r="A157" s="1">
        <v>41887</v>
      </c>
      <c r="B157">
        <v>38.643478393554602</v>
      </c>
      <c r="C157">
        <v>45.909999847412102</v>
      </c>
      <c r="D157">
        <v>45.930000305175703</v>
      </c>
      <c r="E157">
        <v>45.110000610351499</v>
      </c>
      <c r="F157">
        <v>45.110000610351499</v>
      </c>
      <c r="G157" s="2">
        <v>36939400</v>
      </c>
      <c r="H157" s="3">
        <f t="shared" si="2"/>
        <v>1.4361861061999992E-2</v>
      </c>
      <c r="J157" s="3">
        <v>-2.6310571264174021E-2</v>
      </c>
      <c r="K157" s="3">
        <v>4.9041182018233258E-2</v>
      </c>
    </row>
    <row r="158" spans="1:11" x14ac:dyDescent="0.2">
      <c r="A158" s="1">
        <v>41890</v>
      </c>
      <c r="B158">
        <v>39.114833831787102</v>
      </c>
      <c r="C158">
        <v>46.470001220703097</v>
      </c>
      <c r="D158">
        <v>46.799999237060497</v>
      </c>
      <c r="E158">
        <v>45.990001678466797</v>
      </c>
      <c r="F158">
        <v>46.020000457763601</v>
      </c>
      <c r="G158" s="2">
        <v>45736700</v>
      </c>
      <c r="H158" s="3">
        <f t="shared" si="2"/>
        <v>1.2197541676556733E-2</v>
      </c>
      <c r="J158" s="3">
        <v>-2.6282754571146483E-2</v>
      </c>
      <c r="K158" s="3">
        <v>4.9355548569632188E-2</v>
      </c>
    </row>
    <row r="159" spans="1:11" x14ac:dyDescent="0.2">
      <c r="A159" s="1">
        <v>41891</v>
      </c>
      <c r="B159">
        <v>39.358924865722599</v>
      </c>
      <c r="C159">
        <v>46.759998321533203</v>
      </c>
      <c r="D159">
        <v>46.970001220703097</v>
      </c>
      <c r="E159">
        <v>46.419998168945298</v>
      </c>
      <c r="F159">
        <v>46.470001220703097</v>
      </c>
      <c r="G159" s="2">
        <v>40302400</v>
      </c>
      <c r="H159" s="3">
        <f t="shared" si="2"/>
        <v>6.2403699574746785E-3</v>
      </c>
      <c r="J159" s="3">
        <v>-2.6134140521704929E-2</v>
      </c>
      <c r="K159" s="3">
        <v>4.9669915121031125E-2</v>
      </c>
    </row>
    <row r="160" spans="1:11" x14ac:dyDescent="0.2">
      <c r="A160" s="1">
        <v>41892</v>
      </c>
      <c r="B160">
        <v>39.426265716552699</v>
      </c>
      <c r="C160">
        <v>46.840000152587798</v>
      </c>
      <c r="D160">
        <v>46.939998626708899</v>
      </c>
      <c r="E160">
        <v>46.279998779296797</v>
      </c>
      <c r="F160">
        <v>46.819999694824197</v>
      </c>
      <c r="G160" s="2">
        <v>27302400</v>
      </c>
      <c r="H160" s="3">
        <f t="shared" si="2"/>
        <v>1.7109423354382258E-3</v>
      </c>
      <c r="J160" s="3">
        <v>-2.6029456935508732E-2</v>
      </c>
      <c r="K160" s="3">
        <v>4.9984281672430055E-2</v>
      </c>
    </row>
    <row r="161" spans="1:11" x14ac:dyDescent="0.2">
      <c r="A161" s="1">
        <v>41893</v>
      </c>
      <c r="B161">
        <v>39.560943603515597</v>
      </c>
      <c r="C161">
        <v>47</v>
      </c>
      <c r="D161">
        <v>47</v>
      </c>
      <c r="E161">
        <v>46.470001220703097</v>
      </c>
      <c r="F161">
        <v>46.740001678466797</v>
      </c>
      <c r="G161" s="2">
        <v>29216400</v>
      </c>
      <c r="H161" s="3">
        <f t="shared" si="2"/>
        <v>3.4159432681537538E-3</v>
      </c>
      <c r="J161" s="3">
        <v>-2.5929185133743426E-2</v>
      </c>
      <c r="K161" s="3">
        <v>5.0298648223828984E-2</v>
      </c>
    </row>
    <row r="162" spans="1:11" x14ac:dyDescent="0.2">
      <c r="A162" s="1">
        <v>41894</v>
      </c>
      <c r="B162">
        <v>39.308433532714801</v>
      </c>
      <c r="C162">
        <v>46.700000762939403</v>
      </c>
      <c r="D162">
        <v>47.020000457763601</v>
      </c>
      <c r="E162">
        <v>46.599998474121001</v>
      </c>
      <c r="F162">
        <v>46.909999847412102</v>
      </c>
      <c r="G162" s="2">
        <v>38244700</v>
      </c>
      <c r="H162" s="3">
        <f t="shared" si="2"/>
        <v>-6.3828121323767917E-3</v>
      </c>
      <c r="J162" s="3">
        <v>-2.5893435598049463E-2</v>
      </c>
      <c r="K162" s="3">
        <v>5.0613014775227914E-2</v>
      </c>
    </row>
    <row r="163" spans="1:11" x14ac:dyDescent="0.2">
      <c r="A163" s="1">
        <v>41897</v>
      </c>
      <c r="B163">
        <v>38.921226501464801</v>
      </c>
      <c r="C163">
        <v>46.240001678466797</v>
      </c>
      <c r="D163">
        <v>46.709999084472599</v>
      </c>
      <c r="E163">
        <v>46.099998474121001</v>
      </c>
      <c r="F163">
        <v>46.540000915527301</v>
      </c>
      <c r="G163" s="2">
        <v>37667600</v>
      </c>
      <c r="H163" s="3">
        <f t="shared" si="2"/>
        <v>-9.8504823634791849E-3</v>
      </c>
      <c r="J163" s="3">
        <v>-2.5891374986559579E-2</v>
      </c>
      <c r="K163" s="3">
        <v>5.0927381326626844E-2</v>
      </c>
    </row>
    <row r="164" spans="1:11" x14ac:dyDescent="0.2">
      <c r="A164" s="1">
        <v>41898</v>
      </c>
      <c r="B164">
        <v>39.358924865722599</v>
      </c>
      <c r="C164">
        <v>46.759998321533203</v>
      </c>
      <c r="D164">
        <v>46.849998474121001</v>
      </c>
      <c r="E164">
        <v>46.290000915527301</v>
      </c>
      <c r="F164">
        <v>46.389999389648402</v>
      </c>
      <c r="G164" s="2">
        <v>27910600</v>
      </c>
      <c r="H164" s="3">
        <f t="shared" si="2"/>
        <v>1.124574952028623E-2</v>
      </c>
      <c r="J164" s="3">
        <v>-2.5766694453054573E-2</v>
      </c>
      <c r="K164" s="3">
        <v>5.1241747878025781E-2</v>
      </c>
    </row>
    <row r="165" spans="1:11" x14ac:dyDescent="0.2">
      <c r="A165" s="1">
        <v>41899</v>
      </c>
      <c r="B165">
        <v>39.156906127929602</v>
      </c>
      <c r="C165">
        <v>46.520000457763601</v>
      </c>
      <c r="D165">
        <v>46.689998626708899</v>
      </c>
      <c r="E165">
        <v>46.2299995422363</v>
      </c>
      <c r="F165">
        <v>46.259998321533203</v>
      </c>
      <c r="G165" s="2">
        <v>38311900</v>
      </c>
      <c r="H165" s="3">
        <f t="shared" si="2"/>
        <v>-5.1327300855449343E-3</v>
      </c>
      <c r="J165" s="3">
        <v>-2.5533019878217544E-2</v>
      </c>
      <c r="K165" s="3">
        <v>5.1556114429424711E-2</v>
      </c>
    </row>
    <row r="166" spans="1:11" x14ac:dyDescent="0.2">
      <c r="A166" s="1">
        <v>41900</v>
      </c>
      <c r="B166">
        <v>39.291587829589801</v>
      </c>
      <c r="C166">
        <v>46.680000305175703</v>
      </c>
      <c r="D166">
        <v>46.830001831054602</v>
      </c>
      <c r="E166">
        <v>46.459999084472599</v>
      </c>
      <c r="F166">
        <v>46.590000152587798</v>
      </c>
      <c r="G166" s="2">
        <v>35556600</v>
      </c>
      <c r="H166" s="3">
        <f t="shared" si="2"/>
        <v>3.4395388956467432E-3</v>
      </c>
      <c r="J166" s="3">
        <v>-2.5528677887658002E-2</v>
      </c>
      <c r="K166" s="3">
        <v>5.1870480980823641E-2</v>
      </c>
    </row>
    <row r="167" spans="1:11" x14ac:dyDescent="0.2">
      <c r="A167" s="1">
        <v>41901</v>
      </c>
      <c r="B167">
        <v>39.998638153076101</v>
      </c>
      <c r="C167">
        <v>47.520000457763601</v>
      </c>
      <c r="D167">
        <v>47.569999694824197</v>
      </c>
      <c r="E167">
        <v>46.599998474121001</v>
      </c>
      <c r="F167">
        <v>46.810001373291001</v>
      </c>
      <c r="G167" s="2">
        <v>202522400</v>
      </c>
      <c r="H167" s="3">
        <f t="shared" si="2"/>
        <v>1.7994954201210334E-2</v>
      </c>
      <c r="J167" s="3">
        <v>-2.5138767672074236E-2</v>
      </c>
      <c r="K167" s="3">
        <v>5.2184847532222571E-2</v>
      </c>
    </row>
    <row r="168" spans="1:11" x14ac:dyDescent="0.2">
      <c r="A168" s="1">
        <v>41904</v>
      </c>
      <c r="B168">
        <v>39.611454010009702</v>
      </c>
      <c r="C168">
        <v>47.060001373291001</v>
      </c>
      <c r="D168">
        <v>47.380001068115199</v>
      </c>
      <c r="E168">
        <v>46.9799995422363</v>
      </c>
      <c r="F168">
        <v>47.299999237060497</v>
      </c>
      <c r="G168" s="2">
        <v>38686100</v>
      </c>
      <c r="H168" s="3">
        <f t="shared" si="2"/>
        <v>-9.679933141339303E-3</v>
      </c>
      <c r="J168" s="3">
        <v>-2.5095674350493646E-2</v>
      </c>
      <c r="K168" s="3">
        <v>5.2499214083621501E-2</v>
      </c>
    </row>
    <row r="169" spans="1:11" x14ac:dyDescent="0.2">
      <c r="A169" s="1">
        <v>41905</v>
      </c>
      <c r="B169">
        <v>39.190597534179602</v>
      </c>
      <c r="C169">
        <v>46.560001373291001</v>
      </c>
      <c r="D169">
        <v>46.9799995422363</v>
      </c>
      <c r="E169">
        <v>46.470001220703097</v>
      </c>
      <c r="F169">
        <v>46.849998474121001</v>
      </c>
      <c r="G169" s="2">
        <v>33430300</v>
      </c>
      <c r="H169" s="3">
        <f t="shared" si="2"/>
        <v>-1.0624615691303574E-2</v>
      </c>
      <c r="J169" s="3">
        <v>-2.5040836477469242E-2</v>
      </c>
      <c r="K169" s="3">
        <v>5.2813580635020431E-2</v>
      </c>
    </row>
    <row r="170" spans="1:11" x14ac:dyDescent="0.2">
      <c r="A170" s="1">
        <v>41906</v>
      </c>
      <c r="B170">
        <v>39.628288269042898</v>
      </c>
      <c r="C170">
        <v>47.080001831054602</v>
      </c>
      <c r="D170">
        <v>47.110000610351499</v>
      </c>
      <c r="E170">
        <v>46.340000152587798</v>
      </c>
      <c r="F170">
        <v>46.630001068115199</v>
      </c>
      <c r="G170" s="2">
        <v>26582700</v>
      </c>
      <c r="H170" s="3">
        <f t="shared" si="2"/>
        <v>1.1168258776395712E-2</v>
      </c>
      <c r="J170" s="3">
        <v>-2.5036963349066022E-2</v>
      </c>
      <c r="K170" s="3">
        <v>5.3127947186419368E-2</v>
      </c>
    </row>
    <row r="171" spans="1:11" x14ac:dyDescent="0.2">
      <c r="A171" s="1">
        <v>41907</v>
      </c>
      <c r="B171">
        <v>38.75288772583</v>
      </c>
      <c r="C171">
        <v>46.040000915527301</v>
      </c>
      <c r="D171">
        <v>47.090000152587798</v>
      </c>
      <c r="E171">
        <v>46.029998779296797</v>
      </c>
      <c r="F171">
        <v>46.880001068115199</v>
      </c>
      <c r="G171" s="2">
        <v>33077400</v>
      </c>
      <c r="H171" s="3">
        <f t="shared" si="2"/>
        <v>-2.2090294116911102E-2</v>
      </c>
      <c r="J171" s="3">
        <v>-2.4772095641069525E-2</v>
      </c>
      <c r="K171" s="3">
        <v>5.3442313737818298E-2</v>
      </c>
    </row>
    <row r="172" spans="1:11" x14ac:dyDescent="0.2">
      <c r="A172" s="1">
        <v>41908</v>
      </c>
      <c r="B172">
        <v>39.064342498779297</v>
      </c>
      <c r="C172">
        <v>46.409999847412102</v>
      </c>
      <c r="D172">
        <v>46.619998931884702</v>
      </c>
      <c r="E172">
        <v>45.759998321533203</v>
      </c>
      <c r="F172">
        <v>45.930000305175703</v>
      </c>
      <c r="G172" s="2">
        <v>27078800</v>
      </c>
      <c r="H172" s="3">
        <f t="shared" si="2"/>
        <v>8.0369435989593452E-3</v>
      </c>
      <c r="J172" s="3">
        <v>-2.4765482973883812E-2</v>
      </c>
      <c r="K172" s="3">
        <v>5.3756680289217228E-2</v>
      </c>
    </row>
    <row r="173" spans="1:11" x14ac:dyDescent="0.2">
      <c r="A173" s="1">
        <v>41911</v>
      </c>
      <c r="B173">
        <v>39.089584350585902</v>
      </c>
      <c r="C173">
        <v>46.439998626708899</v>
      </c>
      <c r="D173">
        <v>46.560001373291001</v>
      </c>
      <c r="E173">
        <v>45.759998321533203</v>
      </c>
      <c r="F173">
        <v>45.9799995422363</v>
      </c>
      <c r="G173" s="2">
        <v>26091000</v>
      </c>
      <c r="H173" s="3">
        <f t="shared" si="2"/>
        <v>6.4616092815072967E-4</v>
      </c>
      <c r="J173" s="3">
        <v>-2.4641754113017389E-2</v>
      </c>
      <c r="K173" s="3">
        <v>5.4071046840616158E-2</v>
      </c>
    </row>
    <row r="174" spans="1:11" x14ac:dyDescent="0.2">
      <c r="A174" s="1">
        <v>41912</v>
      </c>
      <c r="B174">
        <v>39.022258758544901</v>
      </c>
      <c r="C174">
        <v>46.360000610351499</v>
      </c>
      <c r="D174">
        <v>46.4799995422363</v>
      </c>
      <c r="E174">
        <v>46.009998321533203</v>
      </c>
      <c r="F174">
        <v>46.369998931884702</v>
      </c>
      <c r="G174" s="2">
        <v>33033100</v>
      </c>
      <c r="H174" s="3">
        <f t="shared" si="2"/>
        <v>-1.7223409550015667E-3</v>
      </c>
      <c r="J174" s="3">
        <v>-2.4495045659969517E-2</v>
      </c>
      <c r="K174" s="3">
        <v>5.4385413392015088E-2</v>
      </c>
    </row>
    <row r="175" spans="1:11" x14ac:dyDescent="0.2">
      <c r="A175" s="1">
        <v>41913</v>
      </c>
      <c r="B175">
        <v>38.635066986083899</v>
      </c>
      <c r="C175">
        <v>45.900001525878899</v>
      </c>
      <c r="D175">
        <v>46.529998779296797</v>
      </c>
      <c r="E175">
        <v>45.849998474121001</v>
      </c>
      <c r="F175">
        <v>46.270000457763601</v>
      </c>
      <c r="G175" s="2">
        <v>38088400</v>
      </c>
      <c r="H175" s="3">
        <f t="shared" si="2"/>
        <v>-9.9223311202152331E-3</v>
      </c>
      <c r="J175" s="3">
        <v>-2.4481233520979528E-2</v>
      </c>
      <c r="K175" s="3">
        <v>5.4699779943414018E-2</v>
      </c>
    </row>
    <row r="176" spans="1:11" x14ac:dyDescent="0.2">
      <c r="A176" s="1">
        <v>41914</v>
      </c>
      <c r="B176">
        <v>38.517204284667898</v>
      </c>
      <c r="C176">
        <v>45.759998321533203</v>
      </c>
      <c r="D176">
        <v>46.099998474121001</v>
      </c>
      <c r="E176">
        <v>45.639999389648402</v>
      </c>
      <c r="F176">
        <v>45.830001831054602</v>
      </c>
      <c r="G176" s="2">
        <v>25119400</v>
      </c>
      <c r="H176" s="3">
        <f t="shared" si="2"/>
        <v>-3.0506664181132459E-3</v>
      </c>
      <c r="J176" s="3">
        <v>-2.4430588724659974E-2</v>
      </c>
      <c r="K176" s="3">
        <v>5.5014146494812954E-2</v>
      </c>
    </row>
    <row r="177" spans="1:11" x14ac:dyDescent="0.2">
      <c r="A177" s="1">
        <v>41915</v>
      </c>
      <c r="B177">
        <v>38.794994354247997</v>
      </c>
      <c r="C177">
        <v>46.090000152587798</v>
      </c>
      <c r="D177">
        <v>46.299999237060497</v>
      </c>
      <c r="E177">
        <v>45.610000610351499</v>
      </c>
      <c r="F177">
        <v>45.9799995422363</v>
      </c>
      <c r="G177" s="2">
        <v>32453200</v>
      </c>
      <c r="H177" s="3">
        <f t="shared" si="2"/>
        <v>7.2121036492431845E-3</v>
      </c>
      <c r="J177" s="3">
        <v>-2.4387724577119352E-2</v>
      </c>
      <c r="K177" s="3">
        <v>5.5328513046211884E-2</v>
      </c>
    </row>
    <row r="178" spans="1:11" x14ac:dyDescent="0.2">
      <c r="A178" s="1">
        <v>41918</v>
      </c>
      <c r="B178">
        <v>38.794994354247997</v>
      </c>
      <c r="C178">
        <v>46.090000152587798</v>
      </c>
      <c r="D178">
        <v>46.299999237060497</v>
      </c>
      <c r="E178">
        <v>45.919998168945298</v>
      </c>
      <c r="F178">
        <v>46.119998931884702</v>
      </c>
      <c r="G178" s="2">
        <v>20604000</v>
      </c>
      <c r="H178" s="3">
        <f t="shared" si="2"/>
        <v>0</v>
      </c>
      <c r="J178" s="3">
        <v>-2.4360658508575272E-2</v>
      </c>
      <c r="K178" s="3">
        <v>5.5642879597610814E-2</v>
      </c>
    </row>
    <row r="179" spans="1:11" x14ac:dyDescent="0.2">
      <c r="A179" s="1">
        <v>41919</v>
      </c>
      <c r="B179">
        <v>38.323616027832003</v>
      </c>
      <c r="C179">
        <v>45.529998779296797</v>
      </c>
      <c r="D179">
        <v>45.930000305175703</v>
      </c>
      <c r="E179">
        <v>45.419998168945298</v>
      </c>
      <c r="F179">
        <v>45.860000610351499</v>
      </c>
      <c r="G179" s="2">
        <v>25723700</v>
      </c>
      <c r="H179" s="3">
        <f t="shared" si="2"/>
        <v>-1.2150493491807413E-2</v>
      </c>
      <c r="J179" s="3">
        <v>-2.4355471226686021E-2</v>
      </c>
      <c r="K179" s="3">
        <v>5.5957246149009744E-2</v>
      </c>
    </row>
    <row r="180" spans="1:11" x14ac:dyDescent="0.2">
      <c r="A180" s="1">
        <v>41920</v>
      </c>
      <c r="B180">
        <v>39.375762939453097</v>
      </c>
      <c r="C180">
        <v>46.779998779296797</v>
      </c>
      <c r="D180">
        <v>46.889999389648402</v>
      </c>
      <c r="E180">
        <v>45.340000152587798</v>
      </c>
      <c r="F180">
        <v>45.4799995422363</v>
      </c>
      <c r="G180" s="2">
        <v>33031000</v>
      </c>
      <c r="H180" s="3">
        <f t="shared" si="2"/>
        <v>2.7454270256151991E-2</v>
      </c>
      <c r="J180" s="3">
        <v>-2.4339197988279659E-2</v>
      </c>
      <c r="K180" s="3">
        <v>5.6271612700408674E-2</v>
      </c>
    </row>
    <row r="181" spans="1:11" x14ac:dyDescent="0.2">
      <c r="A181" s="1">
        <v>41921</v>
      </c>
      <c r="B181">
        <v>38.592967987060497</v>
      </c>
      <c r="C181">
        <v>45.849998474121001</v>
      </c>
      <c r="D181">
        <v>46.799999237060497</v>
      </c>
      <c r="E181">
        <v>45.740001678466797</v>
      </c>
      <c r="F181">
        <v>46.5</v>
      </c>
      <c r="G181" s="2">
        <v>34422800</v>
      </c>
      <c r="H181" s="3">
        <f t="shared" si="2"/>
        <v>-1.9880121525423622E-2</v>
      </c>
      <c r="J181" s="3">
        <v>-2.4274387831567767E-2</v>
      </c>
      <c r="K181" s="3">
        <v>5.6585979251807611E-2</v>
      </c>
    </row>
    <row r="182" spans="1:11" x14ac:dyDescent="0.2">
      <c r="A182" s="1">
        <v>41922</v>
      </c>
      <c r="B182">
        <v>37.061031341552699</v>
      </c>
      <c r="C182">
        <v>44.029998779296797</v>
      </c>
      <c r="D182">
        <v>46.119998931884702</v>
      </c>
      <c r="E182">
        <v>43.950000762939403</v>
      </c>
      <c r="F182">
        <v>45.599998474121001</v>
      </c>
      <c r="G182" s="2">
        <v>51978100</v>
      </c>
      <c r="H182" s="3">
        <f t="shared" si="2"/>
        <v>-3.9694709306146825E-2</v>
      </c>
      <c r="J182" s="3">
        <v>-2.4248886550640392E-2</v>
      </c>
      <c r="K182" s="3">
        <v>5.6900345803206541E-2</v>
      </c>
    </row>
    <row r="183" spans="1:11" x14ac:dyDescent="0.2">
      <c r="A183" s="1">
        <v>41925</v>
      </c>
      <c r="B183">
        <v>36.741184234619098</v>
      </c>
      <c r="C183">
        <v>43.650001525878899</v>
      </c>
      <c r="D183">
        <v>44.560001373291001</v>
      </c>
      <c r="E183">
        <v>43.490001678466797</v>
      </c>
      <c r="F183">
        <v>43.819999694824197</v>
      </c>
      <c r="G183" s="2">
        <v>37100200</v>
      </c>
      <c r="H183" s="3">
        <f t="shared" si="2"/>
        <v>-8.63028079240169E-3</v>
      </c>
      <c r="J183" s="3">
        <v>-2.4144378762564589E-2</v>
      </c>
      <c r="K183" s="3">
        <v>5.7214712354605471E-2</v>
      </c>
    </row>
    <row r="184" spans="1:11" x14ac:dyDescent="0.2">
      <c r="A184" s="1">
        <v>41926</v>
      </c>
      <c r="B184">
        <v>36.808528900146399</v>
      </c>
      <c r="C184">
        <v>43.7299995422363</v>
      </c>
      <c r="D184">
        <v>44.380001068115199</v>
      </c>
      <c r="E184">
        <v>43.560001373291001</v>
      </c>
      <c r="F184">
        <v>43.869998931884702</v>
      </c>
      <c r="G184" s="2">
        <v>38115700</v>
      </c>
      <c r="H184" s="3">
        <f t="shared" si="2"/>
        <v>1.8329476017229229E-3</v>
      </c>
      <c r="J184" s="3">
        <v>-2.4003615608823803E-2</v>
      </c>
      <c r="K184" s="3">
        <v>5.7529078906004401E-2</v>
      </c>
    </row>
    <row r="185" spans="1:11" x14ac:dyDescent="0.2">
      <c r="A185" s="1">
        <v>41927</v>
      </c>
      <c r="B185">
        <v>36.379238128662102</v>
      </c>
      <c r="C185">
        <v>43.220001220703097</v>
      </c>
      <c r="D185">
        <v>43.389999389648402</v>
      </c>
      <c r="E185">
        <v>42.099998474121001</v>
      </c>
      <c r="F185">
        <v>43</v>
      </c>
      <c r="G185" s="2">
        <v>60218700</v>
      </c>
      <c r="H185" s="3">
        <f t="shared" si="2"/>
        <v>-1.1662807080632609E-2</v>
      </c>
      <c r="J185" s="3">
        <v>-2.398705023709824E-2</v>
      </c>
      <c r="K185" s="3">
        <v>5.7843445457403331E-2</v>
      </c>
    </row>
    <row r="186" spans="1:11" x14ac:dyDescent="0.2">
      <c r="A186" s="1">
        <v>41928</v>
      </c>
      <c r="B186">
        <v>35.9752197265625</v>
      </c>
      <c r="C186">
        <v>42.740001678466797</v>
      </c>
      <c r="D186">
        <v>43.080001831054602</v>
      </c>
      <c r="E186">
        <v>42.220001220703097</v>
      </c>
      <c r="F186">
        <v>42.529998779296797</v>
      </c>
      <c r="G186" s="2">
        <v>49040400</v>
      </c>
      <c r="H186" s="3">
        <f t="shared" si="2"/>
        <v>-1.1105741155730486E-2</v>
      </c>
      <c r="J186" s="3">
        <v>-2.3976923127360661E-2</v>
      </c>
      <c r="K186" s="3">
        <v>5.8157812008802261E-2</v>
      </c>
    </row>
    <row r="187" spans="1:11" x14ac:dyDescent="0.2">
      <c r="A187" s="1">
        <v>41929</v>
      </c>
      <c r="B187">
        <v>36.724349975585902</v>
      </c>
      <c r="C187">
        <v>43.630001068115199</v>
      </c>
      <c r="D187">
        <v>43.939998626708899</v>
      </c>
      <c r="E187">
        <v>42.790000915527301</v>
      </c>
      <c r="F187">
        <v>43.200000762939403</v>
      </c>
      <c r="G187" s="2">
        <v>40683300</v>
      </c>
      <c r="H187" s="3">
        <f t="shared" si="2"/>
        <v>2.0823507256309437E-2</v>
      </c>
      <c r="J187" s="3">
        <v>-2.3824620658498996E-2</v>
      </c>
      <c r="K187" s="3">
        <v>5.8472178560201198E-2</v>
      </c>
    </row>
    <row r="188" spans="1:11" x14ac:dyDescent="0.2">
      <c r="A188" s="1">
        <v>41932</v>
      </c>
      <c r="B188">
        <v>37.103118896484297</v>
      </c>
      <c r="C188">
        <v>44.080001831054602</v>
      </c>
      <c r="D188">
        <v>44.139999389648402</v>
      </c>
      <c r="E188">
        <v>42.810001373291001</v>
      </c>
      <c r="F188">
        <v>43.060001373291001</v>
      </c>
      <c r="G188" s="2">
        <v>34527900</v>
      </c>
      <c r="H188" s="3">
        <f t="shared" si="2"/>
        <v>1.0313835946727412E-2</v>
      </c>
      <c r="J188" s="3">
        <v>-2.3704950481976184E-2</v>
      </c>
      <c r="K188" s="3">
        <v>5.8786545111600128E-2</v>
      </c>
    </row>
    <row r="189" spans="1:11" x14ac:dyDescent="0.2">
      <c r="A189" s="1">
        <v>41933</v>
      </c>
      <c r="B189">
        <v>37.7765083312988</v>
      </c>
      <c r="C189">
        <v>44.880001068115199</v>
      </c>
      <c r="D189">
        <v>44.9799995422363</v>
      </c>
      <c r="E189">
        <v>44.189998626708899</v>
      </c>
      <c r="F189">
        <v>44.360000610351499</v>
      </c>
      <c r="G189" s="2">
        <v>36433800</v>
      </c>
      <c r="H189" s="3">
        <f t="shared" si="2"/>
        <v>1.8149132871908336E-2</v>
      </c>
      <c r="J189" s="3">
        <v>-2.36302580160066E-2</v>
      </c>
      <c r="K189" s="3">
        <v>5.9100911662999057E-2</v>
      </c>
    </row>
    <row r="190" spans="1:11" x14ac:dyDescent="0.2">
      <c r="A190" s="1">
        <v>41934</v>
      </c>
      <c r="B190">
        <v>37.355632781982401</v>
      </c>
      <c r="C190">
        <v>44.380001068115199</v>
      </c>
      <c r="D190">
        <v>45.069999694824197</v>
      </c>
      <c r="E190">
        <v>44.2299995422363</v>
      </c>
      <c r="F190">
        <v>45</v>
      </c>
      <c r="G190" s="2">
        <v>33570900</v>
      </c>
      <c r="H190" s="3">
        <f t="shared" si="2"/>
        <v>-1.1141197741869946E-2</v>
      </c>
      <c r="J190" s="3">
        <v>-2.3620752620663099E-2</v>
      </c>
      <c r="K190" s="3">
        <v>5.9415278214397987E-2</v>
      </c>
    </row>
    <row r="191" spans="1:11" x14ac:dyDescent="0.2">
      <c r="A191" s="1">
        <v>41935</v>
      </c>
      <c r="B191">
        <v>37.894344329833899</v>
      </c>
      <c r="C191">
        <v>45.020000457763601</v>
      </c>
      <c r="D191">
        <v>45.450000762939403</v>
      </c>
      <c r="E191">
        <v>44.529998779296797</v>
      </c>
      <c r="F191">
        <v>44.619998931884702</v>
      </c>
      <c r="G191" s="2">
        <v>45451900</v>
      </c>
      <c r="H191" s="3">
        <f t="shared" si="2"/>
        <v>1.4421159748398971E-2</v>
      </c>
      <c r="J191" s="3">
        <v>-2.3546660422882226E-2</v>
      </c>
      <c r="K191" s="3">
        <v>5.9729644765796917E-2</v>
      </c>
    </row>
    <row r="192" spans="1:11" x14ac:dyDescent="0.2">
      <c r="A192" s="1">
        <v>41936</v>
      </c>
      <c r="B192">
        <v>38.828643798828097</v>
      </c>
      <c r="C192">
        <v>46.130001068115199</v>
      </c>
      <c r="D192">
        <v>46.900001525878899</v>
      </c>
      <c r="E192">
        <v>45.180000305175703</v>
      </c>
      <c r="F192">
        <v>46.830001831054602</v>
      </c>
      <c r="G192" s="2">
        <v>61076700</v>
      </c>
      <c r="H192" s="3">
        <f t="shared" si="2"/>
        <v>2.4655380255745207E-2</v>
      </c>
      <c r="J192" s="3">
        <v>-2.3406531341426229E-2</v>
      </c>
      <c r="K192" s="3">
        <v>6.0044011317195847E-2</v>
      </c>
    </row>
    <row r="193" spans="1:11" x14ac:dyDescent="0.2">
      <c r="A193" s="1">
        <v>41939</v>
      </c>
      <c r="B193">
        <v>38.643478393554602</v>
      </c>
      <c r="C193">
        <v>45.909999847412102</v>
      </c>
      <c r="D193">
        <v>46.099998474121001</v>
      </c>
      <c r="E193">
        <v>45.709999084472599</v>
      </c>
      <c r="F193">
        <v>45.709999084472599</v>
      </c>
      <c r="G193" s="2">
        <v>30371300</v>
      </c>
      <c r="H193" s="3">
        <f t="shared" si="2"/>
        <v>-4.7687837420447021E-3</v>
      </c>
      <c r="J193" s="3">
        <v>-2.33872509575489E-2</v>
      </c>
      <c r="K193" s="3">
        <v>6.0358377868594784E-2</v>
      </c>
    </row>
    <row r="194" spans="1:11" x14ac:dyDescent="0.2">
      <c r="A194" s="1">
        <v>41940</v>
      </c>
      <c r="B194">
        <v>39.1316719055175</v>
      </c>
      <c r="C194">
        <v>46.490001678466797</v>
      </c>
      <c r="D194">
        <v>46.5</v>
      </c>
      <c r="E194">
        <v>45.770000457763601</v>
      </c>
      <c r="F194">
        <v>45.860000610351499</v>
      </c>
      <c r="G194" s="2">
        <v>29049800</v>
      </c>
      <c r="H194" s="3">
        <f t="shared" ref="H194:H257" si="3">B194/B193-1</f>
        <v>1.2633270405707719E-2</v>
      </c>
      <c r="J194" s="3">
        <v>-2.3385443179294363E-2</v>
      </c>
      <c r="K194" s="3">
        <v>6.0672744419993714E-2</v>
      </c>
    </row>
    <row r="195" spans="1:11" x14ac:dyDescent="0.2">
      <c r="A195" s="1">
        <v>41941</v>
      </c>
      <c r="B195">
        <v>39.241104125976499</v>
      </c>
      <c r="C195">
        <v>46.619998931884702</v>
      </c>
      <c r="D195">
        <v>46.700000762939403</v>
      </c>
      <c r="E195">
        <v>46.340000152587798</v>
      </c>
      <c r="F195">
        <v>46.439998626708899</v>
      </c>
      <c r="G195" s="2">
        <v>30276100</v>
      </c>
      <c r="H195" s="3">
        <f t="shared" si="3"/>
        <v>2.796512776740645E-3</v>
      </c>
      <c r="J195" s="3">
        <v>-2.3273269086757864E-2</v>
      </c>
      <c r="K195" s="3">
        <v>6.0987110971392644E-2</v>
      </c>
    </row>
    <row r="196" spans="1:11" x14ac:dyDescent="0.2">
      <c r="A196" s="1">
        <v>41942</v>
      </c>
      <c r="B196">
        <v>38.7613105773925</v>
      </c>
      <c r="C196">
        <v>46.049999237060497</v>
      </c>
      <c r="D196">
        <v>46.319999694824197</v>
      </c>
      <c r="E196">
        <v>45.770000457763601</v>
      </c>
      <c r="F196">
        <v>46.319999694824197</v>
      </c>
      <c r="G196" s="2">
        <v>30073900</v>
      </c>
      <c r="H196" s="3">
        <f t="shared" si="3"/>
        <v>-1.2226810617858908E-2</v>
      </c>
      <c r="J196" s="3">
        <v>-2.3152480749992654E-2</v>
      </c>
      <c r="K196" s="3">
        <v>6.1301477522791574E-2</v>
      </c>
    </row>
    <row r="197" spans="1:11" x14ac:dyDescent="0.2">
      <c r="A197" s="1">
        <v>41943</v>
      </c>
      <c r="B197">
        <v>39.518863677978501</v>
      </c>
      <c r="C197">
        <v>46.950000762939403</v>
      </c>
      <c r="D197">
        <v>46.970001220703097</v>
      </c>
      <c r="E197">
        <v>46.4799995422363</v>
      </c>
      <c r="F197">
        <v>46.939998626708899</v>
      </c>
      <c r="G197" s="2">
        <v>35849700</v>
      </c>
      <c r="H197" s="3">
        <f t="shared" si="3"/>
        <v>1.9544052801657497E-2</v>
      </c>
      <c r="J197" s="3">
        <v>-2.312180304158018E-2</v>
      </c>
      <c r="K197" s="3">
        <v>6.1615844074190504E-2</v>
      </c>
    </row>
    <row r="198" spans="1:11" x14ac:dyDescent="0.2">
      <c r="A198" s="1">
        <v>41946</v>
      </c>
      <c r="B198">
        <v>39.931316375732401</v>
      </c>
      <c r="C198">
        <v>47.439998626708899</v>
      </c>
      <c r="D198">
        <v>47.459999084472599</v>
      </c>
      <c r="E198">
        <v>46.7299995422363</v>
      </c>
      <c r="F198">
        <v>46.889999389648402</v>
      </c>
      <c r="G198" s="2">
        <v>23130400</v>
      </c>
      <c r="H198" s="3">
        <f t="shared" si="3"/>
        <v>1.0436856209095291E-2</v>
      </c>
      <c r="J198" s="3">
        <v>-2.2903322189503528E-2</v>
      </c>
      <c r="K198" s="3">
        <v>6.1930210625589434E-2</v>
      </c>
    </row>
    <row r="199" spans="1:11" x14ac:dyDescent="0.2">
      <c r="A199" s="1">
        <v>41947</v>
      </c>
      <c r="B199">
        <v>40.040725708007798</v>
      </c>
      <c r="C199">
        <v>47.569999694824197</v>
      </c>
      <c r="D199">
        <v>47.7299995422363</v>
      </c>
      <c r="E199">
        <v>47.25</v>
      </c>
      <c r="F199">
        <v>47.299999237060497</v>
      </c>
      <c r="G199" s="2">
        <v>21530800</v>
      </c>
      <c r="H199" s="3">
        <f t="shared" si="3"/>
        <v>2.7399380287369546E-3</v>
      </c>
      <c r="J199" s="3">
        <v>-2.2867787127199501E-2</v>
      </c>
      <c r="K199" s="3">
        <v>6.2244577176988371E-2</v>
      </c>
    </row>
    <row r="200" spans="1:11" x14ac:dyDescent="0.2">
      <c r="A200" s="1">
        <v>41948</v>
      </c>
      <c r="B200">
        <v>40.284832000732401</v>
      </c>
      <c r="C200">
        <v>47.860000610351499</v>
      </c>
      <c r="D200">
        <v>47.900001525878899</v>
      </c>
      <c r="E200">
        <v>47.259998321533203</v>
      </c>
      <c r="F200">
        <v>47.799999237060497</v>
      </c>
      <c r="G200" s="2">
        <v>22449600</v>
      </c>
      <c r="H200" s="3">
        <f t="shared" si="3"/>
        <v>6.0964502617839589E-3</v>
      </c>
      <c r="J200" s="3">
        <v>-2.2677392646851091E-2</v>
      </c>
      <c r="K200" s="3">
        <v>6.2558943728387301E-2</v>
      </c>
    </row>
    <row r="201" spans="1:11" x14ac:dyDescent="0.2">
      <c r="A201" s="1">
        <v>41949</v>
      </c>
      <c r="B201">
        <v>40.991870880126903</v>
      </c>
      <c r="C201">
        <v>48.700000762939403</v>
      </c>
      <c r="D201">
        <v>48.860000610351499</v>
      </c>
      <c r="E201">
        <v>47.790000915527301</v>
      </c>
      <c r="F201">
        <v>47.860000610351499</v>
      </c>
      <c r="G201" s="2">
        <v>33037800</v>
      </c>
      <c r="H201" s="3">
        <f t="shared" si="3"/>
        <v>1.7550994860339619E-2</v>
      </c>
      <c r="J201" s="3">
        <v>-2.266840480387744E-2</v>
      </c>
      <c r="K201" s="3">
        <v>6.2873310279786238E-2</v>
      </c>
    </row>
    <row r="202" spans="1:11" x14ac:dyDescent="0.2">
      <c r="A202" s="1">
        <v>41950</v>
      </c>
      <c r="B202">
        <v>40.975032806396399</v>
      </c>
      <c r="C202">
        <v>48.680000305175703</v>
      </c>
      <c r="D202">
        <v>48.919998168945298</v>
      </c>
      <c r="E202">
        <v>48.290000915527301</v>
      </c>
      <c r="F202">
        <v>48.919998168945298</v>
      </c>
      <c r="G202" s="2">
        <v>28000600</v>
      </c>
      <c r="H202" s="3">
        <f t="shared" si="3"/>
        <v>-4.1076616824209378E-4</v>
      </c>
      <c r="J202" s="3">
        <v>-2.265447683569799E-2</v>
      </c>
      <c r="K202" s="3">
        <v>6.3187676831185161E-2</v>
      </c>
    </row>
    <row r="203" spans="1:11" x14ac:dyDescent="0.2">
      <c r="A203" s="1">
        <v>41953</v>
      </c>
      <c r="B203">
        <v>41.151802062988203</v>
      </c>
      <c r="C203">
        <v>48.889999389648402</v>
      </c>
      <c r="D203">
        <v>49.150001525878899</v>
      </c>
      <c r="E203">
        <v>48.549999237060497</v>
      </c>
      <c r="F203">
        <v>48.650001525878899</v>
      </c>
      <c r="G203" s="2">
        <v>36370100</v>
      </c>
      <c r="H203" s="3">
        <f t="shared" si="3"/>
        <v>4.3140723627244082E-3</v>
      </c>
      <c r="J203" s="3">
        <v>-2.2651672303972803E-2</v>
      </c>
      <c r="K203" s="3">
        <v>6.3502043382584097E-2</v>
      </c>
    </row>
    <row r="204" spans="1:11" x14ac:dyDescent="0.2">
      <c r="A204" s="1">
        <v>41954</v>
      </c>
      <c r="B204">
        <v>41.134971618652301</v>
      </c>
      <c r="C204">
        <v>48.869998931884702</v>
      </c>
      <c r="D204">
        <v>48.950000762939403</v>
      </c>
      <c r="E204">
        <v>48.650001525878899</v>
      </c>
      <c r="F204">
        <v>48.849998474121001</v>
      </c>
      <c r="G204" s="2">
        <v>23445200</v>
      </c>
      <c r="H204" s="3">
        <f t="shared" si="3"/>
        <v>-4.0898438202396914E-4</v>
      </c>
      <c r="J204" s="3">
        <v>-2.2587870511559305E-2</v>
      </c>
      <c r="K204" s="3">
        <v>6.381640993398302E-2</v>
      </c>
    </row>
    <row r="205" spans="1:11" x14ac:dyDescent="0.2">
      <c r="A205" s="1">
        <v>41955</v>
      </c>
      <c r="B205">
        <v>41.059200286865199</v>
      </c>
      <c r="C205">
        <v>48.779998779296797</v>
      </c>
      <c r="D205">
        <v>48.919998168945298</v>
      </c>
      <c r="E205">
        <v>48.520000457763601</v>
      </c>
      <c r="F205">
        <v>48.560001373291001</v>
      </c>
      <c r="G205" s="2">
        <v>22722100</v>
      </c>
      <c r="H205" s="3">
        <f t="shared" si="3"/>
        <v>-1.8420173590868449E-3</v>
      </c>
      <c r="J205" s="3">
        <v>-2.2575408559898036E-2</v>
      </c>
      <c r="K205" s="3">
        <v>6.4130776485381957E-2</v>
      </c>
    </row>
    <row r="206" spans="1:11" x14ac:dyDescent="0.2">
      <c r="A206" s="1">
        <v>41956</v>
      </c>
      <c r="B206">
        <v>41.757862091064403</v>
      </c>
      <c r="C206">
        <v>49.610000610351499</v>
      </c>
      <c r="D206">
        <v>49.650001525878899</v>
      </c>
      <c r="E206">
        <v>48.709999084472599</v>
      </c>
      <c r="F206">
        <v>48.810001373291001</v>
      </c>
      <c r="G206" s="2">
        <v>26210400</v>
      </c>
      <c r="H206" s="3">
        <f t="shared" si="3"/>
        <v>1.7015962301211829E-2</v>
      </c>
      <c r="J206" s="3">
        <v>-2.2544530236601967E-2</v>
      </c>
      <c r="K206" s="3">
        <v>6.444514303678088E-2</v>
      </c>
    </row>
    <row r="207" spans="1:11" x14ac:dyDescent="0.2">
      <c r="A207" s="1">
        <v>41957</v>
      </c>
      <c r="B207">
        <v>41.732585906982401</v>
      </c>
      <c r="C207">
        <v>49.580001831054602</v>
      </c>
      <c r="D207">
        <v>50.049999237060497</v>
      </c>
      <c r="E207">
        <v>49.389999389648402</v>
      </c>
      <c r="F207">
        <v>49.740001678466797</v>
      </c>
      <c r="G207" s="2">
        <v>29081700</v>
      </c>
      <c r="H207" s="3">
        <f t="shared" si="3"/>
        <v>-6.0530359592836369E-4</v>
      </c>
      <c r="J207" s="3">
        <v>-2.2536137269357215E-2</v>
      </c>
      <c r="K207" s="3">
        <v>6.4759509588179817E-2</v>
      </c>
    </row>
    <row r="208" spans="1:11" x14ac:dyDescent="0.2">
      <c r="A208" s="1">
        <v>41960</v>
      </c>
      <c r="B208">
        <v>41.631595611572202</v>
      </c>
      <c r="C208">
        <v>49.459999084472599</v>
      </c>
      <c r="D208">
        <v>49.709999084472599</v>
      </c>
      <c r="E208">
        <v>49.139999389648402</v>
      </c>
      <c r="F208">
        <v>49.409999847412102</v>
      </c>
      <c r="G208" s="2">
        <v>30318600</v>
      </c>
      <c r="H208" s="3">
        <f t="shared" si="3"/>
        <v>-2.4199385975097742E-3</v>
      </c>
      <c r="J208" s="3">
        <v>-2.2500076407385716E-2</v>
      </c>
      <c r="K208" s="3">
        <v>6.5073876139578754E-2</v>
      </c>
    </row>
    <row r="209" spans="1:11" x14ac:dyDescent="0.2">
      <c r="A209" s="1">
        <v>41961</v>
      </c>
      <c r="B209">
        <v>41.284313201904297</v>
      </c>
      <c r="C209">
        <v>48.740001678466797</v>
      </c>
      <c r="D209">
        <v>49.330001831054602</v>
      </c>
      <c r="E209">
        <v>48.700000762939403</v>
      </c>
      <c r="F209">
        <v>49.130001068115199</v>
      </c>
      <c r="G209" s="2">
        <v>23995500</v>
      </c>
      <c r="H209" s="3">
        <f t="shared" si="3"/>
        <v>-8.3417991687874116E-3</v>
      </c>
      <c r="J209" s="3">
        <v>-2.244202619517166E-2</v>
      </c>
      <c r="K209" s="3">
        <v>6.5388242690977677E-2</v>
      </c>
    </row>
    <row r="210" spans="1:11" x14ac:dyDescent="0.2">
      <c r="A210" s="1">
        <v>41962</v>
      </c>
      <c r="B210">
        <v>40.843856811523402</v>
      </c>
      <c r="C210">
        <v>48.220001220703097</v>
      </c>
      <c r="D210">
        <v>48.75</v>
      </c>
      <c r="E210">
        <v>47.930000305175703</v>
      </c>
      <c r="F210">
        <v>48.659999847412102</v>
      </c>
      <c r="G210" s="2">
        <v>26177500</v>
      </c>
      <c r="H210" s="3">
        <f t="shared" si="3"/>
        <v>-1.066885594600564E-2</v>
      </c>
      <c r="J210" s="3">
        <v>-2.2353879899141393E-2</v>
      </c>
      <c r="K210" s="3">
        <v>6.5702609242376614E-2</v>
      </c>
    </row>
    <row r="211" spans="1:11" x14ac:dyDescent="0.2">
      <c r="A211" s="1">
        <v>41963</v>
      </c>
      <c r="B211">
        <v>41.250419616699197</v>
      </c>
      <c r="C211">
        <v>48.700000762939403</v>
      </c>
      <c r="D211">
        <v>48.700000762939403</v>
      </c>
      <c r="E211">
        <v>47.869998931884702</v>
      </c>
      <c r="F211">
        <v>48</v>
      </c>
      <c r="G211" s="2">
        <v>21510600</v>
      </c>
      <c r="H211" s="3">
        <f t="shared" si="3"/>
        <v>9.954074784169098E-3</v>
      </c>
      <c r="J211" s="3">
        <v>-2.2333229304716151E-2</v>
      </c>
      <c r="K211" s="3">
        <v>6.6016975793775537E-2</v>
      </c>
    </row>
    <row r="212" spans="1:11" x14ac:dyDescent="0.2">
      <c r="A212" s="1">
        <v>41964</v>
      </c>
      <c r="B212">
        <v>40.640548706054602</v>
      </c>
      <c r="C212">
        <v>47.9799995422363</v>
      </c>
      <c r="D212">
        <v>49.049999237060497</v>
      </c>
      <c r="E212">
        <v>47.569999694824197</v>
      </c>
      <c r="F212">
        <v>49.020000457763601</v>
      </c>
      <c r="G212" s="2">
        <v>42884800</v>
      </c>
      <c r="H212" s="3">
        <f t="shared" si="3"/>
        <v>-1.4784598952242045E-2</v>
      </c>
      <c r="J212" s="3">
        <v>-2.2090294116911102E-2</v>
      </c>
      <c r="K212" s="3">
        <v>6.6331342345174474E-2</v>
      </c>
    </row>
    <row r="213" spans="1:11" x14ac:dyDescent="0.2">
      <c r="A213" s="1">
        <v>41967</v>
      </c>
      <c r="B213">
        <v>40.310222625732401</v>
      </c>
      <c r="C213">
        <v>47.590000152587798</v>
      </c>
      <c r="D213">
        <v>48</v>
      </c>
      <c r="E213">
        <v>47.389999389648402</v>
      </c>
      <c r="F213">
        <v>47.990001678466797</v>
      </c>
      <c r="G213" s="2">
        <v>35434200</v>
      </c>
      <c r="H213" s="3">
        <f t="shared" si="3"/>
        <v>-8.1279926290215299E-3</v>
      </c>
      <c r="J213" s="3">
        <v>-2.2083453247642604E-2</v>
      </c>
      <c r="K213" s="3">
        <v>6.6645708896573411E-2</v>
      </c>
    </row>
    <row r="214" spans="1:11" x14ac:dyDescent="0.2">
      <c r="A214" s="1">
        <v>41968</v>
      </c>
      <c r="B214">
        <v>40.2085762023925</v>
      </c>
      <c r="C214">
        <v>47.470001220703097</v>
      </c>
      <c r="D214">
        <v>47.970001220703097</v>
      </c>
      <c r="E214">
        <v>47.450000762939403</v>
      </c>
      <c r="F214">
        <v>47.659999847412102</v>
      </c>
      <c r="G214" s="2">
        <v>28008000</v>
      </c>
      <c r="H214" s="3">
        <f t="shared" si="3"/>
        <v>-2.5216041172397841E-3</v>
      </c>
      <c r="J214" s="3">
        <v>-2.1961643785622931E-2</v>
      </c>
      <c r="K214" s="3">
        <v>6.6960075447972334E-2</v>
      </c>
    </row>
    <row r="215" spans="1:11" x14ac:dyDescent="0.2">
      <c r="A215" s="1">
        <v>41969</v>
      </c>
      <c r="B215">
        <v>40.445743560791001</v>
      </c>
      <c r="C215">
        <v>47.75</v>
      </c>
      <c r="D215">
        <v>47.990001678466797</v>
      </c>
      <c r="E215">
        <v>47.279998779296797</v>
      </c>
      <c r="F215">
        <v>47.490001678466797</v>
      </c>
      <c r="G215" s="2">
        <v>27163600</v>
      </c>
      <c r="H215" s="3">
        <f t="shared" si="3"/>
        <v>5.8984271714745962E-3</v>
      </c>
      <c r="J215" s="3">
        <v>-2.1898996790729264E-2</v>
      </c>
      <c r="K215" s="3">
        <v>6.7274441999371271E-2</v>
      </c>
    </row>
    <row r="216" spans="1:11" x14ac:dyDescent="0.2">
      <c r="A216" s="1">
        <v>41971</v>
      </c>
      <c r="B216">
        <v>40.496562957763601</v>
      </c>
      <c r="C216">
        <v>47.810001373291001</v>
      </c>
      <c r="D216">
        <v>48.200000762939403</v>
      </c>
      <c r="E216">
        <v>47.610000610351499</v>
      </c>
      <c r="F216">
        <v>47.950000762939403</v>
      </c>
      <c r="G216" s="2">
        <v>21534400</v>
      </c>
      <c r="H216" s="3">
        <f t="shared" si="3"/>
        <v>1.2564831920129915E-3</v>
      </c>
      <c r="J216" s="3">
        <v>-2.1892238410460507E-2</v>
      </c>
      <c r="K216" s="3">
        <v>6.7588808550770194E-2</v>
      </c>
    </row>
    <row r="217" spans="1:11" x14ac:dyDescent="0.2">
      <c r="A217" s="1">
        <v>41974</v>
      </c>
      <c r="B217">
        <v>41.182659149169901</v>
      </c>
      <c r="C217">
        <v>48.619998931884702</v>
      </c>
      <c r="D217">
        <v>48.779998779296797</v>
      </c>
      <c r="E217">
        <v>47.709999084472599</v>
      </c>
      <c r="F217">
        <v>47.880001068115199</v>
      </c>
      <c r="G217" s="2">
        <v>31191600</v>
      </c>
      <c r="H217" s="3">
        <f t="shared" si="3"/>
        <v>1.694208449546375E-2</v>
      </c>
      <c r="J217" s="3">
        <v>-2.1784214548725589E-2</v>
      </c>
      <c r="K217" s="3">
        <v>6.790317510216913E-2</v>
      </c>
    </row>
    <row r="218" spans="1:11" x14ac:dyDescent="0.2">
      <c r="A218" s="1">
        <v>41975</v>
      </c>
      <c r="B218">
        <v>41.047134399413999</v>
      </c>
      <c r="C218">
        <v>48.459999084472599</v>
      </c>
      <c r="D218">
        <v>49.049999237060497</v>
      </c>
      <c r="E218">
        <v>48.200000762939403</v>
      </c>
      <c r="F218">
        <v>48.840000152587798</v>
      </c>
      <c r="G218" s="2">
        <v>25773500</v>
      </c>
      <c r="H218" s="3">
        <f t="shared" si="3"/>
        <v>-3.2908207618408403E-3</v>
      </c>
      <c r="J218" s="3">
        <v>-2.1599056695852603E-2</v>
      </c>
      <c r="K218" s="3">
        <v>6.8217541653568053E-2</v>
      </c>
    </row>
    <row r="219" spans="1:11" x14ac:dyDescent="0.2">
      <c r="A219" s="1">
        <v>41976</v>
      </c>
      <c r="B219">
        <v>40.725261688232401</v>
      </c>
      <c r="C219">
        <v>48.080001831054602</v>
      </c>
      <c r="D219">
        <v>48.5</v>
      </c>
      <c r="E219">
        <v>47.810001373291001</v>
      </c>
      <c r="F219">
        <v>48.439998626708899</v>
      </c>
      <c r="G219" s="2">
        <v>23534800</v>
      </c>
      <c r="H219" s="3">
        <f t="shared" si="3"/>
        <v>-7.8415391449638827E-3</v>
      </c>
      <c r="J219" s="3">
        <v>-2.153565595028839E-2</v>
      </c>
      <c r="K219" s="3">
        <v>6.853190820496699E-2</v>
      </c>
    </row>
    <row r="220" spans="1:11" x14ac:dyDescent="0.2">
      <c r="A220" s="1">
        <v>41977</v>
      </c>
      <c r="B220">
        <v>41.369007110595703</v>
      </c>
      <c r="C220">
        <v>48.840000152587798</v>
      </c>
      <c r="D220">
        <v>49.060001373291001</v>
      </c>
      <c r="E220">
        <v>48.200000762939403</v>
      </c>
      <c r="F220">
        <v>48.389999389648402</v>
      </c>
      <c r="G220" s="2">
        <v>30320400</v>
      </c>
      <c r="H220" s="3">
        <f t="shared" si="3"/>
        <v>1.5807029732342048E-2</v>
      </c>
      <c r="J220" s="3">
        <v>-2.1528705228031297E-2</v>
      </c>
      <c r="K220" s="3">
        <v>6.8846274756365927E-2</v>
      </c>
    </row>
    <row r="221" spans="1:11" x14ac:dyDescent="0.2">
      <c r="A221" s="1">
        <v>41978</v>
      </c>
      <c r="B221">
        <v>41.0132446289062</v>
      </c>
      <c r="C221">
        <v>48.419998168945298</v>
      </c>
      <c r="D221">
        <v>48.970001220703097</v>
      </c>
      <c r="E221">
        <v>48.380001068115199</v>
      </c>
      <c r="F221">
        <v>48.819999694824197</v>
      </c>
      <c r="G221" s="2">
        <v>27313400</v>
      </c>
      <c r="H221" s="3">
        <f t="shared" si="3"/>
        <v>-8.5997345969268668E-3</v>
      </c>
      <c r="J221" s="3">
        <v>-2.149845944278661E-2</v>
      </c>
      <c r="K221" s="3">
        <v>6.916064130776485E-2</v>
      </c>
    </row>
    <row r="222" spans="1:11" x14ac:dyDescent="0.2">
      <c r="A222" s="1">
        <v>41981</v>
      </c>
      <c r="B222">
        <v>40.4033813476562</v>
      </c>
      <c r="C222">
        <v>47.700000762939403</v>
      </c>
      <c r="D222">
        <v>48.349998474121001</v>
      </c>
      <c r="E222">
        <v>47.450000762939403</v>
      </c>
      <c r="F222">
        <v>48.259998321533203</v>
      </c>
      <c r="G222" s="2">
        <v>26663100</v>
      </c>
      <c r="H222" s="3">
        <f t="shared" si="3"/>
        <v>-1.4869910604930925E-2</v>
      </c>
      <c r="J222" s="3">
        <v>-2.14525769068451E-2</v>
      </c>
      <c r="K222" s="3">
        <v>6.9475007859163787E-2</v>
      </c>
    </row>
    <row r="223" spans="1:11" x14ac:dyDescent="0.2">
      <c r="A223" s="1">
        <v>41982</v>
      </c>
      <c r="B223">
        <v>40.310222625732401</v>
      </c>
      <c r="C223">
        <v>47.590000152587798</v>
      </c>
      <c r="D223">
        <v>47.919998168945298</v>
      </c>
      <c r="E223">
        <v>47.049999237060497</v>
      </c>
      <c r="F223">
        <v>47.110000610351499</v>
      </c>
      <c r="G223" s="2">
        <v>24330500</v>
      </c>
      <c r="H223" s="3">
        <f t="shared" si="3"/>
        <v>-2.3057159776357361E-3</v>
      </c>
      <c r="J223" s="3">
        <v>-2.1411022093496546E-2</v>
      </c>
      <c r="K223" s="3">
        <v>6.978937441056271E-2</v>
      </c>
    </row>
    <row r="224" spans="1:11" x14ac:dyDescent="0.2">
      <c r="A224" s="1">
        <v>41983</v>
      </c>
      <c r="B224">
        <v>39.725780487060497</v>
      </c>
      <c r="C224">
        <v>46.900001525878899</v>
      </c>
      <c r="D224">
        <v>47.659999847412102</v>
      </c>
      <c r="E224">
        <v>46.700000762939403</v>
      </c>
      <c r="F224">
        <v>47.580001831054602</v>
      </c>
      <c r="G224" s="2">
        <v>30431800</v>
      </c>
      <c r="H224" s="3">
        <f t="shared" si="3"/>
        <v>-1.4498608556401726E-2</v>
      </c>
      <c r="J224" s="3">
        <v>-2.1405502089893114E-2</v>
      </c>
      <c r="K224" s="3">
        <v>7.0103740961961647E-2</v>
      </c>
    </row>
    <row r="225" spans="1:11" x14ac:dyDescent="0.2">
      <c r="A225" s="1">
        <v>41984</v>
      </c>
      <c r="B225">
        <v>39.954463958740199</v>
      </c>
      <c r="C225">
        <v>47.169998168945298</v>
      </c>
      <c r="D225">
        <v>47.740001678466797</v>
      </c>
      <c r="E225">
        <v>46.680000305175703</v>
      </c>
      <c r="F225">
        <v>47.080001831054602</v>
      </c>
      <c r="G225" s="2">
        <v>29060400</v>
      </c>
      <c r="H225" s="3">
        <f t="shared" si="3"/>
        <v>5.756550755602774E-3</v>
      </c>
      <c r="J225" s="3">
        <v>-2.1393411876704183E-2</v>
      </c>
      <c r="K225" s="3">
        <v>7.0418107513360584E-2</v>
      </c>
    </row>
    <row r="226" spans="1:11" x14ac:dyDescent="0.2">
      <c r="A226" s="1">
        <v>41985</v>
      </c>
      <c r="B226">
        <v>39.768115997314403</v>
      </c>
      <c r="C226">
        <v>46.950000762939403</v>
      </c>
      <c r="D226">
        <v>47.7299995422363</v>
      </c>
      <c r="E226">
        <v>46.669998168945298</v>
      </c>
      <c r="F226">
        <v>46.779998779296797</v>
      </c>
      <c r="G226" s="2">
        <v>34248400</v>
      </c>
      <c r="H226" s="3">
        <f t="shared" si="3"/>
        <v>-4.6640085477865911E-3</v>
      </c>
      <c r="J226" s="3">
        <v>-2.1303135078417301E-2</v>
      </c>
      <c r="K226" s="3">
        <v>7.0732474064759507E-2</v>
      </c>
    </row>
    <row r="227" spans="1:11" x14ac:dyDescent="0.2">
      <c r="A227" s="1">
        <v>41988</v>
      </c>
      <c r="B227">
        <v>39.530941009521399</v>
      </c>
      <c r="C227">
        <v>46.669998168945298</v>
      </c>
      <c r="D227">
        <v>47.669998168945298</v>
      </c>
      <c r="E227">
        <v>46.549999237060497</v>
      </c>
      <c r="F227">
        <v>47.200000762939403</v>
      </c>
      <c r="G227" s="2">
        <v>29247800</v>
      </c>
      <c r="H227" s="3">
        <f t="shared" si="3"/>
        <v>-5.9639482999149784E-3</v>
      </c>
      <c r="J227" s="3">
        <v>-2.1266283955913234E-2</v>
      </c>
      <c r="K227" s="3">
        <v>7.1046840616158444E-2</v>
      </c>
    </row>
    <row r="228" spans="1:11" x14ac:dyDescent="0.2">
      <c r="A228" s="1">
        <v>41989</v>
      </c>
      <c r="B228">
        <v>38.251937866210902</v>
      </c>
      <c r="C228">
        <v>45.159999847412102</v>
      </c>
      <c r="D228">
        <v>46.340000152587798</v>
      </c>
      <c r="E228">
        <v>45.130001068115199</v>
      </c>
      <c r="F228">
        <v>45.900001525878899</v>
      </c>
      <c r="G228" s="2">
        <v>47801400</v>
      </c>
      <c r="H228" s="3">
        <f t="shared" si="3"/>
        <v>-3.235448260648377E-2</v>
      </c>
      <c r="J228" s="3">
        <v>-2.124735478658224E-2</v>
      </c>
      <c r="K228" s="3">
        <v>7.1361207167557367E-2</v>
      </c>
    </row>
    <row r="229" spans="1:11" x14ac:dyDescent="0.2">
      <c r="A229" s="1">
        <v>41990</v>
      </c>
      <c r="B229">
        <v>38.743206024169901</v>
      </c>
      <c r="C229">
        <v>45.740001678466797</v>
      </c>
      <c r="D229">
        <v>45.950000762939403</v>
      </c>
      <c r="E229">
        <v>44.900001525878899</v>
      </c>
      <c r="F229">
        <v>45.049999237060497</v>
      </c>
      <c r="G229" s="2">
        <v>34970900</v>
      </c>
      <c r="H229" s="3">
        <f t="shared" si="3"/>
        <v>1.2842961307666156E-2</v>
      </c>
      <c r="J229" s="3">
        <v>-2.1243265029378899E-2</v>
      </c>
      <c r="K229" s="3">
        <v>7.1675573718956304E-2</v>
      </c>
    </row>
    <row r="230" spans="1:11" x14ac:dyDescent="0.2">
      <c r="A230" s="1">
        <v>41991</v>
      </c>
      <c r="B230">
        <v>40.250923156738203</v>
      </c>
      <c r="C230">
        <v>47.520000457763601</v>
      </c>
      <c r="D230">
        <v>47.520000457763601</v>
      </c>
      <c r="E230">
        <v>46.340000152587798</v>
      </c>
      <c r="F230">
        <v>46.580001831054602</v>
      </c>
      <c r="G230" s="2">
        <v>40105600</v>
      </c>
      <c r="H230" s="3">
        <f t="shared" si="3"/>
        <v>3.8915652246944044E-2</v>
      </c>
      <c r="J230" s="3">
        <v>-2.1190099756119518E-2</v>
      </c>
      <c r="K230" s="3">
        <v>7.198994027035524E-2</v>
      </c>
    </row>
    <row r="231" spans="1:11" x14ac:dyDescent="0.2">
      <c r="A231" s="1">
        <v>41992</v>
      </c>
      <c r="B231">
        <v>40.369499206542898</v>
      </c>
      <c r="C231">
        <v>47.659999847412102</v>
      </c>
      <c r="D231">
        <v>48.099998474121001</v>
      </c>
      <c r="E231">
        <v>47.169998168945298</v>
      </c>
      <c r="F231">
        <v>47.630001068115199</v>
      </c>
      <c r="G231" s="2">
        <v>64551200</v>
      </c>
      <c r="H231" s="3">
        <f t="shared" si="3"/>
        <v>2.9459212486371289E-3</v>
      </c>
      <c r="J231" s="3">
        <v>-2.1024169212023658E-2</v>
      </c>
      <c r="K231" s="3">
        <v>7.2304306821754163E-2</v>
      </c>
    </row>
    <row r="232" spans="1:11" x14ac:dyDescent="0.2">
      <c r="A232" s="1">
        <v>41995</v>
      </c>
      <c r="B232">
        <v>40.640548706054602</v>
      </c>
      <c r="C232">
        <v>47.9799995422363</v>
      </c>
      <c r="D232">
        <v>48.119998931884702</v>
      </c>
      <c r="E232">
        <v>47.709999084472599</v>
      </c>
      <c r="F232">
        <v>47.779998779296797</v>
      </c>
      <c r="G232" s="2">
        <v>26566000</v>
      </c>
      <c r="H232" s="3">
        <f t="shared" si="3"/>
        <v>6.7142150593677563E-3</v>
      </c>
      <c r="J232" s="3">
        <v>-2.0914184149751214E-2</v>
      </c>
      <c r="K232" s="3">
        <v>7.26186733731531E-2</v>
      </c>
    </row>
    <row r="233" spans="1:11" x14ac:dyDescent="0.2">
      <c r="A233" s="1">
        <v>41996</v>
      </c>
      <c r="B233">
        <v>41.038661956787102</v>
      </c>
      <c r="C233">
        <v>48.450000762939403</v>
      </c>
      <c r="D233">
        <v>48.799999237060497</v>
      </c>
      <c r="E233">
        <v>48.130001068115199</v>
      </c>
      <c r="F233">
        <v>48.369998931884702</v>
      </c>
      <c r="G233" s="2">
        <v>23648100</v>
      </c>
      <c r="H233" s="3">
        <f t="shared" si="3"/>
        <v>9.7959615066218753E-3</v>
      </c>
      <c r="J233" s="3">
        <v>-2.0886648959837939E-2</v>
      </c>
      <c r="K233" s="3">
        <v>7.2933039924552023E-2</v>
      </c>
    </row>
    <row r="234" spans="1:11" x14ac:dyDescent="0.2">
      <c r="A234" s="1">
        <v>41997</v>
      </c>
      <c r="B234">
        <v>40.776077270507798</v>
      </c>
      <c r="C234">
        <v>48.139999389648402</v>
      </c>
      <c r="D234">
        <v>48.639999389648402</v>
      </c>
      <c r="E234">
        <v>48.080001831054602</v>
      </c>
      <c r="F234">
        <v>48.639999389648402</v>
      </c>
      <c r="G234" s="2">
        <v>11437800</v>
      </c>
      <c r="H234" s="3">
        <f t="shared" si="3"/>
        <v>-6.3984709480976454E-3</v>
      </c>
      <c r="J234" s="3">
        <v>-2.0872230179321272E-2</v>
      </c>
      <c r="K234" s="3">
        <v>7.324740647595096E-2</v>
      </c>
    </row>
    <row r="235" spans="1:11" x14ac:dyDescent="0.2">
      <c r="A235" s="1">
        <v>41999</v>
      </c>
      <c r="B235">
        <v>40.555850982666001</v>
      </c>
      <c r="C235">
        <v>47.880001068115199</v>
      </c>
      <c r="D235">
        <v>48.409999847412102</v>
      </c>
      <c r="E235">
        <v>47.819999694824197</v>
      </c>
      <c r="F235">
        <v>48.409999847412102</v>
      </c>
      <c r="G235" s="2">
        <v>13197800</v>
      </c>
      <c r="H235" s="3">
        <f t="shared" si="3"/>
        <v>-5.4008698870374738E-3</v>
      </c>
      <c r="J235" s="3">
        <v>-2.0827222830076431E-2</v>
      </c>
      <c r="K235" s="3">
        <v>7.3561773027349883E-2</v>
      </c>
    </row>
    <row r="236" spans="1:11" x14ac:dyDescent="0.2">
      <c r="A236" s="1">
        <v>42002</v>
      </c>
      <c r="B236">
        <v>40.191631317138601</v>
      </c>
      <c r="C236">
        <v>47.450000762939403</v>
      </c>
      <c r="D236">
        <v>47.779998779296797</v>
      </c>
      <c r="E236">
        <v>47.259998321533203</v>
      </c>
      <c r="F236">
        <v>47.700000762939403</v>
      </c>
      <c r="G236" s="2">
        <v>14439500</v>
      </c>
      <c r="H236" s="3">
        <f t="shared" si="3"/>
        <v>-8.9806934561198482E-3</v>
      </c>
      <c r="J236" s="3">
        <v>-2.0783208702484179E-2</v>
      </c>
      <c r="K236" s="3">
        <v>7.387613957874882E-2</v>
      </c>
    </row>
    <row r="237" spans="1:11" x14ac:dyDescent="0.2">
      <c r="A237" s="1">
        <v>42003</v>
      </c>
      <c r="B237">
        <v>39.827419281005803</v>
      </c>
      <c r="C237">
        <v>47.020000457763601</v>
      </c>
      <c r="D237">
        <v>47.619998931884702</v>
      </c>
      <c r="E237">
        <v>46.840000152587798</v>
      </c>
      <c r="F237">
        <v>47.439998626708899</v>
      </c>
      <c r="G237" s="2">
        <v>16384700</v>
      </c>
      <c r="H237" s="3">
        <f t="shared" si="3"/>
        <v>-9.0618873680176071E-3</v>
      </c>
      <c r="J237" s="3">
        <v>-2.0719415502951977E-2</v>
      </c>
      <c r="K237" s="3">
        <v>7.4190506130147757E-2</v>
      </c>
    </row>
    <row r="238" spans="1:11" x14ac:dyDescent="0.2">
      <c r="A238" s="1">
        <v>42004</v>
      </c>
      <c r="B238">
        <v>39.344608306884702</v>
      </c>
      <c r="C238">
        <v>46.450000762939403</v>
      </c>
      <c r="D238">
        <v>47.439998626708899</v>
      </c>
      <c r="E238">
        <v>46.450000762939403</v>
      </c>
      <c r="F238">
        <v>46.7299995422363</v>
      </c>
      <c r="G238" s="2">
        <v>21552500</v>
      </c>
      <c r="H238" s="3">
        <f t="shared" si="3"/>
        <v>-1.2122577431256221E-2</v>
      </c>
      <c r="J238" s="3">
        <v>-2.0695088110259219E-2</v>
      </c>
      <c r="K238" s="3">
        <v>7.450487268154668E-2</v>
      </c>
    </row>
    <row r="239" spans="1:11" x14ac:dyDescent="0.2">
      <c r="A239" s="1">
        <v>42006</v>
      </c>
      <c r="B239">
        <v>39.607181549072202</v>
      </c>
      <c r="C239">
        <v>46.759998321533203</v>
      </c>
      <c r="D239">
        <v>47.419998168945298</v>
      </c>
      <c r="E239">
        <v>46.540000915527301</v>
      </c>
      <c r="F239">
        <v>46.659999847412102</v>
      </c>
      <c r="G239" s="2">
        <v>27913900</v>
      </c>
      <c r="H239" s="3">
        <f t="shared" si="3"/>
        <v>6.6736778808280661E-3</v>
      </c>
      <c r="J239" s="3">
        <v>-2.0666067609210526E-2</v>
      </c>
      <c r="K239" s="3">
        <v>7.4819239232945617E-2</v>
      </c>
    </row>
    <row r="240" spans="1:11" x14ac:dyDescent="0.2">
      <c r="A240" s="1">
        <v>42009</v>
      </c>
      <c r="B240">
        <v>39.242958068847599</v>
      </c>
      <c r="C240">
        <v>46.330001831054602</v>
      </c>
      <c r="D240">
        <v>46.7299995422363</v>
      </c>
      <c r="E240">
        <v>46.25</v>
      </c>
      <c r="F240">
        <v>46.369998931884702</v>
      </c>
      <c r="G240" s="2">
        <v>39673900</v>
      </c>
      <c r="H240" s="3">
        <f t="shared" si="3"/>
        <v>-9.1958949357034969E-3</v>
      </c>
      <c r="J240" s="3">
        <v>-2.0665057520724117E-2</v>
      </c>
      <c r="K240" s="3">
        <v>7.513360578434454E-2</v>
      </c>
    </row>
    <row r="241" spans="1:11" x14ac:dyDescent="0.2">
      <c r="A241" s="1">
        <v>42010</v>
      </c>
      <c r="B241">
        <v>38.666965484619098</v>
      </c>
      <c r="C241">
        <v>45.650001525878899</v>
      </c>
      <c r="D241">
        <v>46.75</v>
      </c>
      <c r="E241">
        <v>45.540000915527301</v>
      </c>
      <c r="F241">
        <v>46.380001068115199</v>
      </c>
      <c r="G241" s="2">
        <v>36447900</v>
      </c>
      <c r="H241" s="3">
        <f t="shared" si="3"/>
        <v>-1.4677603640836256E-2</v>
      </c>
      <c r="J241" s="3">
        <v>-2.0522951321711669E-2</v>
      </c>
      <c r="K241" s="3">
        <v>7.5447972335743477E-2</v>
      </c>
    </row>
    <row r="242" spans="1:11" x14ac:dyDescent="0.2">
      <c r="A242" s="1">
        <v>42011</v>
      </c>
      <c r="B242">
        <v>39.158267974853501</v>
      </c>
      <c r="C242">
        <v>46.2299995422363</v>
      </c>
      <c r="D242">
        <v>46.459999084472599</v>
      </c>
      <c r="E242">
        <v>45.490001678466797</v>
      </c>
      <c r="F242">
        <v>45.9799995422363</v>
      </c>
      <c r="G242" s="2">
        <v>29114100</v>
      </c>
      <c r="H242" s="3">
        <f t="shared" si="3"/>
        <v>1.2706000692757513E-2</v>
      </c>
      <c r="J242" s="3">
        <v>-2.0478570078366287E-2</v>
      </c>
      <c r="K242" s="3">
        <v>7.5762338887142414E-2</v>
      </c>
    </row>
    <row r="243" spans="1:11" x14ac:dyDescent="0.2">
      <c r="A243" s="1">
        <v>42012</v>
      </c>
      <c r="B243">
        <v>40.310222625732401</v>
      </c>
      <c r="C243">
        <v>47.590000152587798</v>
      </c>
      <c r="D243">
        <v>47.75</v>
      </c>
      <c r="E243">
        <v>46.720001220703097</v>
      </c>
      <c r="F243">
        <v>46.75</v>
      </c>
      <c r="G243" s="2">
        <v>29645200</v>
      </c>
      <c r="H243" s="3">
        <f t="shared" si="3"/>
        <v>2.9417916329155691E-2</v>
      </c>
      <c r="J243" s="3">
        <v>-2.0459461982417104E-2</v>
      </c>
      <c r="K243" s="3">
        <v>7.6076705438541337E-2</v>
      </c>
    </row>
    <row r="244" spans="1:11" x14ac:dyDescent="0.2">
      <c r="A244" s="1">
        <v>42013</v>
      </c>
      <c r="B244">
        <v>39.971408843994098</v>
      </c>
      <c r="C244">
        <v>47.189998626708899</v>
      </c>
      <c r="D244">
        <v>47.819999694824197</v>
      </c>
      <c r="E244">
        <v>46.900001525878899</v>
      </c>
      <c r="F244">
        <v>47.610000610351499</v>
      </c>
      <c r="G244" s="2">
        <v>23944200</v>
      </c>
      <c r="H244" s="3">
        <f t="shared" si="3"/>
        <v>-8.4051577904712405E-3</v>
      </c>
      <c r="J244" s="3">
        <v>-2.0426532992031121E-2</v>
      </c>
      <c r="K244" s="3">
        <v>7.6391071989940273E-2</v>
      </c>
    </row>
    <row r="245" spans="1:11" x14ac:dyDescent="0.2">
      <c r="A245" s="1">
        <v>42016</v>
      </c>
      <c r="B245">
        <v>39.471652984619098</v>
      </c>
      <c r="C245">
        <v>46.599998474121001</v>
      </c>
      <c r="D245">
        <v>47.540000915527301</v>
      </c>
      <c r="E245">
        <v>46.360000610351499</v>
      </c>
      <c r="F245">
        <v>47.419998168945298</v>
      </c>
      <c r="G245" s="2">
        <v>23651900</v>
      </c>
      <c r="H245" s="3">
        <f t="shared" si="3"/>
        <v>-1.2502833245771172E-2</v>
      </c>
      <c r="J245" s="3">
        <v>-2.0415859309407813E-2</v>
      </c>
      <c r="K245" s="3">
        <v>7.6705438541339196E-2</v>
      </c>
    </row>
    <row r="246" spans="1:11" x14ac:dyDescent="0.2">
      <c r="A246" s="1">
        <v>42017</v>
      </c>
      <c r="B246">
        <v>39.268375396728501</v>
      </c>
      <c r="C246">
        <v>46.360000610351499</v>
      </c>
      <c r="D246">
        <v>47.909999847412102</v>
      </c>
      <c r="E246">
        <v>46.060001373291001</v>
      </c>
      <c r="F246">
        <v>46.970001220703097</v>
      </c>
      <c r="G246" s="2">
        <v>35270600</v>
      </c>
      <c r="H246" s="3">
        <f t="shared" si="3"/>
        <v>-5.1499638986440832E-3</v>
      </c>
      <c r="J246" s="3">
        <v>-2.0382284066188139E-2</v>
      </c>
      <c r="K246" s="3">
        <v>7.7019805092738133E-2</v>
      </c>
    </row>
    <row r="247" spans="1:11" x14ac:dyDescent="0.2">
      <c r="A247" s="1">
        <v>42018</v>
      </c>
      <c r="B247">
        <v>38.929561614990199</v>
      </c>
      <c r="C247">
        <v>45.959999084472599</v>
      </c>
      <c r="D247">
        <v>46.240001678466797</v>
      </c>
      <c r="E247">
        <v>45.619998931884702</v>
      </c>
      <c r="F247">
        <v>45.959999084472599</v>
      </c>
      <c r="G247" s="2">
        <v>29719600</v>
      </c>
      <c r="H247" s="3">
        <f t="shared" si="3"/>
        <v>-8.6281588763289507E-3</v>
      </c>
      <c r="J247" s="3">
        <v>-2.0365442353645236E-2</v>
      </c>
      <c r="K247" s="3">
        <v>7.733417164413707E-2</v>
      </c>
    </row>
    <row r="248" spans="1:11" x14ac:dyDescent="0.2">
      <c r="A248" s="1">
        <v>42019</v>
      </c>
      <c r="B248">
        <v>38.522983551025298</v>
      </c>
      <c r="C248">
        <v>45.4799995422363</v>
      </c>
      <c r="D248">
        <v>46.380001068115199</v>
      </c>
      <c r="E248">
        <v>45.409999847412102</v>
      </c>
      <c r="F248">
        <v>46.220001220703097</v>
      </c>
      <c r="G248" s="2">
        <v>32750800</v>
      </c>
      <c r="H248" s="3">
        <f t="shared" si="3"/>
        <v>-1.0443941495820619E-2</v>
      </c>
      <c r="J248" s="3">
        <v>-2.0303750323552139E-2</v>
      </c>
      <c r="K248" s="3">
        <v>7.7648538195535993E-2</v>
      </c>
    </row>
    <row r="249" spans="1:11" x14ac:dyDescent="0.2">
      <c r="A249" s="1">
        <v>42020</v>
      </c>
      <c r="B249">
        <v>39.166728973388601</v>
      </c>
      <c r="C249">
        <v>46.240001678466797</v>
      </c>
      <c r="D249">
        <v>46.279998779296797</v>
      </c>
      <c r="E249">
        <v>45.169998168945298</v>
      </c>
      <c r="F249">
        <v>45.310001373291001</v>
      </c>
      <c r="G249" s="2">
        <v>35695300</v>
      </c>
      <c r="H249" s="3">
        <f t="shared" si="3"/>
        <v>1.6710684454402047E-2</v>
      </c>
      <c r="J249" s="3">
        <v>-2.0252834271968001E-2</v>
      </c>
      <c r="K249" s="3">
        <v>7.796290474693493E-2</v>
      </c>
    </row>
    <row r="250" spans="1:11" x14ac:dyDescent="0.2">
      <c r="A250" s="1">
        <v>42024</v>
      </c>
      <c r="B250">
        <v>39.293777465820298</v>
      </c>
      <c r="C250">
        <v>46.389999389648402</v>
      </c>
      <c r="D250">
        <v>46.650001525878899</v>
      </c>
      <c r="E250">
        <v>45.569999694824197</v>
      </c>
      <c r="F250">
        <v>46.299999237060497</v>
      </c>
      <c r="G250" s="2">
        <v>36161900</v>
      </c>
      <c r="H250" s="3">
        <f t="shared" si="3"/>
        <v>3.243786135881388E-3</v>
      </c>
      <c r="J250" s="3">
        <v>-2.0231172880647352E-2</v>
      </c>
      <c r="K250" s="3">
        <v>7.8277271298333853E-2</v>
      </c>
    </row>
    <row r="251" spans="1:11" x14ac:dyDescent="0.2">
      <c r="A251" s="1">
        <v>42025</v>
      </c>
      <c r="B251">
        <v>38.895652770996001</v>
      </c>
      <c r="C251">
        <v>45.919998168945298</v>
      </c>
      <c r="D251">
        <v>46.139999389648402</v>
      </c>
      <c r="E251">
        <v>45.4799995422363</v>
      </c>
      <c r="F251">
        <v>45.939998626708899</v>
      </c>
      <c r="G251" s="2">
        <v>39081100</v>
      </c>
      <c r="H251" s="3">
        <f t="shared" si="3"/>
        <v>-1.0132003602112416E-2</v>
      </c>
      <c r="J251" s="3">
        <v>-2.0176399813431556E-2</v>
      </c>
      <c r="K251" s="3">
        <v>7.859163784973279E-2</v>
      </c>
    </row>
    <row r="252" spans="1:11" x14ac:dyDescent="0.2">
      <c r="A252" s="1">
        <v>42026</v>
      </c>
      <c r="B252">
        <v>39.920578002929602</v>
      </c>
      <c r="C252">
        <v>47.130001068115199</v>
      </c>
      <c r="D252">
        <v>47.139999389648402</v>
      </c>
      <c r="E252">
        <v>46.080001831054602</v>
      </c>
      <c r="F252">
        <v>46.380001068115199</v>
      </c>
      <c r="G252" s="2">
        <v>35898000</v>
      </c>
      <c r="H252" s="3">
        <f t="shared" si="3"/>
        <v>2.6350637125645004E-2</v>
      </c>
      <c r="J252" s="3">
        <v>-2.0157557313593366E-2</v>
      </c>
      <c r="K252" s="3">
        <v>7.8906004401131713E-2</v>
      </c>
    </row>
    <row r="253" spans="1:11" x14ac:dyDescent="0.2">
      <c r="A253" s="1">
        <v>42027</v>
      </c>
      <c r="B253">
        <v>39.962932586669901</v>
      </c>
      <c r="C253">
        <v>47.180000305175703</v>
      </c>
      <c r="D253">
        <v>47.389999389648402</v>
      </c>
      <c r="E253">
        <v>46.799999237060497</v>
      </c>
      <c r="F253">
        <v>47.360000610351499</v>
      </c>
      <c r="G253" s="2">
        <v>26211600</v>
      </c>
      <c r="H253" s="3">
        <f t="shared" si="3"/>
        <v>1.0609712048055275E-3</v>
      </c>
      <c r="J253" s="3">
        <v>-2.0117455501028392E-2</v>
      </c>
      <c r="K253" s="3">
        <v>7.922037095253065E-2</v>
      </c>
    </row>
    <row r="254" spans="1:11" x14ac:dyDescent="0.2">
      <c r="A254" s="1">
        <v>42030</v>
      </c>
      <c r="B254">
        <v>39.818946838378899</v>
      </c>
      <c r="C254">
        <v>47.009998321533203</v>
      </c>
      <c r="D254">
        <v>47.130001068115199</v>
      </c>
      <c r="E254">
        <v>46.240001678466797</v>
      </c>
      <c r="F254">
        <v>47</v>
      </c>
      <c r="G254" s="2">
        <v>42525500</v>
      </c>
      <c r="H254" s="3">
        <f t="shared" si="3"/>
        <v>-3.6029825383493419E-3</v>
      </c>
      <c r="J254" s="3">
        <v>-2.0015834890675266E-2</v>
      </c>
      <c r="K254" s="3">
        <v>7.9534737503929587E-2</v>
      </c>
    </row>
    <row r="255" spans="1:11" x14ac:dyDescent="0.2">
      <c r="A255" s="1">
        <v>42031</v>
      </c>
      <c r="B255">
        <v>36.1343574523925</v>
      </c>
      <c r="C255">
        <v>42.659999847412102</v>
      </c>
      <c r="D255">
        <v>43.200000762939403</v>
      </c>
      <c r="E255">
        <v>42.110000610351499</v>
      </c>
      <c r="F255">
        <v>42.950000762939403</v>
      </c>
      <c r="G255" s="2">
        <v>169164000</v>
      </c>
      <c r="H255" s="3">
        <f t="shared" si="3"/>
        <v>-9.2533572044026569E-2</v>
      </c>
      <c r="J255" s="3">
        <v>-1.9961996574838325E-2</v>
      </c>
      <c r="K255" s="3">
        <v>7.984910405532851E-2</v>
      </c>
    </row>
    <row r="256" spans="1:11" x14ac:dyDescent="0.2">
      <c r="A256" s="1">
        <v>42032</v>
      </c>
      <c r="B256">
        <v>34.8892211914062</v>
      </c>
      <c r="C256">
        <v>41.189998626708899</v>
      </c>
      <c r="D256">
        <v>42.790000915527301</v>
      </c>
      <c r="E256">
        <v>41.159999847412102</v>
      </c>
      <c r="F256">
        <v>42.740001678466797</v>
      </c>
      <c r="G256" s="2">
        <v>84507100</v>
      </c>
      <c r="H256" s="3">
        <f t="shared" si="3"/>
        <v>-3.4458513967676963E-2</v>
      </c>
      <c r="J256" s="3">
        <v>-1.9957682081929606E-2</v>
      </c>
      <c r="K256" s="3">
        <v>8.0163470606727447E-2</v>
      </c>
    </row>
    <row r="257" spans="1:11" x14ac:dyDescent="0.2">
      <c r="A257" s="1">
        <v>42033</v>
      </c>
      <c r="B257">
        <v>35.583770751953097</v>
      </c>
      <c r="C257">
        <v>42.009998321533203</v>
      </c>
      <c r="D257">
        <v>42.119998931884702</v>
      </c>
      <c r="E257">
        <v>40.790000915527301</v>
      </c>
      <c r="F257">
        <v>40.930000305175703</v>
      </c>
      <c r="G257" s="2">
        <v>63585300</v>
      </c>
      <c r="H257" s="3">
        <f t="shared" si="3"/>
        <v>1.9907281871857085E-2</v>
      </c>
      <c r="J257" s="3">
        <v>-1.9907447182558213E-2</v>
      </c>
      <c r="K257" s="3">
        <v>8.047783715812637E-2</v>
      </c>
    </row>
    <row r="258" spans="1:11" x14ac:dyDescent="0.2">
      <c r="A258" s="1">
        <v>42034</v>
      </c>
      <c r="B258">
        <v>34.220066070556598</v>
      </c>
      <c r="C258">
        <v>40.400001525878899</v>
      </c>
      <c r="D258">
        <v>41.580001831054602</v>
      </c>
      <c r="E258">
        <v>40.349998474121001</v>
      </c>
      <c r="F258">
        <v>41.549999237060497</v>
      </c>
      <c r="G258" s="2">
        <v>78004900</v>
      </c>
      <c r="H258" s="3">
        <f t="shared" ref="H258:H321" si="4">B258/B257-1</f>
        <v>-3.8323782234957471E-2</v>
      </c>
      <c r="J258" s="3">
        <v>-1.9880121525423622E-2</v>
      </c>
      <c r="K258" s="3">
        <v>8.0792203709525306E-2</v>
      </c>
    </row>
    <row r="259" spans="1:11" x14ac:dyDescent="0.2">
      <c r="A259" s="1">
        <v>42037</v>
      </c>
      <c r="B259">
        <v>34.965431213378899</v>
      </c>
      <c r="C259">
        <v>41.279998779296797</v>
      </c>
      <c r="D259">
        <v>41.369998931884702</v>
      </c>
      <c r="E259">
        <v>40.2299995422363</v>
      </c>
      <c r="F259">
        <v>40.590000152587798</v>
      </c>
      <c r="G259" s="2">
        <v>50352500</v>
      </c>
      <c r="H259" s="3">
        <f t="shared" si="4"/>
        <v>2.178152260973043E-2</v>
      </c>
      <c r="J259" s="3">
        <v>-1.9836009251470221E-2</v>
      </c>
      <c r="K259" s="3">
        <v>8.1106570260924243E-2</v>
      </c>
    </row>
    <row r="260" spans="1:11" x14ac:dyDescent="0.2">
      <c r="A260" s="1">
        <v>42038</v>
      </c>
      <c r="B260">
        <v>35.236507415771399</v>
      </c>
      <c r="C260">
        <v>41.599998474121001</v>
      </c>
      <c r="D260">
        <v>41.930000305175703</v>
      </c>
      <c r="E260">
        <v>41.049999237060497</v>
      </c>
      <c r="F260">
        <v>41.630001068115199</v>
      </c>
      <c r="G260" s="2">
        <v>52082400</v>
      </c>
      <c r="H260" s="3">
        <f t="shared" si="4"/>
        <v>7.7526915294776622E-3</v>
      </c>
      <c r="J260" s="3">
        <v>-1.9820967594242345E-2</v>
      </c>
      <c r="K260" s="3">
        <v>8.1420936812323166E-2</v>
      </c>
    </row>
    <row r="261" spans="1:11" x14ac:dyDescent="0.2">
      <c r="A261" s="1">
        <v>42039</v>
      </c>
      <c r="B261">
        <v>35.439773559570298</v>
      </c>
      <c r="C261">
        <v>41.840000152587798</v>
      </c>
      <c r="D261">
        <v>42.209999084472599</v>
      </c>
      <c r="E261">
        <v>41.360000610351499</v>
      </c>
      <c r="F261">
        <v>41.939998626708899</v>
      </c>
      <c r="G261" s="2">
        <v>41614800</v>
      </c>
      <c r="H261" s="3">
        <f t="shared" si="4"/>
        <v>5.7686234733900221E-3</v>
      </c>
      <c r="J261" s="3">
        <v>-1.9803661136869155E-2</v>
      </c>
      <c r="K261" s="3">
        <v>8.1735303363722103E-2</v>
      </c>
    </row>
    <row r="262" spans="1:11" x14ac:dyDescent="0.2">
      <c r="A262" s="1">
        <v>42040</v>
      </c>
      <c r="B262">
        <v>35.9564819335937</v>
      </c>
      <c r="C262">
        <v>42.450000762939403</v>
      </c>
      <c r="D262">
        <v>42.639999389648402</v>
      </c>
      <c r="E262">
        <v>41.860000610351499</v>
      </c>
      <c r="F262">
        <v>42.220001220703097</v>
      </c>
      <c r="G262" s="2">
        <v>36548200</v>
      </c>
      <c r="H262" s="3">
        <f t="shared" si="4"/>
        <v>1.4579900550292013E-2</v>
      </c>
      <c r="J262" s="3">
        <v>-1.9756169828422765E-2</v>
      </c>
      <c r="K262" s="3">
        <v>8.2049669915121026E-2</v>
      </c>
    </row>
    <row r="263" spans="1:11" x14ac:dyDescent="0.2">
      <c r="A263" s="1">
        <v>42041</v>
      </c>
      <c r="B263">
        <v>35.922588348388601</v>
      </c>
      <c r="C263">
        <v>42.409999847412102</v>
      </c>
      <c r="D263">
        <v>42.790000915527301</v>
      </c>
      <c r="E263">
        <v>42.150001525878899</v>
      </c>
      <c r="F263">
        <v>42.680000305175703</v>
      </c>
      <c r="G263" s="2">
        <v>34616600</v>
      </c>
      <c r="H263" s="3">
        <f t="shared" si="4"/>
        <v>-9.4262795975685876E-4</v>
      </c>
      <c r="J263" s="3">
        <v>-1.9666557844711274E-2</v>
      </c>
      <c r="K263" s="3">
        <v>8.2364036466519963E-2</v>
      </c>
    </row>
    <row r="264" spans="1:11" x14ac:dyDescent="0.2">
      <c r="A264" s="1">
        <v>42044</v>
      </c>
      <c r="B264">
        <v>35.880252838134702</v>
      </c>
      <c r="C264">
        <v>42.360000610351499</v>
      </c>
      <c r="D264">
        <v>42.740001678466797</v>
      </c>
      <c r="E264">
        <v>42.209999084472599</v>
      </c>
      <c r="F264">
        <v>42.240001678466797</v>
      </c>
      <c r="G264" s="2">
        <v>31381100</v>
      </c>
      <c r="H264" s="3">
        <f t="shared" si="4"/>
        <v>-1.1785205966595713E-3</v>
      </c>
      <c r="J264" s="3">
        <v>-1.9664054648396823E-2</v>
      </c>
      <c r="K264" s="3">
        <v>8.26784030179189E-2</v>
      </c>
    </row>
    <row r="265" spans="1:11" x14ac:dyDescent="0.2">
      <c r="A265" s="1">
        <v>42045</v>
      </c>
      <c r="B265">
        <v>36.083526611328097</v>
      </c>
      <c r="C265">
        <v>42.599998474121001</v>
      </c>
      <c r="D265">
        <v>42.770000457763601</v>
      </c>
      <c r="E265">
        <v>42.180000305175703</v>
      </c>
      <c r="F265">
        <v>42.740001678466797</v>
      </c>
      <c r="G265" s="2">
        <v>29670700</v>
      </c>
      <c r="H265" s="3">
        <f t="shared" si="4"/>
        <v>5.6653383717895078E-3</v>
      </c>
      <c r="J265" s="3">
        <v>-1.9577863585074962E-2</v>
      </c>
      <c r="K265" s="3">
        <v>8.2992769569317823E-2</v>
      </c>
    </row>
    <row r="266" spans="1:11" x14ac:dyDescent="0.2">
      <c r="A266" s="1">
        <v>42046</v>
      </c>
      <c r="B266">
        <v>35.897178649902301</v>
      </c>
      <c r="C266">
        <v>42.380001068115199</v>
      </c>
      <c r="D266">
        <v>42.650001525878899</v>
      </c>
      <c r="E266">
        <v>42.209999084472599</v>
      </c>
      <c r="F266">
        <v>42.650001525878899</v>
      </c>
      <c r="G266" s="2">
        <v>38262500</v>
      </c>
      <c r="H266" s="3">
        <f t="shared" si="4"/>
        <v>-5.1643500213555127E-3</v>
      </c>
      <c r="J266" s="3">
        <v>-1.9507852633231515E-2</v>
      </c>
      <c r="K266" s="3">
        <v>8.330713612071676E-2</v>
      </c>
    </row>
    <row r="267" spans="1:11" x14ac:dyDescent="0.2">
      <c r="A267" s="1">
        <v>42047</v>
      </c>
      <c r="B267">
        <v>36.498588562011697</v>
      </c>
      <c r="C267">
        <v>43.090000152587798</v>
      </c>
      <c r="D267">
        <v>43.090000152587798</v>
      </c>
      <c r="E267">
        <v>42.509998321533203</v>
      </c>
      <c r="F267">
        <v>42.659999847412102</v>
      </c>
      <c r="G267" s="2">
        <v>33268800</v>
      </c>
      <c r="H267" s="3">
        <f t="shared" si="4"/>
        <v>1.6753681897254902E-2</v>
      </c>
      <c r="J267" s="3">
        <v>-1.9501747413106951E-2</v>
      </c>
      <c r="K267" s="3">
        <v>8.3621502672115683E-2</v>
      </c>
    </row>
    <row r="268" spans="1:11" x14ac:dyDescent="0.2">
      <c r="A268" s="1">
        <v>42048</v>
      </c>
      <c r="B268">
        <v>37.159255981445298</v>
      </c>
      <c r="C268">
        <v>43.869998931884702</v>
      </c>
      <c r="D268">
        <v>43.869998931884702</v>
      </c>
      <c r="E268">
        <v>43.150001525878899</v>
      </c>
      <c r="F268">
        <v>43.380001068115199</v>
      </c>
      <c r="G268" s="2">
        <v>40264900</v>
      </c>
      <c r="H268" s="3">
        <f t="shared" si="4"/>
        <v>1.8101177208842412E-2</v>
      </c>
      <c r="J268" s="3">
        <v>-1.948959488363633E-2</v>
      </c>
      <c r="K268" s="3">
        <v>8.393586922351462E-2</v>
      </c>
    </row>
    <row r="269" spans="1:11" x14ac:dyDescent="0.2">
      <c r="A269" s="1">
        <v>42052</v>
      </c>
      <c r="B269">
        <v>37.176322937011697</v>
      </c>
      <c r="C269">
        <v>43.580001831054602</v>
      </c>
      <c r="D269">
        <v>44</v>
      </c>
      <c r="E269">
        <v>43.189998626708899</v>
      </c>
      <c r="F269">
        <v>43.970001220703097</v>
      </c>
      <c r="G269" s="2">
        <v>33695700</v>
      </c>
      <c r="H269" s="3">
        <f t="shared" si="4"/>
        <v>4.5929217675722001E-4</v>
      </c>
      <c r="J269" s="3">
        <v>-1.9437944144364394E-2</v>
      </c>
      <c r="K269" s="3">
        <v>8.4250235774913543E-2</v>
      </c>
    </row>
    <row r="270" spans="1:11" x14ac:dyDescent="0.2">
      <c r="A270" s="1">
        <v>42053</v>
      </c>
      <c r="B270">
        <v>37.133655548095703</v>
      </c>
      <c r="C270">
        <v>43.529998779296797</v>
      </c>
      <c r="D270">
        <v>43.700000762939403</v>
      </c>
      <c r="E270">
        <v>43.389999389648402</v>
      </c>
      <c r="F270">
        <v>43.630001068115199</v>
      </c>
      <c r="G270" s="2">
        <v>27111700</v>
      </c>
      <c r="H270" s="3">
        <f t="shared" si="4"/>
        <v>-1.1477033107412105E-3</v>
      </c>
      <c r="J270" s="3">
        <v>-1.9381070687515156E-2</v>
      </c>
      <c r="K270" s="3">
        <v>8.456460232631248E-2</v>
      </c>
    </row>
    <row r="271" spans="1:11" x14ac:dyDescent="0.2">
      <c r="A271" s="1">
        <v>42054</v>
      </c>
      <c r="B271">
        <v>37.108074188232401</v>
      </c>
      <c r="C271">
        <v>43.5</v>
      </c>
      <c r="D271">
        <v>43.529998779296797</v>
      </c>
      <c r="E271">
        <v>43.049999237060497</v>
      </c>
      <c r="F271">
        <v>43.180000305175703</v>
      </c>
      <c r="G271" s="2">
        <v>27603400</v>
      </c>
      <c r="H271" s="3">
        <f t="shared" si="4"/>
        <v>-6.8889958410289776E-4</v>
      </c>
      <c r="J271" s="3">
        <v>-1.9368495266899766E-2</v>
      </c>
      <c r="K271" s="3">
        <v>8.4878968877711417E-2</v>
      </c>
    </row>
    <row r="272" spans="1:11" x14ac:dyDescent="0.2">
      <c r="A272" s="1">
        <v>42055</v>
      </c>
      <c r="B272">
        <v>37.4151802062988</v>
      </c>
      <c r="C272">
        <v>43.860000610351499</v>
      </c>
      <c r="D272">
        <v>43.880001068115199</v>
      </c>
      <c r="E272">
        <v>43.290000915527301</v>
      </c>
      <c r="F272">
        <v>43.509998321533203</v>
      </c>
      <c r="G272" s="2">
        <v>29721100</v>
      </c>
      <c r="H272" s="3">
        <f t="shared" si="4"/>
        <v>8.27598911516092E-3</v>
      </c>
      <c r="J272" s="3">
        <v>-1.932861901977978E-2</v>
      </c>
      <c r="K272" s="3">
        <v>8.519333542911034E-2</v>
      </c>
    </row>
    <row r="273" spans="1:11" x14ac:dyDescent="0.2">
      <c r="A273" s="1">
        <v>42058</v>
      </c>
      <c r="B273">
        <v>37.662559509277301</v>
      </c>
      <c r="C273">
        <v>44.150001525878899</v>
      </c>
      <c r="D273">
        <v>44.189998626708899</v>
      </c>
      <c r="E273">
        <v>43.650001525878899</v>
      </c>
      <c r="F273">
        <v>43.700000762939403</v>
      </c>
      <c r="G273" s="2">
        <v>32518800</v>
      </c>
      <c r="H273" s="3">
        <f t="shared" si="4"/>
        <v>6.6117362422020154E-3</v>
      </c>
      <c r="J273" s="3">
        <v>-1.9219794862690653E-2</v>
      </c>
      <c r="K273" s="3">
        <v>8.5507701980509276E-2</v>
      </c>
    </row>
    <row r="274" spans="1:11" x14ac:dyDescent="0.2">
      <c r="A274" s="1">
        <v>42059</v>
      </c>
      <c r="B274">
        <v>37.611396789550703</v>
      </c>
      <c r="C274">
        <v>44.090000152587798</v>
      </c>
      <c r="D274">
        <v>44.299999237060497</v>
      </c>
      <c r="E274">
        <v>43.919998168945298</v>
      </c>
      <c r="F274">
        <v>44.150001525878899</v>
      </c>
      <c r="G274" s="2">
        <v>25271700</v>
      </c>
      <c r="H274" s="3">
        <f t="shared" si="4"/>
        <v>-1.3584504184851465E-3</v>
      </c>
      <c r="J274" s="3">
        <v>-1.9162867087037738E-2</v>
      </c>
      <c r="K274" s="3">
        <v>8.5822068531908199E-2</v>
      </c>
    </row>
    <row r="275" spans="1:11" x14ac:dyDescent="0.2">
      <c r="A275" s="1">
        <v>42060</v>
      </c>
      <c r="B275">
        <v>37.526084899902301</v>
      </c>
      <c r="C275">
        <v>43.990001678466797</v>
      </c>
      <c r="D275">
        <v>44.090000152587798</v>
      </c>
      <c r="E275">
        <v>43.799999237060497</v>
      </c>
      <c r="F275">
        <v>43.950000762939403</v>
      </c>
      <c r="G275" s="2">
        <v>29759800</v>
      </c>
      <c r="H275" s="3">
        <f t="shared" si="4"/>
        <v>-2.2682457162054304E-3</v>
      </c>
      <c r="J275" s="3">
        <v>-1.9136318273384911E-2</v>
      </c>
      <c r="K275" s="3">
        <v>8.6136435083307136E-2</v>
      </c>
    </row>
    <row r="276" spans="1:11" x14ac:dyDescent="0.2">
      <c r="A276" s="1">
        <v>42061</v>
      </c>
      <c r="B276">
        <v>37.585800170898402</v>
      </c>
      <c r="C276">
        <v>44.060001373291001</v>
      </c>
      <c r="D276">
        <v>44.2299995422363</v>
      </c>
      <c r="E276">
        <v>43.889999389648402</v>
      </c>
      <c r="F276">
        <v>43.990001678466797</v>
      </c>
      <c r="G276" s="2">
        <v>28957300</v>
      </c>
      <c r="H276" s="3">
        <f t="shared" si="4"/>
        <v>1.5913003223060329E-3</v>
      </c>
      <c r="J276" s="3">
        <v>-1.9078035958765671E-2</v>
      </c>
      <c r="K276" s="3">
        <v>8.6450801634706073E-2</v>
      </c>
    </row>
    <row r="277" spans="1:11" x14ac:dyDescent="0.2">
      <c r="A277" s="1">
        <v>42062</v>
      </c>
      <c r="B277">
        <v>37.406650543212798</v>
      </c>
      <c r="C277">
        <v>43.849998474121001</v>
      </c>
      <c r="D277">
        <v>44.200000762939403</v>
      </c>
      <c r="E277">
        <v>43.659999847412102</v>
      </c>
      <c r="F277">
        <v>44.130001068115199</v>
      </c>
      <c r="G277" s="2">
        <v>33807700</v>
      </c>
      <c r="H277" s="3">
        <f t="shared" si="4"/>
        <v>-4.7664178192570184E-3</v>
      </c>
      <c r="J277" s="3">
        <v>-1.9050030225837622E-2</v>
      </c>
      <c r="K277" s="3">
        <v>8.6765168186104996E-2</v>
      </c>
    </row>
    <row r="278" spans="1:11" x14ac:dyDescent="0.2">
      <c r="A278" s="1">
        <v>42065</v>
      </c>
      <c r="B278">
        <v>37.4322509765625</v>
      </c>
      <c r="C278">
        <v>43.880001068115199</v>
      </c>
      <c r="D278">
        <v>44.189998626708899</v>
      </c>
      <c r="E278">
        <v>43.549999237060497</v>
      </c>
      <c r="F278">
        <v>43.669998168945298</v>
      </c>
      <c r="G278" s="2">
        <v>31924000</v>
      </c>
      <c r="H278" s="3">
        <f t="shared" si="4"/>
        <v>6.8438186734010031E-4</v>
      </c>
      <c r="J278" s="3">
        <v>-1.903263467688987E-2</v>
      </c>
      <c r="K278" s="3">
        <v>8.7079534737503933E-2</v>
      </c>
    </row>
    <row r="279" spans="1:11" x14ac:dyDescent="0.2">
      <c r="A279" s="1">
        <v>42066</v>
      </c>
      <c r="B279">
        <v>36.920413970947202</v>
      </c>
      <c r="C279">
        <v>43.279998779296797</v>
      </c>
      <c r="D279">
        <v>43.830001831054602</v>
      </c>
      <c r="E279">
        <v>43.090000152587798</v>
      </c>
      <c r="F279">
        <v>43.560001373291001</v>
      </c>
      <c r="G279" s="2">
        <v>31748600</v>
      </c>
      <c r="H279" s="3">
        <f t="shared" si="4"/>
        <v>-1.3673690260726623E-2</v>
      </c>
      <c r="J279" s="3">
        <v>-1.8900627330787456E-2</v>
      </c>
      <c r="K279" s="3">
        <v>8.7393901288902856E-2</v>
      </c>
    </row>
    <row r="280" spans="1:11" x14ac:dyDescent="0.2">
      <c r="A280" s="1">
        <v>42067</v>
      </c>
      <c r="B280">
        <v>36.732730865478501</v>
      </c>
      <c r="C280">
        <v>43.060001373291001</v>
      </c>
      <c r="D280">
        <v>43.209999084472599</v>
      </c>
      <c r="E280">
        <v>42.880001068115199</v>
      </c>
      <c r="F280">
        <v>43.009998321533203</v>
      </c>
      <c r="G280" s="2">
        <v>25748700</v>
      </c>
      <c r="H280" s="3">
        <f t="shared" si="4"/>
        <v>-5.0834507331469769E-3</v>
      </c>
      <c r="J280" s="3">
        <v>-1.8889190892660168E-2</v>
      </c>
      <c r="K280" s="3">
        <v>8.7708267840301793E-2</v>
      </c>
    </row>
    <row r="281" spans="1:11" x14ac:dyDescent="0.2">
      <c r="A281" s="1">
        <v>42068</v>
      </c>
      <c r="B281">
        <v>36.775394439697202</v>
      </c>
      <c r="C281">
        <v>43.110000610351499</v>
      </c>
      <c r="D281">
        <v>43.240001678466797</v>
      </c>
      <c r="E281">
        <v>42.819999694824197</v>
      </c>
      <c r="F281">
        <v>43.069999694824197</v>
      </c>
      <c r="G281" s="2">
        <v>23193500</v>
      </c>
      <c r="H281" s="3">
        <f t="shared" si="4"/>
        <v>1.1614593637194748E-3</v>
      </c>
      <c r="J281" s="3">
        <v>-1.8846914757063571E-2</v>
      </c>
      <c r="K281" s="3">
        <v>8.802263439170073E-2</v>
      </c>
    </row>
    <row r="282" spans="1:11" x14ac:dyDescent="0.2">
      <c r="A282" s="1">
        <v>42069</v>
      </c>
      <c r="B282">
        <v>36.135593414306598</v>
      </c>
      <c r="C282">
        <v>42.360000610351499</v>
      </c>
      <c r="D282">
        <v>43.110000610351499</v>
      </c>
      <c r="E282">
        <v>42.150001525878899</v>
      </c>
      <c r="F282">
        <v>43</v>
      </c>
      <c r="G282" s="2">
        <v>36248800</v>
      </c>
      <c r="H282" s="3">
        <f t="shared" si="4"/>
        <v>-1.7397529928325439E-2</v>
      </c>
      <c r="J282" s="3">
        <v>-1.8832785732057045E-2</v>
      </c>
      <c r="K282" s="3">
        <v>8.8337000943099653E-2</v>
      </c>
    </row>
    <row r="283" spans="1:11" x14ac:dyDescent="0.2">
      <c r="A283" s="1">
        <v>42072</v>
      </c>
      <c r="B283">
        <v>36.553585052490199</v>
      </c>
      <c r="C283">
        <v>42.849998474121001</v>
      </c>
      <c r="D283">
        <v>43.130001068115199</v>
      </c>
      <c r="E283">
        <v>42.189998626708899</v>
      </c>
      <c r="F283">
        <v>42.189998626708899</v>
      </c>
      <c r="G283" s="2">
        <v>32108000</v>
      </c>
      <c r="H283" s="3">
        <f t="shared" si="4"/>
        <v>1.1567310750682402E-2</v>
      </c>
      <c r="J283" s="3">
        <v>-1.8768018198323189E-2</v>
      </c>
      <c r="K283" s="3">
        <v>8.865136749449859E-2</v>
      </c>
    </row>
    <row r="284" spans="1:11" x14ac:dyDescent="0.2">
      <c r="A284" s="1">
        <v>42073</v>
      </c>
      <c r="B284">
        <v>35.8540840148925</v>
      </c>
      <c r="C284">
        <v>42.029998779296797</v>
      </c>
      <c r="D284">
        <v>42.709999084472599</v>
      </c>
      <c r="E284">
        <v>42.029998779296797</v>
      </c>
      <c r="F284">
        <v>42.349998474121001</v>
      </c>
      <c r="G284" s="2">
        <v>39159700</v>
      </c>
      <c r="H284" s="3">
        <f t="shared" si="4"/>
        <v>-1.9136318273384911E-2</v>
      </c>
      <c r="J284" s="3">
        <v>-1.8715955138438933E-2</v>
      </c>
      <c r="K284" s="3">
        <v>8.8965734045897513E-2</v>
      </c>
    </row>
    <row r="285" spans="1:11" x14ac:dyDescent="0.2">
      <c r="A285" s="1">
        <v>42074</v>
      </c>
      <c r="B285">
        <v>35.811412811279297</v>
      </c>
      <c r="C285">
        <v>41.9799995422363</v>
      </c>
      <c r="D285">
        <v>42.369998931884702</v>
      </c>
      <c r="E285">
        <v>41.840000152587798</v>
      </c>
      <c r="F285">
        <v>42.310001373291001</v>
      </c>
      <c r="G285" s="2">
        <v>32215300</v>
      </c>
      <c r="H285" s="3">
        <f t="shared" si="4"/>
        <v>-1.1901350929919285E-3</v>
      </c>
      <c r="J285" s="3">
        <v>-1.8682694876938521E-2</v>
      </c>
      <c r="K285" s="3">
        <v>8.928010059729645E-2</v>
      </c>
    </row>
    <row r="286" spans="1:11" x14ac:dyDescent="0.2">
      <c r="A286" s="1">
        <v>42075</v>
      </c>
      <c r="B286">
        <v>34.992485046386697</v>
      </c>
      <c r="C286">
        <v>41.020000457763601</v>
      </c>
      <c r="D286">
        <v>41.650001525878899</v>
      </c>
      <c r="E286">
        <v>40.860000610351499</v>
      </c>
      <c r="F286">
        <v>41.330001831054602</v>
      </c>
      <c r="G286" s="2">
        <v>59992500</v>
      </c>
      <c r="H286" s="3">
        <f t="shared" si="4"/>
        <v>-2.2867787127199501E-2</v>
      </c>
      <c r="J286" s="3">
        <v>-1.8651465406291479E-2</v>
      </c>
      <c r="K286" s="3">
        <v>8.9594467148695373E-2</v>
      </c>
    </row>
    <row r="287" spans="1:11" x14ac:dyDescent="0.2">
      <c r="A287" s="1">
        <v>42076</v>
      </c>
      <c r="B287">
        <v>35.299587249755803</v>
      </c>
      <c r="C287">
        <v>41.380001068115199</v>
      </c>
      <c r="D287">
        <v>41.470001220703097</v>
      </c>
      <c r="E287">
        <v>40.610000610351499</v>
      </c>
      <c r="F287">
        <v>40.700000762939403</v>
      </c>
      <c r="G287" s="2">
        <v>58007700</v>
      </c>
      <c r="H287" s="3">
        <f t="shared" si="4"/>
        <v>8.7762330386653709E-3</v>
      </c>
      <c r="J287" s="3">
        <v>-1.8629743664799636E-2</v>
      </c>
      <c r="K287" s="3">
        <v>8.9908833700094309E-2</v>
      </c>
    </row>
    <row r="288" spans="1:11" x14ac:dyDescent="0.2">
      <c r="A288" s="1">
        <v>42079</v>
      </c>
      <c r="B288">
        <v>35.453140258788999</v>
      </c>
      <c r="C288">
        <v>41.560001373291001</v>
      </c>
      <c r="D288">
        <v>41.639999389648402</v>
      </c>
      <c r="E288">
        <v>41.279998779296797</v>
      </c>
      <c r="F288">
        <v>41.470001220703097</v>
      </c>
      <c r="G288" s="2">
        <v>35273500</v>
      </c>
      <c r="H288" s="3">
        <f t="shared" si="4"/>
        <v>4.3499944615996711E-3</v>
      </c>
      <c r="J288" s="3">
        <v>-1.8574896377851036E-2</v>
      </c>
      <c r="K288" s="3">
        <v>9.0223200251493246E-2</v>
      </c>
    </row>
    <row r="289" spans="1:11" x14ac:dyDescent="0.2">
      <c r="A289" s="1">
        <v>42080</v>
      </c>
      <c r="B289">
        <v>35.572582244872997</v>
      </c>
      <c r="C289">
        <v>41.700000762939403</v>
      </c>
      <c r="D289">
        <v>41.830001831054602</v>
      </c>
      <c r="E289">
        <v>41.150001525878899</v>
      </c>
      <c r="F289">
        <v>41.369998931884702</v>
      </c>
      <c r="G289" s="2">
        <v>31673400</v>
      </c>
      <c r="H289" s="3">
        <f t="shared" si="4"/>
        <v>3.3690100569974124E-3</v>
      </c>
      <c r="J289" s="3">
        <v>-1.8468196695640038E-2</v>
      </c>
      <c r="K289" s="3">
        <v>9.0537566802892169E-2</v>
      </c>
    </row>
    <row r="290" spans="1:11" x14ac:dyDescent="0.2">
      <c r="A290" s="1">
        <v>42081</v>
      </c>
      <c r="B290">
        <v>36.255027770996001</v>
      </c>
      <c r="C290">
        <v>42.5</v>
      </c>
      <c r="D290">
        <v>42.830001831054602</v>
      </c>
      <c r="E290">
        <v>41.330001831054602</v>
      </c>
      <c r="F290">
        <v>41.430000305175703</v>
      </c>
      <c r="G290" s="2">
        <v>44194800</v>
      </c>
      <c r="H290" s="3">
        <f t="shared" si="4"/>
        <v>1.9184593387829185E-2</v>
      </c>
      <c r="J290" s="3">
        <v>-1.8459046058437956E-2</v>
      </c>
      <c r="K290" s="3">
        <v>9.0851933354291106E-2</v>
      </c>
    </row>
    <row r="291" spans="1:11" x14ac:dyDescent="0.2">
      <c r="A291" s="1">
        <v>42082</v>
      </c>
      <c r="B291">
        <v>36.075870513916001</v>
      </c>
      <c r="C291">
        <v>42.290000915527301</v>
      </c>
      <c r="D291">
        <v>42.590000152587798</v>
      </c>
      <c r="E291">
        <v>42.220001220703097</v>
      </c>
      <c r="F291">
        <v>42.259998321533203</v>
      </c>
      <c r="G291" s="2">
        <v>33879100</v>
      </c>
      <c r="H291" s="3">
        <f t="shared" si="4"/>
        <v>-4.9415837773354454E-3</v>
      </c>
      <c r="J291" s="3">
        <v>-1.8431975315152949E-2</v>
      </c>
      <c r="K291" s="3">
        <v>9.1166299905690029E-2</v>
      </c>
    </row>
    <row r="292" spans="1:11" x14ac:dyDescent="0.2">
      <c r="A292" s="1">
        <v>42083</v>
      </c>
      <c r="B292">
        <v>36.579189300537102</v>
      </c>
      <c r="C292">
        <v>42.880001068115199</v>
      </c>
      <c r="D292">
        <v>42.9799995422363</v>
      </c>
      <c r="E292">
        <v>42.490001678466797</v>
      </c>
      <c r="F292">
        <v>42.560001373291001</v>
      </c>
      <c r="G292" s="2">
        <v>71904500</v>
      </c>
      <c r="H292" s="3">
        <f t="shared" si="4"/>
        <v>1.3951674053906737E-2</v>
      </c>
      <c r="J292" s="3">
        <v>-1.8380851527693309E-2</v>
      </c>
      <c r="K292" s="3">
        <v>9.1480666457088966E-2</v>
      </c>
    </row>
    <row r="293" spans="1:11" x14ac:dyDescent="0.2">
      <c r="A293" s="1">
        <v>42086</v>
      </c>
      <c r="B293">
        <v>36.562122344970703</v>
      </c>
      <c r="C293">
        <v>42.860000610351499</v>
      </c>
      <c r="D293">
        <v>43.130001068115199</v>
      </c>
      <c r="E293">
        <v>42.779998779296797</v>
      </c>
      <c r="F293">
        <v>42.880001068115199</v>
      </c>
      <c r="G293" s="2">
        <v>26246100</v>
      </c>
      <c r="H293" s="3">
        <f t="shared" si="4"/>
        <v>-4.6657555546614216E-4</v>
      </c>
      <c r="J293" s="3">
        <v>-1.8379473087377085E-2</v>
      </c>
      <c r="K293" s="3">
        <v>9.1795033008487903E-2</v>
      </c>
    </row>
    <row r="294" spans="1:11" x14ac:dyDescent="0.2">
      <c r="A294" s="1">
        <v>42087</v>
      </c>
      <c r="B294">
        <v>36.596248626708899</v>
      </c>
      <c r="C294">
        <v>42.900001525878899</v>
      </c>
      <c r="D294">
        <v>43.169998168945298</v>
      </c>
      <c r="E294">
        <v>42.75</v>
      </c>
      <c r="F294">
        <v>42.779998779296797</v>
      </c>
      <c r="G294" s="2">
        <v>25513300</v>
      </c>
      <c r="H294" s="3">
        <f t="shared" si="4"/>
        <v>9.333780303071304E-4</v>
      </c>
      <c r="J294" s="3">
        <v>-1.8330610513557777E-2</v>
      </c>
      <c r="K294" s="3">
        <v>9.2109399559886826E-2</v>
      </c>
    </row>
    <row r="295" spans="1:11" x14ac:dyDescent="0.2">
      <c r="A295" s="1">
        <v>42088</v>
      </c>
      <c r="B295">
        <v>35.367824554443303</v>
      </c>
      <c r="C295">
        <v>41.459999084472599</v>
      </c>
      <c r="D295">
        <v>42.930000305175703</v>
      </c>
      <c r="E295">
        <v>41.439998626708899</v>
      </c>
      <c r="F295">
        <v>42.919998168945298</v>
      </c>
      <c r="G295" s="2">
        <v>43469900</v>
      </c>
      <c r="H295" s="3">
        <f t="shared" si="4"/>
        <v>-3.3566939737344037E-2</v>
      </c>
      <c r="J295" s="3">
        <v>-1.8294032420919537E-2</v>
      </c>
      <c r="K295" s="3">
        <v>9.2423766111285763E-2</v>
      </c>
    </row>
    <row r="296" spans="1:11" x14ac:dyDescent="0.2">
      <c r="A296" s="1">
        <v>42089</v>
      </c>
      <c r="B296">
        <v>35.154575347900298</v>
      </c>
      <c r="C296">
        <v>41.209999084472599</v>
      </c>
      <c r="D296">
        <v>41.610000610351499</v>
      </c>
      <c r="E296">
        <v>40.919998168945298</v>
      </c>
      <c r="F296">
        <v>41.220001220703097</v>
      </c>
      <c r="G296" s="2">
        <v>37495600</v>
      </c>
      <c r="H296" s="3">
        <f t="shared" si="4"/>
        <v>-6.0294691355624597E-3</v>
      </c>
      <c r="J296" s="3">
        <v>-1.825789814859069E-2</v>
      </c>
      <c r="K296" s="3">
        <v>9.2738132662684686E-2</v>
      </c>
    </row>
    <row r="297" spans="1:11" x14ac:dyDescent="0.2">
      <c r="A297" s="1">
        <v>42090</v>
      </c>
      <c r="B297">
        <v>34.949836730957003</v>
      </c>
      <c r="C297">
        <v>40.970001220703097</v>
      </c>
      <c r="D297">
        <v>41.430000305175703</v>
      </c>
      <c r="E297">
        <v>40.830001831054602</v>
      </c>
      <c r="F297">
        <v>41.119998931884702</v>
      </c>
      <c r="G297" s="2">
        <v>34401400</v>
      </c>
      <c r="H297" s="3">
        <f t="shared" si="4"/>
        <v>-5.823953636678536E-3</v>
      </c>
      <c r="J297" s="3">
        <v>-1.8209484963238154E-2</v>
      </c>
      <c r="K297" s="3">
        <v>9.3052499214083623E-2</v>
      </c>
    </row>
    <row r="298" spans="1:11" x14ac:dyDescent="0.2">
      <c r="A298" s="1">
        <v>42093</v>
      </c>
      <c r="B298">
        <v>34.941307067871001</v>
      </c>
      <c r="C298">
        <v>40.959999084472599</v>
      </c>
      <c r="D298">
        <v>41.540000915527301</v>
      </c>
      <c r="E298">
        <v>40.909999847412102</v>
      </c>
      <c r="F298">
        <v>41.099998474121001</v>
      </c>
      <c r="G298" s="2">
        <v>35049700</v>
      </c>
      <c r="H298" s="3">
        <f t="shared" si="4"/>
        <v>-2.4405444728292647E-4</v>
      </c>
      <c r="J298" s="3">
        <v>-1.8177946307976756E-2</v>
      </c>
      <c r="K298" s="3">
        <v>9.336686576548256E-2</v>
      </c>
    </row>
    <row r="299" spans="1:11" x14ac:dyDescent="0.2">
      <c r="A299" s="1">
        <v>42094</v>
      </c>
      <c r="B299">
        <v>34.685398101806598</v>
      </c>
      <c r="C299">
        <v>40.659999847412102</v>
      </c>
      <c r="D299">
        <v>41.029998779296797</v>
      </c>
      <c r="E299">
        <v>40.540000915527301</v>
      </c>
      <c r="F299">
        <v>40.779998779296797</v>
      </c>
      <c r="G299" s="2">
        <v>34887200</v>
      </c>
      <c r="H299" s="3">
        <f t="shared" si="4"/>
        <v>-7.3239666039772722E-3</v>
      </c>
      <c r="J299" s="3">
        <v>-1.8164905266678799E-2</v>
      </c>
      <c r="K299" s="3">
        <v>9.3681232316881483E-2</v>
      </c>
    </row>
    <row r="300" spans="1:11" x14ac:dyDescent="0.2">
      <c r="A300" s="1">
        <v>42095</v>
      </c>
      <c r="B300">
        <v>34.736583709716797</v>
      </c>
      <c r="C300">
        <v>40.720001220703097</v>
      </c>
      <c r="D300">
        <v>40.759998321533203</v>
      </c>
      <c r="E300">
        <v>40.310001373291001</v>
      </c>
      <c r="F300">
        <v>40.599998474121001</v>
      </c>
      <c r="G300" s="2">
        <v>36865300</v>
      </c>
      <c r="H300" s="3">
        <f t="shared" si="4"/>
        <v>1.4757105500118328E-3</v>
      </c>
      <c r="J300" s="3">
        <v>-1.8150101813851793E-2</v>
      </c>
      <c r="K300" s="3">
        <v>9.3995598868280419E-2</v>
      </c>
    </row>
    <row r="301" spans="1:11" x14ac:dyDescent="0.2">
      <c r="A301" s="1">
        <v>42096</v>
      </c>
      <c r="B301">
        <v>34.369754791259702</v>
      </c>
      <c r="C301">
        <v>40.290000915527301</v>
      </c>
      <c r="D301">
        <v>40.740001678466797</v>
      </c>
      <c r="E301">
        <v>40.119998931884702</v>
      </c>
      <c r="F301">
        <v>40.659999847412102</v>
      </c>
      <c r="G301" s="2">
        <v>37487500</v>
      </c>
      <c r="H301" s="3">
        <f t="shared" si="4"/>
        <v>-1.0560304994946423E-2</v>
      </c>
      <c r="J301" s="3">
        <v>-1.8143363433272164E-2</v>
      </c>
      <c r="K301" s="3">
        <v>9.4309965419679342E-2</v>
      </c>
    </row>
    <row r="302" spans="1:11" x14ac:dyDescent="0.2">
      <c r="A302" s="1">
        <v>42100</v>
      </c>
      <c r="B302">
        <v>35.444610595703097</v>
      </c>
      <c r="C302">
        <v>41.549999237060497</v>
      </c>
      <c r="D302">
        <v>41.779998779296797</v>
      </c>
      <c r="E302">
        <v>40.180000305175703</v>
      </c>
      <c r="F302">
        <v>40.340000152587798</v>
      </c>
      <c r="G302" s="2">
        <v>39223700</v>
      </c>
      <c r="H302" s="3">
        <f t="shared" si="4"/>
        <v>3.1273304420453174E-2</v>
      </c>
      <c r="J302" s="3">
        <v>-1.8076237886997082E-2</v>
      </c>
      <c r="K302" s="3">
        <v>9.4624331971078279E-2</v>
      </c>
    </row>
    <row r="303" spans="1:11" x14ac:dyDescent="0.2">
      <c r="A303" s="1">
        <v>42101</v>
      </c>
      <c r="B303">
        <v>35.4275512695312</v>
      </c>
      <c r="C303">
        <v>41.529998779296797</v>
      </c>
      <c r="D303">
        <v>41.909999847412102</v>
      </c>
      <c r="E303">
        <v>41.310001373291001</v>
      </c>
      <c r="F303">
        <v>41.610000610351499</v>
      </c>
      <c r="G303" s="2">
        <v>28809400</v>
      </c>
      <c r="H303" s="3">
        <f t="shared" si="4"/>
        <v>-4.8129534745022795E-4</v>
      </c>
      <c r="J303" s="3">
        <v>-1.8012224890150419E-2</v>
      </c>
      <c r="K303" s="3">
        <v>9.4938698522477202E-2</v>
      </c>
    </row>
    <row r="304" spans="1:11" x14ac:dyDescent="0.2">
      <c r="A304" s="1">
        <v>42102</v>
      </c>
      <c r="B304">
        <v>35.333713531494098</v>
      </c>
      <c r="C304">
        <v>41.419998168945298</v>
      </c>
      <c r="D304">
        <v>41.689998626708899</v>
      </c>
      <c r="E304">
        <v>41.040000915527301</v>
      </c>
      <c r="F304">
        <v>41.459999084472599</v>
      </c>
      <c r="G304" s="2">
        <v>24753400</v>
      </c>
      <c r="H304" s="3">
        <f t="shared" si="4"/>
        <v>-2.6487221011463058E-3</v>
      </c>
      <c r="J304" s="3">
        <v>-1.7979198203733615E-2</v>
      </c>
      <c r="K304" s="3">
        <v>9.5253065073876139E-2</v>
      </c>
    </row>
    <row r="305" spans="1:11" x14ac:dyDescent="0.2">
      <c r="A305" s="1">
        <v>42103</v>
      </c>
      <c r="B305">
        <v>35.384895324707003</v>
      </c>
      <c r="C305">
        <v>41.4799995422363</v>
      </c>
      <c r="D305">
        <v>41.619998931884702</v>
      </c>
      <c r="E305">
        <v>41.25</v>
      </c>
      <c r="F305">
        <v>41.25</v>
      </c>
      <c r="G305" s="2">
        <v>25723900</v>
      </c>
      <c r="H305" s="3">
        <f t="shared" si="4"/>
        <v>1.4485257307383925E-3</v>
      </c>
      <c r="J305" s="3">
        <v>-1.7942594559366642E-2</v>
      </c>
      <c r="K305" s="3">
        <v>9.5567431625275076E-2</v>
      </c>
    </row>
    <row r="306" spans="1:11" x14ac:dyDescent="0.2">
      <c r="A306" s="1">
        <v>42104</v>
      </c>
      <c r="B306">
        <v>35.589626312255803</v>
      </c>
      <c r="C306">
        <v>41.720001220703097</v>
      </c>
      <c r="D306">
        <v>41.950000762939403</v>
      </c>
      <c r="E306">
        <v>41.409999847412102</v>
      </c>
      <c r="F306">
        <v>41.630001068115199</v>
      </c>
      <c r="G306" s="2">
        <v>28022000</v>
      </c>
      <c r="H306" s="3">
        <f t="shared" si="4"/>
        <v>5.785829961346467E-3</v>
      </c>
      <c r="J306" s="3">
        <v>-1.788788170318556E-2</v>
      </c>
      <c r="K306" s="3">
        <v>9.5881798176673999E-2</v>
      </c>
    </row>
    <row r="307" spans="1:11" x14ac:dyDescent="0.2">
      <c r="A307" s="1">
        <v>42107</v>
      </c>
      <c r="B307">
        <v>35.623756408691399</v>
      </c>
      <c r="C307">
        <v>41.759998321533203</v>
      </c>
      <c r="D307">
        <v>42.060001373291001</v>
      </c>
      <c r="E307">
        <v>41.389999389648402</v>
      </c>
      <c r="F307">
        <v>41.400001525878899</v>
      </c>
      <c r="G307" s="2">
        <v>30276700</v>
      </c>
      <c r="H307" s="3">
        <f t="shared" si="4"/>
        <v>9.58990019623851E-4</v>
      </c>
      <c r="J307" s="3">
        <v>-1.7865582758292975E-2</v>
      </c>
      <c r="K307" s="3">
        <v>9.6196164728072936E-2</v>
      </c>
    </row>
    <row r="308" spans="1:11" x14ac:dyDescent="0.2">
      <c r="A308" s="1">
        <v>42108</v>
      </c>
      <c r="B308">
        <v>35.529918670654297</v>
      </c>
      <c r="C308">
        <v>41.650001525878899</v>
      </c>
      <c r="D308">
        <v>42.029998779296797</v>
      </c>
      <c r="E308">
        <v>41.389999389648402</v>
      </c>
      <c r="F308">
        <v>41.799999237060497</v>
      </c>
      <c r="G308" s="2">
        <v>24244400</v>
      </c>
      <c r="H308" s="3">
        <f t="shared" si="4"/>
        <v>-2.6341337213446891E-3</v>
      </c>
      <c r="J308" s="3">
        <v>-1.7697295746278763E-2</v>
      </c>
      <c r="K308" s="3">
        <v>9.6510531279471859E-2</v>
      </c>
    </row>
    <row r="309" spans="1:11" x14ac:dyDescent="0.2">
      <c r="A309" s="1">
        <v>42109</v>
      </c>
      <c r="B309">
        <v>36.050285339355398</v>
      </c>
      <c r="C309">
        <v>42.259998321533203</v>
      </c>
      <c r="D309">
        <v>42.459999084472599</v>
      </c>
      <c r="E309">
        <v>41.680000305175703</v>
      </c>
      <c r="F309">
        <v>41.759998321533203</v>
      </c>
      <c r="G309" s="2">
        <v>27343600</v>
      </c>
      <c r="H309" s="3">
        <f t="shared" si="4"/>
        <v>1.4645872779069924E-2</v>
      </c>
      <c r="J309" s="3">
        <v>-1.768312688385465E-2</v>
      </c>
      <c r="K309" s="3">
        <v>9.6824897830870796E-2</v>
      </c>
    </row>
    <row r="310" spans="1:11" x14ac:dyDescent="0.2">
      <c r="A310" s="1">
        <v>42110</v>
      </c>
      <c r="B310">
        <v>35.964969635009702</v>
      </c>
      <c r="C310">
        <v>42.159999847412102</v>
      </c>
      <c r="D310">
        <v>42.340000152587798</v>
      </c>
      <c r="E310">
        <v>41.819999694824197</v>
      </c>
      <c r="F310">
        <v>41.950000762939403</v>
      </c>
      <c r="G310" s="2">
        <v>22509700</v>
      </c>
      <c r="H310" s="3">
        <f t="shared" si="4"/>
        <v>-2.3665750088407433E-3</v>
      </c>
      <c r="J310" s="3">
        <v>-1.7666513340104273E-2</v>
      </c>
      <c r="K310" s="3">
        <v>9.7139264382269733E-2</v>
      </c>
    </row>
    <row r="311" spans="1:11" x14ac:dyDescent="0.2">
      <c r="A311" s="1">
        <v>42111</v>
      </c>
      <c r="B311">
        <v>35.504306793212798</v>
      </c>
      <c r="C311">
        <v>41.619998931884702</v>
      </c>
      <c r="D311">
        <v>41.740001678466797</v>
      </c>
      <c r="E311">
        <v>41.159999847412102</v>
      </c>
      <c r="F311">
        <v>41.669998168945298</v>
      </c>
      <c r="G311" s="2">
        <v>42387600</v>
      </c>
      <c r="H311" s="3">
        <f t="shared" si="4"/>
        <v>-1.2808653711429141E-2</v>
      </c>
      <c r="J311" s="3">
        <v>-1.7655183125994123E-2</v>
      </c>
      <c r="K311" s="3">
        <v>9.7453630933668656E-2</v>
      </c>
    </row>
    <row r="312" spans="1:11" x14ac:dyDescent="0.2">
      <c r="A312" s="1">
        <v>42114</v>
      </c>
      <c r="B312">
        <v>36.604774475097599</v>
      </c>
      <c r="C312">
        <v>42.909999847412102</v>
      </c>
      <c r="D312">
        <v>43.169998168945298</v>
      </c>
      <c r="E312">
        <v>41.680000305175703</v>
      </c>
      <c r="F312">
        <v>41.7299995422363</v>
      </c>
      <c r="G312" s="2">
        <v>46057700</v>
      </c>
      <c r="H312" s="3">
        <f t="shared" si="4"/>
        <v>3.0995329335515187E-2</v>
      </c>
      <c r="J312" s="3">
        <v>-1.7600766235274179E-2</v>
      </c>
      <c r="K312" s="3">
        <v>9.7767997485067593E-2</v>
      </c>
    </row>
    <row r="313" spans="1:11" x14ac:dyDescent="0.2">
      <c r="A313" s="1">
        <v>42115</v>
      </c>
      <c r="B313">
        <v>36.374446868896399</v>
      </c>
      <c r="C313">
        <v>42.639999389648402</v>
      </c>
      <c r="D313">
        <v>43.150001525878899</v>
      </c>
      <c r="E313">
        <v>42.529998779296797</v>
      </c>
      <c r="F313">
        <v>43</v>
      </c>
      <c r="G313" s="2">
        <v>26013800</v>
      </c>
      <c r="H313" s="3">
        <f t="shared" si="4"/>
        <v>-6.2922831653530187E-3</v>
      </c>
      <c r="J313" s="3">
        <v>-1.7590183458946917E-2</v>
      </c>
      <c r="K313" s="3">
        <v>9.8082364036466516E-2</v>
      </c>
    </row>
    <row r="314" spans="1:11" x14ac:dyDescent="0.2">
      <c r="A314" s="1">
        <v>42116</v>
      </c>
      <c r="B314">
        <v>36.673027038574197</v>
      </c>
      <c r="C314">
        <v>42.990001678466797</v>
      </c>
      <c r="D314">
        <v>43.130001068115199</v>
      </c>
      <c r="E314">
        <v>42.549999237060497</v>
      </c>
      <c r="F314">
        <v>42.669998168945298</v>
      </c>
      <c r="G314" s="2">
        <v>25064300</v>
      </c>
      <c r="H314" s="3">
        <f t="shared" si="4"/>
        <v>8.2085143659769155E-3</v>
      </c>
      <c r="J314" s="3">
        <v>-1.752827268461532E-2</v>
      </c>
      <c r="K314" s="3">
        <v>9.8396730587865452E-2</v>
      </c>
    </row>
    <row r="315" spans="1:11" x14ac:dyDescent="0.2">
      <c r="A315" s="1">
        <v>42117</v>
      </c>
      <c r="B315">
        <v>36.971591949462798</v>
      </c>
      <c r="C315">
        <v>43.340000152587798</v>
      </c>
      <c r="D315">
        <v>43.610000610351499</v>
      </c>
      <c r="E315">
        <v>42.799999237060497</v>
      </c>
      <c r="F315">
        <v>42.889999389648402</v>
      </c>
      <c r="G315" s="2">
        <v>46309500</v>
      </c>
      <c r="H315" s="3">
        <f t="shared" si="4"/>
        <v>8.141267165499011E-3</v>
      </c>
      <c r="J315" s="3">
        <v>-1.7400864447415954E-2</v>
      </c>
      <c r="K315" s="3">
        <v>9.8711097139264375E-2</v>
      </c>
    </row>
    <row r="316" spans="1:11" x14ac:dyDescent="0.2">
      <c r="A316" s="1">
        <v>42118</v>
      </c>
      <c r="B316">
        <v>40.8359375</v>
      </c>
      <c r="C316">
        <v>47.869998931884702</v>
      </c>
      <c r="D316">
        <v>48.139999389648402</v>
      </c>
      <c r="E316">
        <v>45.650001525878899</v>
      </c>
      <c r="F316">
        <v>45.659999847412102</v>
      </c>
      <c r="G316" s="2">
        <v>130933700</v>
      </c>
      <c r="H316" s="3">
        <f t="shared" si="4"/>
        <v>0.10452202209251493</v>
      </c>
      <c r="J316" s="3">
        <v>-1.7397529928325439E-2</v>
      </c>
      <c r="K316" s="3">
        <v>9.9025463690663312E-2</v>
      </c>
    </row>
    <row r="317" spans="1:11" x14ac:dyDescent="0.2">
      <c r="A317" s="1">
        <v>42121</v>
      </c>
      <c r="B317">
        <v>40.9724311828613</v>
      </c>
      <c r="C317">
        <v>48.029998779296797</v>
      </c>
      <c r="D317">
        <v>48.130001068115199</v>
      </c>
      <c r="E317">
        <v>47.220001220703097</v>
      </c>
      <c r="F317">
        <v>47.2299995422363</v>
      </c>
      <c r="G317" s="2">
        <v>59248200</v>
      </c>
      <c r="H317" s="3">
        <f t="shared" si="4"/>
        <v>3.3424892684610352E-3</v>
      </c>
      <c r="J317" s="3">
        <v>-1.7348672123600473E-2</v>
      </c>
      <c r="K317" s="3">
        <v>9.9339830242062249E-2</v>
      </c>
    </row>
    <row r="318" spans="1:11" x14ac:dyDescent="0.2">
      <c r="A318" s="1">
        <v>42122</v>
      </c>
      <c r="B318">
        <v>41.936389923095703</v>
      </c>
      <c r="C318">
        <v>49.159999847412102</v>
      </c>
      <c r="D318">
        <v>49.209999084472599</v>
      </c>
      <c r="E318">
        <v>47.700000762939403</v>
      </c>
      <c r="F318">
        <v>47.779998779296797</v>
      </c>
      <c r="G318" s="2">
        <v>60730800</v>
      </c>
      <c r="H318" s="3">
        <f t="shared" si="4"/>
        <v>2.352700858614476E-2</v>
      </c>
      <c r="J318" s="3">
        <v>-1.7328222006038563E-2</v>
      </c>
      <c r="K318" s="3">
        <v>9.9654196793461172E-2</v>
      </c>
    </row>
    <row r="319" spans="1:11" x14ac:dyDescent="0.2">
      <c r="A319" s="1">
        <v>42123</v>
      </c>
      <c r="B319">
        <v>41.851081848144503</v>
      </c>
      <c r="C319">
        <v>49.060001373291001</v>
      </c>
      <c r="D319">
        <v>49.310001373291001</v>
      </c>
      <c r="E319">
        <v>48.5</v>
      </c>
      <c r="F319">
        <v>48.720001220703097</v>
      </c>
      <c r="G319" s="2">
        <v>47804600</v>
      </c>
      <c r="H319" s="3">
        <f t="shared" si="4"/>
        <v>-2.0342255284166999E-3</v>
      </c>
      <c r="J319" s="3">
        <v>-1.7304013072364621E-2</v>
      </c>
      <c r="K319" s="3">
        <v>9.9968563344860109E-2</v>
      </c>
    </row>
    <row r="320" spans="1:11" x14ac:dyDescent="0.2">
      <c r="A320" s="1">
        <v>42124</v>
      </c>
      <c r="B320">
        <v>41.492786407470703</v>
      </c>
      <c r="C320">
        <v>48.639999389648402</v>
      </c>
      <c r="D320">
        <v>49.540000915527301</v>
      </c>
      <c r="E320">
        <v>48.599998474121001</v>
      </c>
      <c r="F320">
        <v>48.700000762939403</v>
      </c>
      <c r="G320" s="2">
        <v>64725500</v>
      </c>
      <c r="H320" s="3">
        <f t="shared" si="4"/>
        <v>-8.5611990144929262E-3</v>
      </c>
      <c r="J320" s="3">
        <v>-1.7301576115057227E-2</v>
      </c>
      <c r="K320" s="3">
        <v>0.10028292989625903</v>
      </c>
    </row>
    <row r="321" spans="1:11" x14ac:dyDescent="0.2">
      <c r="A321" s="1">
        <v>42125</v>
      </c>
      <c r="B321">
        <v>41.509864807128899</v>
      </c>
      <c r="C321">
        <v>48.659999847412102</v>
      </c>
      <c r="D321">
        <v>48.880001068115199</v>
      </c>
      <c r="E321">
        <v>48.400001525878899</v>
      </c>
      <c r="F321">
        <v>48.580001831054602</v>
      </c>
      <c r="G321" s="2">
        <v>38937300</v>
      </c>
      <c r="H321" s="3">
        <f t="shared" si="4"/>
        <v>4.1159924740852283E-4</v>
      </c>
      <c r="J321" s="3">
        <v>-1.7147055655516108E-2</v>
      </c>
      <c r="K321" s="3">
        <v>0.10059729644765797</v>
      </c>
    </row>
    <row r="322" spans="1:11" x14ac:dyDescent="0.2">
      <c r="A322" s="1">
        <v>42128</v>
      </c>
      <c r="B322">
        <v>41.151576995849602</v>
      </c>
      <c r="C322">
        <v>48.240001678466797</v>
      </c>
      <c r="D322">
        <v>48.869998931884702</v>
      </c>
      <c r="E322">
        <v>48.180000305175703</v>
      </c>
      <c r="F322">
        <v>48.369998931884702</v>
      </c>
      <c r="G322" s="2">
        <v>34039500</v>
      </c>
      <c r="H322" s="3">
        <f t="shared" ref="H322:H385" si="5">B322/B321-1</f>
        <v>-8.6313895008822694E-3</v>
      </c>
      <c r="J322" s="3">
        <v>-1.7059550948123725E-2</v>
      </c>
      <c r="K322" s="3">
        <v>0.10091166299905691</v>
      </c>
    </row>
    <row r="323" spans="1:11" x14ac:dyDescent="0.2">
      <c r="A323" s="1">
        <v>42129</v>
      </c>
      <c r="B323">
        <v>40.605617523193303</v>
      </c>
      <c r="C323">
        <v>47.599998474121001</v>
      </c>
      <c r="D323">
        <v>48.159999847412102</v>
      </c>
      <c r="E323">
        <v>47.310001373291001</v>
      </c>
      <c r="F323">
        <v>47.819999694824197</v>
      </c>
      <c r="G323" s="2">
        <v>50369200</v>
      </c>
      <c r="H323" s="3">
        <f t="shared" si="5"/>
        <v>-1.3267036466460658E-2</v>
      </c>
      <c r="J323" s="3">
        <v>-1.7005472891223894E-2</v>
      </c>
      <c r="K323" s="3">
        <v>0.10122602955045583</v>
      </c>
    </row>
    <row r="324" spans="1:11" x14ac:dyDescent="0.2">
      <c r="A324" s="1">
        <v>42130</v>
      </c>
      <c r="B324">
        <v>39.4795722961425</v>
      </c>
      <c r="C324">
        <v>46.279998779296797</v>
      </c>
      <c r="D324">
        <v>47.770000457763601</v>
      </c>
      <c r="E324">
        <v>46.020000457763601</v>
      </c>
      <c r="F324">
        <v>47.569999694824197</v>
      </c>
      <c r="G324" s="2">
        <v>52433000</v>
      </c>
      <c r="H324" s="3">
        <f t="shared" si="5"/>
        <v>-2.7731267143212945E-2</v>
      </c>
      <c r="J324" s="3">
        <v>-1.6971765669202443E-2</v>
      </c>
      <c r="K324" s="3">
        <v>0.10154039610185477</v>
      </c>
    </row>
    <row r="325" spans="1:11" x14ac:dyDescent="0.2">
      <c r="A325" s="1">
        <v>42131</v>
      </c>
      <c r="B325">
        <v>39.837863922119098</v>
      </c>
      <c r="C325">
        <v>46.700000762939403</v>
      </c>
      <c r="D325">
        <v>47.090000152587798</v>
      </c>
      <c r="E325">
        <v>46.159999847412102</v>
      </c>
      <c r="F325">
        <v>46.270000457763601</v>
      </c>
      <c r="G325" s="2">
        <v>32971700</v>
      </c>
      <c r="H325" s="3">
        <f t="shared" si="5"/>
        <v>9.0753674657111372E-3</v>
      </c>
      <c r="J325" s="3">
        <v>-1.6916214857248035E-2</v>
      </c>
      <c r="K325" s="3">
        <v>0.10185476265325369</v>
      </c>
    </row>
    <row r="326" spans="1:11" x14ac:dyDescent="0.2">
      <c r="A326" s="1">
        <v>42132</v>
      </c>
      <c r="B326">
        <v>40.733589172363203</v>
      </c>
      <c r="C326">
        <v>47.75</v>
      </c>
      <c r="D326">
        <v>47.9799995422363</v>
      </c>
      <c r="E326">
        <v>47.520000457763601</v>
      </c>
      <c r="F326">
        <v>47.549999237060497</v>
      </c>
      <c r="G326" s="2">
        <v>35364900</v>
      </c>
      <c r="H326" s="3">
        <f t="shared" si="5"/>
        <v>2.2484269035990545E-2</v>
      </c>
      <c r="J326" s="3">
        <v>-1.6800913504359305E-2</v>
      </c>
      <c r="K326" s="3">
        <v>0.10216912920465263</v>
      </c>
    </row>
    <row r="327" spans="1:11" x14ac:dyDescent="0.2">
      <c r="A327" s="1">
        <v>42135</v>
      </c>
      <c r="B327">
        <v>40.409420013427699</v>
      </c>
      <c r="C327">
        <v>47.369998931884702</v>
      </c>
      <c r="D327">
        <v>47.909999847412102</v>
      </c>
      <c r="E327">
        <v>47.369998931884702</v>
      </c>
      <c r="F327">
        <v>47.549999237060497</v>
      </c>
      <c r="G327" s="2">
        <v>24609400</v>
      </c>
      <c r="H327" s="3">
        <f t="shared" si="5"/>
        <v>-7.9582763395533718E-3</v>
      </c>
      <c r="J327" s="3">
        <v>-1.6750201601465675E-2</v>
      </c>
      <c r="K327" s="3">
        <v>0.10248349575605156</v>
      </c>
    </row>
    <row r="328" spans="1:11" x14ac:dyDescent="0.2">
      <c r="A328" s="1">
        <v>42136</v>
      </c>
      <c r="B328">
        <v>40.3923530578613</v>
      </c>
      <c r="C328">
        <v>47.349998474121001</v>
      </c>
      <c r="D328">
        <v>47.680000305175703</v>
      </c>
      <c r="E328">
        <v>46.419998168945298</v>
      </c>
      <c r="F328">
        <v>46.849998474121001</v>
      </c>
      <c r="G328" s="2">
        <v>29928300</v>
      </c>
      <c r="H328" s="3">
        <f t="shared" si="5"/>
        <v>-4.2235091621523058E-4</v>
      </c>
      <c r="J328" s="3">
        <v>-1.6723328955698724E-2</v>
      </c>
      <c r="K328" s="3">
        <v>0.10279786230745049</v>
      </c>
    </row>
    <row r="329" spans="1:11" x14ac:dyDescent="0.2">
      <c r="A329" s="1">
        <v>42137</v>
      </c>
      <c r="B329">
        <v>40.631210327148402</v>
      </c>
      <c r="C329">
        <v>47.630001068115199</v>
      </c>
      <c r="D329">
        <v>48.319999694824197</v>
      </c>
      <c r="E329">
        <v>47.569999694824197</v>
      </c>
      <c r="F329">
        <v>48.189998626708899</v>
      </c>
      <c r="G329" s="2">
        <v>34184600</v>
      </c>
      <c r="H329" s="3">
        <f t="shared" si="5"/>
        <v>5.9134279437729198E-3</v>
      </c>
      <c r="J329" s="3">
        <v>-1.6666263004481041E-2</v>
      </c>
      <c r="K329" s="3">
        <v>0.10311222885884942</v>
      </c>
    </row>
    <row r="330" spans="1:11" x14ac:dyDescent="0.2">
      <c r="A330" s="1">
        <v>42138</v>
      </c>
      <c r="B330">
        <v>41.561046600341797</v>
      </c>
      <c r="C330">
        <v>48.720001220703097</v>
      </c>
      <c r="D330">
        <v>48.819999694824197</v>
      </c>
      <c r="E330">
        <v>48.029998779296797</v>
      </c>
      <c r="F330">
        <v>48.029998779296797</v>
      </c>
      <c r="G330" s="2">
        <v>32980900</v>
      </c>
      <c r="H330" s="3">
        <f t="shared" si="5"/>
        <v>2.2884779107161135E-2</v>
      </c>
      <c r="J330" s="3">
        <v>-1.6607048875006414E-2</v>
      </c>
      <c r="K330" s="3">
        <v>0.10342659541024835</v>
      </c>
    </row>
    <row r="331" spans="1:11" x14ac:dyDescent="0.2">
      <c r="A331" s="1">
        <v>42139</v>
      </c>
      <c r="B331">
        <v>41.202770233154297</v>
      </c>
      <c r="C331">
        <v>48.299999237060497</v>
      </c>
      <c r="D331">
        <v>48.909999847412102</v>
      </c>
      <c r="E331">
        <v>48.049999237060497</v>
      </c>
      <c r="F331">
        <v>48.869998931884702</v>
      </c>
      <c r="G331" s="2">
        <v>28642700</v>
      </c>
      <c r="H331" s="3">
        <f t="shared" si="5"/>
        <v>-8.6204847205304524E-3</v>
      </c>
      <c r="J331" s="3">
        <v>-1.6575781816657087E-2</v>
      </c>
      <c r="K331" s="3">
        <v>0.10374096196164728</v>
      </c>
    </row>
    <row r="332" spans="1:11" x14ac:dyDescent="0.2">
      <c r="A332" s="1">
        <v>42142</v>
      </c>
      <c r="B332">
        <v>40.955375671386697</v>
      </c>
      <c r="C332">
        <v>48.009998321533203</v>
      </c>
      <c r="D332">
        <v>48.220001220703097</v>
      </c>
      <c r="E332">
        <v>47.610000610351499</v>
      </c>
      <c r="F332">
        <v>47.9799995422363</v>
      </c>
      <c r="G332" s="2">
        <v>24136500</v>
      </c>
      <c r="H332" s="3">
        <f t="shared" si="5"/>
        <v>-6.0043186506069102E-3</v>
      </c>
      <c r="J332" s="3">
        <v>-1.6550708586265062E-2</v>
      </c>
      <c r="K332" s="3">
        <v>0.10405532851304621</v>
      </c>
    </row>
    <row r="333" spans="1:11" x14ac:dyDescent="0.2">
      <c r="A333" s="1">
        <v>42143</v>
      </c>
      <c r="B333">
        <v>40.852336883544901</v>
      </c>
      <c r="C333">
        <v>47.580001831054602</v>
      </c>
      <c r="D333">
        <v>47.810001373291001</v>
      </c>
      <c r="E333">
        <v>47.180000305175703</v>
      </c>
      <c r="F333">
        <v>47.560001373291001</v>
      </c>
      <c r="G333" s="2">
        <v>28574800</v>
      </c>
      <c r="H333" s="3">
        <f t="shared" si="5"/>
        <v>-2.5158794456813238E-3</v>
      </c>
      <c r="J333" s="3">
        <v>-1.6501738003623867E-2</v>
      </c>
      <c r="K333" s="3">
        <v>0.10436969506444514</v>
      </c>
    </row>
    <row r="334" spans="1:11" x14ac:dyDescent="0.2">
      <c r="A334" s="1">
        <v>42144</v>
      </c>
      <c r="B334">
        <v>40.852336883544901</v>
      </c>
      <c r="C334">
        <v>47.580001831054602</v>
      </c>
      <c r="D334">
        <v>47.930000305175703</v>
      </c>
      <c r="E334">
        <v>47.270000457763601</v>
      </c>
      <c r="F334">
        <v>47.389999389648402</v>
      </c>
      <c r="G334" s="2">
        <v>25047900</v>
      </c>
      <c r="H334" s="3">
        <f t="shared" si="5"/>
        <v>0</v>
      </c>
      <c r="J334" s="3">
        <v>-1.6453827602689874E-2</v>
      </c>
      <c r="K334" s="3">
        <v>0.10468406161584408</v>
      </c>
    </row>
    <row r="335" spans="1:11" x14ac:dyDescent="0.2">
      <c r="A335" s="1">
        <v>42145</v>
      </c>
      <c r="B335">
        <v>40.714962005615199</v>
      </c>
      <c r="C335">
        <v>47.419998168945298</v>
      </c>
      <c r="D335">
        <v>47.599998474121001</v>
      </c>
      <c r="E335">
        <v>47.009998321533203</v>
      </c>
      <c r="F335">
        <v>47.279998779296797</v>
      </c>
      <c r="G335" s="2">
        <v>22410700</v>
      </c>
      <c r="H335" s="3">
        <f t="shared" si="5"/>
        <v>-3.3627177392888674E-3</v>
      </c>
      <c r="J335" s="3">
        <v>-1.6402541470992071E-2</v>
      </c>
      <c r="K335" s="3">
        <v>0.104998428167243</v>
      </c>
    </row>
    <row r="336" spans="1:11" x14ac:dyDescent="0.2">
      <c r="A336" s="1">
        <v>42146</v>
      </c>
      <c r="B336">
        <v>40.268505096435497</v>
      </c>
      <c r="C336">
        <v>46.900001525878899</v>
      </c>
      <c r="D336">
        <v>47.349998474121001</v>
      </c>
      <c r="E336">
        <v>46.819999694824197</v>
      </c>
      <c r="F336">
        <v>47.299999237060497</v>
      </c>
      <c r="G336" s="2">
        <v>25720600</v>
      </c>
      <c r="H336" s="3">
        <f t="shared" si="5"/>
        <v>-1.0965426152629854E-2</v>
      </c>
      <c r="J336" s="3">
        <v>-1.6400247332144513E-2</v>
      </c>
      <c r="K336" s="3">
        <v>0.10531279471864194</v>
      </c>
    </row>
    <row r="337" spans="1:11" x14ac:dyDescent="0.2">
      <c r="A337" s="1">
        <v>42150</v>
      </c>
      <c r="B337">
        <v>40.0023193359375</v>
      </c>
      <c r="C337">
        <v>46.590000152587798</v>
      </c>
      <c r="D337">
        <v>46.880001068115199</v>
      </c>
      <c r="E337">
        <v>46.189998626708899</v>
      </c>
      <c r="F337">
        <v>46.830001831054602</v>
      </c>
      <c r="G337" s="2">
        <v>29581900</v>
      </c>
      <c r="H337" s="3">
        <f t="shared" si="5"/>
        <v>-6.6102717213001316E-3</v>
      </c>
      <c r="J337" s="3">
        <v>-1.6381415717335424E-2</v>
      </c>
      <c r="K337" s="3">
        <v>0.10562716127004086</v>
      </c>
    </row>
    <row r="338" spans="1:11" x14ac:dyDescent="0.2">
      <c r="A338" s="1">
        <v>42151</v>
      </c>
      <c r="B338">
        <v>40.878097534179602</v>
      </c>
      <c r="C338">
        <v>47.610000610351499</v>
      </c>
      <c r="D338">
        <v>47.770000457763601</v>
      </c>
      <c r="E338">
        <v>46.619998931884702</v>
      </c>
      <c r="F338">
        <v>46.819999694824197</v>
      </c>
      <c r="G338" s="2">
        <v>27335600</v>
      </c>
      <c r="H338" s="3">
        <f t="shared" si="5"/>
        <v>2.1893185514753721E-2</v>
      </c>
      <c r="J338" s="3">
        <v>-1.636289987458972E-2</v>
      </c>
      <c r="K338" s="3">
        <v>0.1059415278214398</v>
      </c>
    </row>
    <row r="339" spans="1:11" x14ac:dyDescent="0.2">
      <c r="A339" s="1">
        <v>42152</v>
      </c>
      <c r="B339">
        <v>40.74072265625</v>
      </c>
      <c r="C339">
        <v>47.450000762939403</v>
      </c>
      <c r="D339">
        <v>48.020000457763601</v>
      </c>
      <c r="E339">
        <v>47.389999389648402</v>
      </c>
      <c r="F339">
        <v>47.5</v>
      </c>
      <c r="G339" s="2">
        <v>19283700</v>
      </c>
      <c r="H339" s="3">
        <f t="shared" si="5"/>
        <v>-3.3605986143249167E-3</v>
      </c>
      <c r="J339" s="3">
        <v>-1.6321625436358511E-2</v>
      </c>
      <c r="K339" s="3">
        <v>0.10625589437283874</v>
      </c>
    </row>
    <row r="340" spans="1:11" x14ac:dyDescent="0.2">
      <c r="A340" s="1">
        <v>42153</v>
      </c>
      <c r="B340">
        <v>40.234157562255803</v>
      </c>
      <c r="C340">
        <v>46.860000610351499</v>
      </c>
      <c r="D340">
        <v>47.569999694824197</v>
      </c>
      <c r="E340">
        <v>46.590000152587798</v>
      </c>
      <c r="F340">
        <v>47.430000305175703</v>
      </c>
      <c r="G340" s="2">
        <v>36519600</v>
      </c>
      <c r="H340" s="3">
        <f t="shared" si="5"/>
        <v>-1.2433876008247191E-2</v>
      </c>
      <c r="J340" s="3">
        <v>-1.6310350444186716E-2</v>
      </c>
      <c r="K340" s="3">
        <v>0.10657026092423766</v>
      </c>
    </row>
    <row r="341" spans="1:11" x14ac:dyDescent="0.2">
      <c r="A341" s="1">
        <v>42156</v>
      </c>
      <c r="B341">
        <v>40.5518379211425</v>
      </c>
      <c r="C341">
        <v>47.2299995422363</v>
      </c>
      <c r="D341">
        <v>47.770000457763601</v>
      </c>
      <c r="E341">
        <v>46.619998931884702</v>
      </c>
      <c r="F341">
        <v>47.060001373291001</v>
      </c>
      <c r="G341" s="2">
        <v>28837300</v>
      </c>
      <c r="H341" s="3">
        <f t="shared" si="5"/>
        <v>7.8957875132625865E-3</v>
      </c>
      <c r="J341" s="3">
        <v>-1.6304987570220253E-2</v>
      </c>
      <c r="K341" s="3">
        <v>0.1068846274756366</v>
      </c>
    </row>
    <row r="342" spans="1:11" x14ac:dyDescent="0.2">
      <c r="A342" s="1">
        <v>42157</v>
      </c>
      <c r="B342">
        <v>40.285659790038999</v>
      </c>
      <c r="C342">
        <v>46.919998168945298</v>
      </c>
      <c r="D342">
        <v>47.349998474121001</v>
      </c>
      <c r="E342">
        <v>46.619998931884702</v>
      </c>
      <c r="F342">
        <v>46.930000305175703</v>
      </c>
      <c r="G342" s="2">
        <v>21498300</v>
      </c>
      <c r="H342" s="3">
        <f t="shared" si="5"/>
        <v>-6.5638980808000458E-3</v>
      </c>
      <c r="J342" s="3">
        <v>-1.6159723958942718E-2</v>
      </c>
      <c r="K342" s="3">
        <v>0.10719899402703552</v>
      </c>
    </row>
    <row r="343" spans="1:11" x14ac:dyDescent="0.2">
      <c r="A343" s="1">
        <v>42158</v>
      </c>
      <c r="B343">
        <v>40.225559234619098</v>
      </c>
      <c r="C343">
        <v>46.849998474121001</v>
      </c>
      <c r="D343">
        <v>47.740001678466797</v>
      </c>
      <c r="E343">
        <v>46.819999694824197</v>
      </c>
      <c r="F343">
        <v>47.369998931884702</v>
      </c>
      <c r="G343" s="2">
        <v>28002200</v>
      </c>
      <c r="H343" s="3">
        <f t="shared" si="5"/>
        <v>-1.491859776732829E-3</v>
      </c>
      <c r="J343" s="3">
        <v>-1.6123204863285445E-2</v>
      </c>
      <c r="K343" s="3">
        <v>0.10751336057843446</v>
      </c>
    </row>
    <row r="344" spans="1:11" x14ac:dyDescent="0.2">
      <c r="A344" s="1">
        <v>42159</v>
      </c>
      <c r="B344">
        <v>39.804847717285099</v>
      </c>
      <c r="C344">
        <v>46.360000610351499</v>
      </c>
      <c r="D344">
        <v>47.159999847412102</v>
      </c>
      <c r="E344">
        <v>46.200000762939403</v>
      </c>
      <c r="F344">
        <v>46.790000915527301</v>
      </c>
      <c r="G344" s="2">
        <v>27745500</v>
      </c>
      <c r="H344" s="3">
        <f t="shared" si="5"/>
        <v>-1.045881089881584E-2</v>
      </c>
      <c r="J344" s="3">
        <v>-1.6082102055869241E-2</v>
      </c>
      <c r="K344" s="3">
        <v>0.10782772712983339</v>
      </c>
    </row>
    <row r="345" spans="1:11" x14ac:dyDescent="0.2">
      <c r="A345" s="1">
        <v>42160</v>
      </c>
      <c r="B345">
        <v>39.615947723388601</v>
      </c>
      <c r="C345">
        <v>46.139999389648402</v>
      </c>
      <c r="D345">
        <v>46.520000457763601</v>
      </c>
      <c r="E345">
        <v>45.840000152587798</v>
      </c>
      <c r="F345">
        <v>46.310001373291001</v>
      </c>
      <c r="G345" s="2">
        <v>25438100</v>
      </c>
      <c r="H345" s="3">
        <f t="shared" si="5"/>
        <v>-4.7456529726772612E-3</v>
      </c>
      <c r="J345" s="3">
        <v>-1.6001322916168625E-2</v>
      </c>
      <c r="K345" s="3">
        <v>0.10814209368123232</v>
      </c>
    </row>
    <row r="346" spans="1:11" x14ac:dyDescent="0.2">
      <c r="A346" s="1">
        <v>42163</v>
      </c>
      <c r="B346">
        <v>39.263942718505803</v>
      </c>
      <c r="C346">
        <v>45.7299995422363</v>
      </c>
      <c r="D346">
        <v>46.430000305175703</v>
      </c>
      <c r="E346">
        <v>45.669998168945298</v>
      </c>
      <c r="F346">
        <v>46.299999237060497</v>
      </c>
      <c r="G346" s="2">
        <v>22121600</v>
      </c>
      <c r="H346" s="3">
        <f t="shared" si="5"/>
        <v>-8.885436929102708E-3</v>
      </c>
      <c r="J346" s="3">
        <v>-1.5983733186540894E-2</v>
      </c>
      <c r="K346" s="3">
        <v>0.10845646023263125</v>
      </c>
    </row>
    <row r="347" spans="1:11" x14ac:dyDescent="0.2">
      <c r="A347" s="1">
        <v>42164</v>
      </c>
      <c r="B347">
        <v>39.195232391357401</v>
      </c>
      <c r="C347">
        <v>45.650001525878899</v>
      </c>
      <c r="D347">
        <v>45.939998626708899</v>
      </c>
      <c r="E347">
        <v>45.459999084472599</v>
      </c>
      <c r="F347">
        <v>45.759998321533203</v>
      </c>
      <c r="G347" s="2">
        <v>24406100</v>
      </c>
      <c r="H347" s="3">
        <f t="shared" si="5"/>
        <v>-1.7499599477568406E-3</v>
      </c>
      <c r="J347" s="3">
        <v>-1.5904450900362188E-2</v>
      </c>
      <c r="K347" s="3">
        <v>0.10877082678403018</v>
      </c>
    </row>
    <row r="348" spans="1:11" x14ac:dyDescent="0.2">
      <c r="A348" s="1">
        <v>42165</v>
      </c>
      <c r="B348">
        <v>40.019493103027301</v>
      </c>
      <c r="C348">
        <v>46.610000610351499</v>
      </c>
      <c r="D348">
        <v>46.830001831054602</v>
      </c>
      <c r="E348">
        <v>45.689998626708899</v>
      </c>
      <c r="F348">
        <v>45.790000915527301</v>
      </c>
      <c r="G348" s="2">
        <v>28417400</v>
      </c>
      <c r="H348" s="3">
        <f t="shared" si="5"/>
        <v>2.1029616649285376E-2</v>
      </c>
      <c r="J348" s="3">
        <v>-1.5856013564989446E-2</v>
      </c>
      <c r="K348" s="3">
        <v>0.10908519333542911</v>
      </c>
    </row>
    <row r="349" spans="1:11" x14ac:dyDescent="0.2">
      <c r="A349" s="1">
        <v>42166</v>
      </c>
      <c r="B349">
        <v>39.873523712158203</v>
      </c>
      <c r="C349">
        <v>46.439998626708899</v>
      </c>
      <c r="D349">
        <v>46.919998168945298</v>
      </c>
      <c r="E349">
        <v>46.130001068115199</v>
      </c>
      <c r="F349">
        <v>46.659999847412102</v>
      </c>
      <c r="G349" s="2">
        <v>27347800</v>
      </c>
      <c r="H349" s="3">
        <f t="shared" si="5"/>
        <v>-3.6474572652209769E-3</v>
      </c>
      <c r="J349" s="3">
        <v>-1.5849322000122124E-2</v>
      </c>
      <c r="K349" s="3">
        <v>0.10939955988682804</v>
      </c>
    </row>
    <row r="350" spans="1:11" x14ac:dyDescent="0.2">
      <c r="A350" s="1">
        <v>42167</v>
      </c>
      <c r="B350">
        <v>39.469982147216797</v>
      </c>
      <c r="C350">
        <v>45.970001220703097</v>
      </c>
      <c r="D350">
        <v>46.470001220703097</v>
      </c>
      <c r="E350">
        <v>45.900001525878899</v>
      </c>
      <c r="F350">
        <v>46.220001220703097</v>
      </c>
      <c r="G350" s="2">
        <v>23931000</v>
      </c>
      <c r="H350" s="3">
        <f t="shared" si="5"/>
        <v>-1.0120539329669498E-2</v>
      </c>
      <c r="J350" s="3">
        <v>-1.579978018667394E-2</v>
      </c>
      <c r="K350" s="3">
        <v>0.10971392643822697</v>
      </c>
    </row>
    <row r="351" spans="1:11" x14ac:dyDescent="0.2">
      <c r="A351" s="1">
        <v>42170</v>
      </c>
      <c r="B351">
        <v>39.049278259277301</v>
      </c>
      <c r="C351">
        <v>45.4799995422363</v>
      </c>
      <c r="D351">
        <v>45.650001525878899</v>
      </c>
      <c r="E351">
        <v>45.020000457763601</v>
      </c>
      <c r="F351">
        <v>45.450000762939403</v>
      </c>
      <c r="G351" s="2">
        <v>33254500</v>
      </c>
      <c r="H351" s="3">
        <f t="shared" si="5"/>
        <v>-1.0658831472746488E-2</v>
      </c>
      <c r="J351" s="3">
        <v>-1.572713567571038E-2</v>
      </c>
      <c r="K351" s="3">
        <v>0.11002829298962591</v>
      </c>
    </row>
    <row r="352" spans="1:11" x14ac:dyDescent="0.2">
      <c r="A352" s="1">
        <v>42171</v>
      </c>
      <c r="B352">
        <v>39.3497924804687</v>
      </c>
      <c r="C352">
        <v>45.830001831054602</v>
      </c>
      <c r="D352">
        <v>46.240001678466797</v>
      </c>
      <c r="E352">
        <v>45.299999237060497</v>
      </c>
      <c r="F352">
        <v>45.349998474121001</v>
      </c>
      <c r="G352" s="2">
        <v>27070300</v>
      </c>
      <c r="H352" s="3">
        <f t="shared" si="5"/>
        <v>7.6957688999028662E-3</v>
      </c>
      <c r="J352" s="3">
        <v>-1.5708758787124522E-2</v>
      </c>
      <c r="K352" s="3">
        <v>0.11034265954102483</v>
      </c>
    </row>
    <row r="353" spans="1:11" x14ac:dyDescent="0.2">
      <c r="A353" s="1">
        <v>42172</v>
      </c>
      <c r="B353">
        <v>39.469982147216797</v>
      </c>
      <c r="C353">
        <v>45.970001220703097</v>
      </c>
      <c r="D353">
        <v>46.069999694824197</v>
      </c>
      <c r="E353">
        <v>45.360000610351499</v>
      </c>
      <c r="F353">
        <v>45.7299995422363</v>
      </c>
      <c r="G353" s="2">
        <v>28704100</v>
      </c>
      <c r="H353" s="3">
        <f t="shared" si="5"/>
        <v>3.0543913746876594E-3</v>
      </c>
      <c r="J353" s="3">
        <v>-1.5702020587115229E-2</v>
      </c>
      <c r="K353" s="3">
        <v>0.11065702609242377</v>
      </c>
    </row>
    <row r="354" spans="1:11" x14ac:dyDescent="0.2">
      <c r="A354" s="1">
        <v>42173</v>
      </c>
      <c r="B354">
        <v>40.113941192626903</v>
      </c>
      <c r="C354">
        <v>46.720001220703097</v>
      </c>
      <c r="D354">
        <v>46.799999237060497</v>
      </c>
      <c r="E354">
        <v>46.169998168945298</v>
      </c>
      <c r="F354">
        <v>46.220001220703097</v>
      </c>
      <c r="G354" s="2">
        <v>32658300</v>
      </c>
      <c r="H354" s="3">
        <f t="shared" si="5"/>
        <v>1.6315159277453972E-2</v>
      </c>
      <c r="J354" s="3">
        <v>-1.5695453759070332E-2</v>
      </c>
      <c r="K354" s="3">
        <v>0.11097139264382269</v>
      </c>
    </row>
    <row r="355" spans="1:11" x14ac:dyDescent="0.2">
      <c r="A355" s="1">
        <v>42174</v>
      </c>
      <c r="B355">
        <v>39.581600189208899</v>
      </c>
      <c r="C355">
        <v>46.099998474121001</v>
      </c>
      <c r="D355">
        <v>46.830001831054602</v>
      </c>
      <c r="E355">
        <v>45.990001678466797</v>
      </c>
      <c r="F355">
        <v>46.790000915527301</v>
      </c>
      <c r="G355" s="2">
        <v>63837000</v>
      </c>
      <c r="H355" s="3">
        <f t="shared" si="5"/>
        <v>-1.327072303520882E-2</v>
      </c>
      <c r="J355" s="3">
        <v>-1.5684129803458791E-2</v>
      </c>
      <c r="K355" s="3">
        <v>0.11128575919522163</v>
      </c>
    </row>
    <row r="356" spans="1:11" x14ac:dyDescent="0.2">
      <c r="A356" s="1">
        <v>42177</v>
      </c>
      <c r="B356">
        <v>39.6932373046875</v>
      </c>
      <c r="C356">
        <v>46.2299995422363</v>
      </c>
      <c r="D356">
        <v>46.720001220703097</v>
      </c>
      <c r="E356">
        <v>46.159999847412102</v>
      </c>
      <c r="F356">
        <v>46.330001831054602</v>
      </c>
      <c r="G356" s="2">
        <v>20318100</v>
      </c>
      <c r="H356" s="3">
        <f t="shared" si="5"/>
        <v>2.8204295668934343E-3</v>
      </c>
      <c r="J356" s="3">
        <v>-1.5670752369566388E-2</v>
      </c>
      <c r="K356" s="3">
        <v>0.11160012574662057</v>
      </c>
    </row>
    <row r="357" spans="1:11" x14ac:dyDescent="0.2">
      <c r="A357" s="1">
        <v>42178</v>
      </c>
      <c r="B357">
        <v>39.4184761047363</v>
      </c>
      <c r="C357">
        <v>45.909999847412102</v>
      </c>
      <c r="D357">
        <v>46.279998779296797</v>
      </c>
      <c r="E357">
        <v>45.619998931884702</v>
      </c>
      <c r="F357">
        <v>46.130001068115199</v>
      </c>
      <c r="G357" s="2">
        <v>25896500</v>
      </c>
      <c r="H357" s="3">
        <f t="shared" si="5"/>
        <v>-6.9221161741512827E-3</v>
      </c>
      <c r="J357" s="3">
        <v>-1.560160700464841E-2</v>
      </c>
      <c r="K357" s="3">
        <v>0.11191449229801949</v>
      </c>
    </row>
    <row r="358" spans="1:11" x14ac:dyDescent="0.2">
      <c r="A358" s="1">
        <v>42179</v>
      </c>
      <c r="B358">
        <v>39.1866645812988</v>
      </c>
      <c r="C358">
        <v>45.639999389648402</v>
      </c>
      <c r="D358">
        <v>46.25</v>
      </c>
      <c r="E358">
        <v>45.549999237060497</v>
      </c>
      <c r="F358">
        <v>45.669998168945298</v>
      </c>
      <c r="G358" s="2">
        <v>34890900</v>
      </c>
      <c r="H358" s="3">
        <f t="shared" si="5"/>
        <v>-5.8807834889803567E-3</v>
      </c>
      <c r="J358" s="3">
        <v>-1.5543086625478764E-2</v>
      </c>
      <c r="K358" s="3">
        <v>0.11222885884941843</v>
      </c>
    </row>
    <row r="359" spans="1:11" x14ac:dyDescent="0.2">
      <c r="A359" s="1">
        <v>42180</v>
      </c>
      <c r="B359">
        <v>39.195232391357401</v>
      </c>
      <c r="C359">
        <v>45.650001525878899</v>
      </c>
      <c r="D359">
        <v>46.060001373291001</v>
      </c>
      <c r="E359">
        <v>45.5</v>
      </c>
      <c r="F359">
        <v>46.029998779296797</v>
      </c>
      <c r="G359" s="2">
        <v>20616000</v>
      </c>
      <c r="H359" s="3">
        <f t="shared" si="5"/>
        <v>2.1864096243318087E-4</v>
      </c>
      <c r="J359" s="3">
        <v>-1.5499120378526743E-2</v>
      </c>
      <c r="K359" s="3">
        <v>0.11254322540081735</v>
      </c>
    </row>
    <row r="360" spans="1:11" x14ac:dyDescent="0.2">
      <c r="A360" s="1">
        <v>42181</v>
      </c>
      <c r="B360">
        <v>38.860374450683501</v>
      </c>
      <c r="C360">
        <v>45.259998321533203</v>
      </c>
      <c r="D360">
        <v>46.279998779296797</v>
      </c>
      <c r="E360">
        <v>45.029998779296797</v>
      </c>
      <c r="F360">
        <v>45.650001525878899</v>
      </c>
      <c r="G360" s="2">
        <v>49835300</v>
      </c>
      <c r="H360" s="3">
        <f t="shared" si="5"/>
        <v>-8.5433334679688722E-3</v>
      </c>
      <c r="J360" s="3">
        <v>-1.545520310400661E-2</v>
      </c>
      <c r="K360" s="3">
        <v>0.11285759195221629</v>
      </c>
    </row>
    <row r="361" spans="1:11" x14ac:dyDescent="0.2">
      <c r="A361" s="1">
        <v>42184</v>
      </c>
      <c r="B361">
        <v>38.096221923828097</v>
      </c>
      <c r="C361">
        <v>44.369998931884702</v>
      </c>
      <c r="D361">
        <v>45.2299995422363</v>
      </c>
      <c r="E361">
        <v>44.360000610351499</v>
      </c>
      <c r="F361">
        <v>45.040000915527301</v>
      </c>
      <c r="G361" s="2">
        <v>34081700</v>
      </c>
      <c r="H361" s="3">
        <f t="shared" si="5"/>
        <v>-1.9664054648396823E-2</v>
      </c>
      <c r="J361" s="3">
        <v>-1.5357787343081908E-2</v>
      </c>
      <c r="K361" s="3">
        <v>0.11317195850361522</v>
      </c>
    </row>
    <row r="362" spans="1:11" x14ac:dyDescent="0.2">
      <c r="A362" s="1">
        <v>42185</v>
      </c>
      <c r="B362">
        <v>37.907329559326101</v>
      </c>
      <c r="C362">
        <v>44.150001525878899</v>
      </c>
      <c r="D362">
        <v>44.720001220703097</v>
      </c>
      <c r="E362">
        <v>43.939998626708899</v>
      </c>
      <c r="F362">
        <v>44.709999084472599</v>
      </c>
      <c r="G362" s="2">
        <v>35945400</v>
      </c>
      <c r="H362" s="3">
        <f t="shared" si="5"/>
        <v>-4.9582965176881988E-3</v>
      </c>
      <c r="J362" s="3">
        <v>-1.5355472855088204E-2</v>
      </c>
      <c r="K362" s="3">
        <v>0.11348632505501415</v>
      </c>
    </row>
    <row r="363" spans="1:11" x14ac:dyDescent="0.2">
      <c r="A363" s="1">
        <v>42186</v>
      </c>
      <c r="B363">
        <v>38.164905548095703</v>
      </c>
      <c r="C363">
        <v>44.450000762939403</v>
      </c>
      <c r="D363">
        <v>45.2299995422363</v>
      </c>
      <c r="E363">
        <v>44.099998474121001</v>
      </c>
      <c r="F363">
        <v>44.459999084472599</v>
      </c>
      <c r="G363" s="2">
        <v>28343900</v>
      </c>
      <c r="H363" s="3">
        <f t="shared" si="5"/>
        <v>6.7948861543118966E-3</v>
      </c>
      <c r="J363" s="3">
        <v>-1.5346211447506142E-2</v>
      </c>
      <c r="K363" s="3">
        <v>0.11380069160641308</v>
      </c>
    </row>
    <row r="364" spans="1:11" x14ac:dyDescent="0.2">
      <c r="A364" s="1">
        <v>42187</v>
      </c>
      <c r="B364">
        <v>38.121990203857401</v>
      </c>
      <c r="C364">
        <v>44.400001525878899</v>
      </c>
      <c r="D364">
        <v>44.75</v>
      </c>
      <c r="E364">
        <v>44.060001373291001</v>
      </c>
      <c r="F364">
        <v>44.4799995422363</v>
      </c>
      <c r="G364" s="2">
        <v>21752000</v>
      </c>
      <c r="H364" s="3">
        <f t="shared" si="5"/>
        <v>-1.1244713860020239E-3</v>
      </c>
      <c r="J364" s="3">
        <v>-1.5329663631256207E-2</v>
      </c>
      <c r="K364" s="3">
        <v>0.114115058157812</v>
      </c>
    </row>
    <row r="365" spans="1:11" x14ac:dyDescent="0.2">
      <c r="A365" s="1">
        <v>42191</v>
      </c>
      <c r="B365">
        <v>38.113407135009702</v>
      </c>
      <c r="C365">
        <v>44.389999389648402</v>
      </c>
      <c r="D365">
        <v>44.4799995422363</v>
      </c>
      <c r="E365">
        <v>43.950000762939403</v>
      </c>
      <c r="F365">
        <v>43.959999084472599</v>
      </c>
      <c r="G365" s="2">
        <v>23034000</v>
      </c>
      <c r="H365" s="3">
        <f t="shared" si="5"/>
        <v>-2.2514744906554363E-4</v>
      </c>
      <c r="J365" s="3">
        <v>-1.5271061492198368E-2</v>
      </c>
      <c r="K365" s="3">
        <v>0.11442942470921094</v>
      </c>
    </row>
    <row r="366" spans="1:11" x14ac:dyDescent="0.2">
      <c r="A366" s="1">
        <v>42192</v>
      </c>
      <c r="B366">
        <v>38.036113739013601</v>
      </c>
      <c r="C366">
        <v>44.299999237060497</v>
      </c>
      <c r="D366">
        <v>44.490001678466797</v>
      </c>
      <c r="E366">
        <v>43.319999694824197</v>
      </c>
      <c r="F366">
        <v>44.340000152587798</v>
      </c>
      <c r="G366" s="2">
        <v>36435800</v>
      </c>
      <c r="H366" s="3">
        <f t="shared" si="5"/>
        <v>-2.0279844234943889E-3</v>
      </c>
      <c r="J366" s="3">
        <v>-1.5248723358971872E-2</v>
      </c>
      <c r="K366" s="3">
        <v>0.11474379126060986</v>
      </c>
    </row>
    <row r="367" spans="1:11" x14ac:dyDescent="0.2">
      <c r="A367" s="1">
        <v>42193</v>
      </c>
      <c r="B367">
        <v>37.984607696533203</v>
      </c>
      <c r="C367">
        <v>44.240001678466797</v>
      </c>
      <c r="D367">
        <v>44.900001525878899</v>
      </c>
      <c r="E367">
        <v>44.029998779296797</v>
      </c>
      <c r="F367">
        <v>44.439998626708899</v>
      </c>
      <c r="G367" s="2">
        <v>39785900</v>
      </c>
      <c r="H367" s="3">
        <f t="shared" si="5"/>
        <v>-1.354135252455313E-3</v>
      </c>
      <c r="J367" s="3">
        <v>-1.5122545588744152E-2</v>
      </c>
      <c r="K367" s="3">
        <v>0.1150581578120088</v>
      </c>
    </row>
    <row r="368" spans="1:11" x14ac:dyDescent="0.2">
      <c r="A368" s="1">
        <v>42194</v>
      </c>
      <c r="B368">
        <v>38.225017547607401</v>
      </c>
      <c r="C368">
        <v>44.520000457763601</v>
      </c>
      <c r="D368">
        <v>45.220001220703097</v>
      </c>
      <c r="E368">
        <v>44.5</v>
      </c>
      <c r="F368">
        <v>44.75</v>
      </c>
      <c r="G368" s="2">
        <v>32424700</v>
      </c>
      <c r="H368" s="3">
        <f t="shared" si="5"/>
        <v>6.3291387131039212E-3</v>
      </c>
      <c r="J368" s="3">
        <v>-1.5121099535017613E-2</v>
      </c>
      <c r="K368" s="3">
        <v>0.11537252436340774</v>
      </c>
    </row>
    <row r="369" spans="1:11" x14ac:dyDescent="0.2">
      <c r="A369" s="1">
        <v>42195</v>
      </c>
      <c r="B369">
        <v>38.302295684814403</v>
      </c>
      <c r="C369">
        <v>44.610000610351499</v>
      </c>
      <c r="D369">
        <v>45.139999389648402</v>
      </c>
      <c r="E369">
        <v>44.569999694824197</v>
      </c>
      <c r="F369">
        <v>45.009998321533203</v>
      </c>
      <c r="G369" s="2">
        <v>25465800</v>
      </c>
      <c r="H369" s="3">
        <f t="shared" si="5"/>
        <v>2.0216638778716156E-3</v>
      </c>
      <c r="J369" s="3">
        <v>-1.5099043384355637E-2</v>
      </c>
      <c r="K369" s="3">
        <v>0.11568689091480666</v>
      </c>
    </row>
    <row r="370" spans="1:11" x14ac:dyDescent="0.2">
      <c r="A370" s="1">
        <v>42198</v>
      </c>
      <c r="B370">
        <v>39.100791931152301</v>
      </c>
      <c r="C370">
        <v>45.540000915527301</v>
      </c>
      <c r="D370">
        <v>45.619998931884702</v>
      </c>
      <c r="E370">
        <v>44.950000762939403</v>
      </c>
      <c r="F370">
        <v>44.9799995422363</v>
      </c>
      <c r="G370" s="2">
        <v>28178300</v>
      </c>
      <c r="H370" s="3">
        <f t="shared" si="5"/>
        <v>2.0847216389028977E-2</v>
      </c>
      <c r="J370" s="3">
        <v>-1.5030074002912563E-2</v>
      </c>
      <c r="K370" s="3">
        <v>0.1160012574662056</v>
      </c>
    </row>
    <row r="371" spans="1:11" x14ac:dyDescent="0.2">
      <c r="A371" s="1">
        <v>42199</v>
      </c>
      <c r="B371">
        <v>39.169464111328097</v>
      </c>
      <c r="C371">
        <v>45.619998931884702</v>
      </c>
      <c r="D371">
        <v>45.959999084472599</v>
      </c>
      <c r="E371">
        <v>45.310001373291001</v>
      </c>
      <c r="F371">
        <v>45.450000762939403</v>
      </c>
      <c r="G371" s="2">
        <v>22880300</v>
      </c>
      <c r="H371" s="3">
        <f t="shared" si="5"/>
        <v>1.756286171817445E-3</v>
      </c>
      <c r="J371" s="3">
        <v>-1.5008765332279239E-2</v>
      </c>
      <c r="K371" s="3">
        <v>0.11631562401760452</v>
      </c>
    </row>
    <row r="372" spans="1:11" x14ac:dyDescent="0.2">
      <c r="A372" s="1">
        <v>42200</v>
      </c>
      <c r="B372">
        <v>39.289680480957003</v>
      </c>
      <c r="C372">
        <v>45.759998321533203</v>
      </c>
      <c r="D372">
        <v>45.889999389648402</v>
      </c>
      <c r="E372">
        <v>45.430000305175703</v>
      </c>
      <c r="F372">
        <v>45.680000305175703</v>
      </c>
      <c r="G372" s="2">
        <v>26629600</v>
      </c>
      <c r="H372" s="3">
        <f t="shared" si="5"/>
        <v>3.0691349079279284E-3</v>
      </c>
      <c r="J372" s="3">
        <v>-1.4997232475330247E-2</v>
      </c>
      <c r="K372" s="3">
        <v>0.11662999056900346</v>
      </c>
    </row>
    <row r="373" spans="1:11" x14ac:dyDescent="0.2">
      <c r="A373" s="1">
        <v>42201</v>
      </c>
      <c r="B373">
        <v>40.062431335449197</v>
      </c>
      <c r="C373">
        <v>46.659999847412102</v>
      </c>
      <c r="D373">
        <v>46.689998626708899</v>
      </c>
      <c r="E373">
        <v>45.970001220703097</v>
      </c>
      <c r="F373">
        <v>46.009998321533203</v>
      </c>
      <c r="G373" s="2">
        <v>26271700</v>
      </c>
      <c r="H373" s="3">
        <f t="shared" si="5"/>
        <v>1.9668036111078369E-2</v>
      </c>
      <c r="J373" s="3">
        <v>-1.4952260066605549E-2</v>
      </c>
      <c r="K373" s="3">
        <v>0.1169443571204024</v>
      </c>
    </row>
    <row r="374" spans="1:11" x14ac:dyDescent="0.2">
      <c r="A374" s="1">
        <v>42202</v>
      </c>
      <c r="B374">
        <v>40.028083801269503</v>
      </c>
      <c r="C374">
        <v>46.619998931884702</v>
      </c>
      <c r="D374">
        <v>46.779998779296797</v>
      </c>
      <c r="E374">
        <v>46.259998321533203</v>
      </c>
      <c r="F374">
        <v>46.549999237060497</v>
      </c>
      <c r="G374" s="2">
        <v>29467100</v>
      </c>
      <c r="H374" s="3">
        <f t="shared" si="5"/>
        <v>-8.5735021651822674E-4</v>
      </c>
      <c r="J374" s="3">
        <v>-1.495111896547674E-2</v>
      </c>
      <c r="K374" s="3">
        <v>0.11725872367180132</v>
      </c>
    </row>
    <row r="375" spans="1:11" x14ac:dyDescent="0.2">
      <c r="A375" s="1">
        <v>42205</v>
      </c>
      <c r="B375">
        <v>40.285659790038999</v>
      </c>
      <c r="C375">
        <v>46.919998168945298</v>
      </c>
      <c r="D375">
        <v>47.130001068115199</v>
      </c>
      <c r="E375">
        <v>46.439998626708899</v>
      </c>
      <c r="F375">
        <v>46.650001525878899</v>
      </c>
      <c r="G375" s="2">
        <v>30631900</v>
      </c>
      <c r="H375" s="3">
        <f t="shared" si="5"/>
        <v>6.4348818206811931E-3</v>
      </c>
      <c r="J375" s="3">
        <v>-1.4933624423000724E-2</v>
      </c>
      <c r="K375" s="3">
        <v>0.11757309022320026</v>
      </c>
    </row>
    <row r="376" spans="1:11" x14ac:dyDescent="0.2">
      <c r="A376" s="1">
        <v>42206</v>
      </c>
      <c r="B376">
        <v>40.594768524169901</v>
      </c>
      <c r="C376">
        <v>47.279998779296797</v>
      </c>
      <c r="D376">
        <v>47.330001831054602</v>
      </c>
      <c r="E376">
        <v>46.4799995422363</v>
      </c>
      <c r="F376">
        <v>46.779998779296797</v>
      </c>
      <c r="G376" s="2">
        <v>42781900</v>
      </c>
      <c r="H376" s="3">
        <f t="shared" si="5"/>
        <v>7.6729222195173197E-3</v>
      </c>
      <c r="J376" s="3">
        <v>-1.488095133428935E-2</v>
      </c>
      <c r="K376" s="3">
        <v>0.11788745677459918</v>
      </c>
    </row>
    <row r="377" spans="1:11" x14ac:dyDescent="0.2">
      <c r="A377" s="1">
        <v>42207</v>
      </c>
      <c r="B377">
        <v>39.100791931152301</v>
      </c>
      <c r="C377">
        <v>45.540000915527301</v>
      </c>
      <c r="D377">
        <v>46.930000305175703</v>
      </c>
      <c r="E377">
        <v>45.200000762939403</v>
      </c>
      <c r="F377">
        <v>45.439998626708899</v>
      </c>
      <c r="G377" s="2">
        <v>59152400</v>
      </c>
      <c r="H377" s="3">
        <f t="shared" si="5"/>
        <v>-3.6802195143152305E-2</v>
      </c>
      <c r="J377" s="3">
        <v>-1.4869910604930925E-2</v>
      </c>
      <c r="K377" s="3">
        <v>0.11820182332599811</v>
      </c>
    </row>
    <row r="378" spans="1:11" x14ac:dyDescent="0.2">
      <c r="A378" s="1">
        <v>42208</v>
      </c>
      <c r="B378">
        <v>39.590190887451101</v>
      </c>
      <c r="C378">
        <v>46.110000610351499</v>
      </c>
      <c r="D378">
        <v>46.2299995422363</v>
      </c>
      <c r="E378">
        <v>45.099998474121001</v>
      </c>
      <c r="F378">
        <v>45.270000457763601</v>
      </c>
      <c r="G378" s="2">
        <v>33934000</v>
      </c>
      <c r="H378" s="3">
        <f t="shared" si="5"/>
        <v>1.2516343841846522E-2</v>
      </c>
      <c r="J378" s="3">
        <v>-1.483396627217326E-2</v>
      </c>
      <c r="K378" s="3">
        <v>0.11851618987739705</v>
      </c>
    </row>
    <row r="379" spans="1:11" x14ac:dyDescent="0.2">
      <c r="A379" s="1">
        <v>42209</v>
      </c>
      <c r="B379">
        <v>39.444229125976499</v>
      </c>
      <c r="C379">
        <v>45.939998626708899</v>
      </c>
      <c r="D379">
        <v>46.319999694824197</v>
      </c>
      <c r="E379">
        <v>45.799999237060497</v>
      </c>
      <c r="F379">
        <v>45.909999847412102</v>
      </c>
      <c r="G379" s="2">
        <v>32333200</v>
      </c>
      <c r="H379" s="3">
        <f t="shared" si="5"/>
        <v>-3.6868163098670026E-3</v>
      </c>
      <c r="J379" s="3">
        <v>-1.4808865436325869E-2</v>
      </c>
      <c r="K379" s="3">
        <v>0.11883055642879597</v>
      </c>
    </row>
    <row r="380" spans="1:11" x14ac:dyDescent="0.2">
      <c r="A380" s="1">
        <v>42212</v>
      </c>
      <c r="B380">
        <v>38.937660217285099</v>
      </c>
      <c r="C380">
        <v>45.349998474121001</v>
      </c>
      <c r="D380">
        <v>46.009998321533203</v>
      </c>
      <c r="E380">
        <v>45.25</v>
      </c>
      <c r="F380">
        <v>45.939998626708899</v>
      </c>
      <c r="G380" s="2">
        <v>39701400</v>
      </c>
      <c r="H380" s="3">
        <f t="shared" si="5"/>
        <v>-1.2842662156573703E-2</v>
      </c>
      <c r="J380" s="3">
        <v>-1.479307356246029E-2</v>
      </c>
      <c r="K380" s="3">
        <v>0.11914492298019491</v>
      </c>
    </row>
    <row r="381" spans="1:11" x14ac:dyDescent="0.2">
      <c r="A381" s="1">
        <v>42213</v>
      </c>
      <c r="B381">
        <v>38.929065704345703</v>
      </c>
      <c r="C381">
        <v>45.340000152587798</v>
      </c>
      <c r="D381">
        <v>45.639999389648402</v>
      </c>
      <c r="E381">
        <v>44.790000915527301</v>
      </c>
      <c r="F381">
        <v>45.580001831054602</v>
      </c>
      <c r="G381" s="2">
        <v>34328900</v>
      </c>
      <c r="H381" s="3">
        <f t="shared" si="5"/>
        <v>-2.2072494575775536E-4</v>
      </c>
      <c r="J381" s="3">
        <v>-1.4784598952242045E-2</v>
      </c>
      <c r="K381" s="3">
        <v>0.11945928953159383</v>
      </c>
    </row>
    <row r="382" spans="1:11" x14ac:dyDescent="0.2">
      <c r="A382" s="1">
        <v>42214</v>
      </c>
      <c r="B382">
        <v>39.744735717773402</v>
      </c>
      <c r="C382">
        <v>46.290000915527301</v>
      </c>
      <c r="D382">
        <v>46.779998779296797</v>
      </c>
      <c r="E382">
        <v>45.259998321533203</v>
      </c>
      <c r="F382">
        <v>45.400001525878899</v>
      </c>
      <c r="G382" s="2">
        <v>40945900</v>
      </c>
      <c r="H382" s="3">
        <f t="shared" si="5"/>
        <v>2.0952725134028682E-2</v>
      </c>
      <c r="J382" s="3">
        <v>-1.4782916778029342E-2</v>
      </c>
      <c r="K382" s="3">
        <v>0.11977365608299277</v>
      </c>
    </row>
    <row r="383" spans="1:11" x14ac:dyDescent="0.2">
      <c r="A383" s="1">
        <v>42215</v>
      </c>
      <c r="B383">
        <v>40.251316070556598</v>
      </c>
      <c r="C383">
        <v>46.880001068115199</v>
      </c>
      <c r="D383">
        <v>47.400001525878899</v>
      </c>
      <c r="E383">
        <v>45.930000305175703</v>
      </c>
      <c r="F383">
        <v>46.259998321533203</v>
      </c>
      <c r="G383" s="2">
        <v>39777900</v>
      </c>
      <c r="H383" s="3">
        <f t="shared" si="5"/>
        <v>1.2745847811906907E-2</v>
      </c>
      <c r="J383" s="3">
        <v>-1.4765709774130942E-2</v>
      </c>
      <c r="K383" s="3">
        <v>0.12008802263439169</v>
      </c>
    </row>
    <row r="384" spans="1:11" x14ac:dyDescent="0.2">
      <c r="A384" s="1">
        <v>42216</v>
      </c>
      <c r="B384">
        <v>40.096775054931598</v>
      </c>
      <c r="C384">
        <v>46.700000762939403</v>
      </c>
      <c r="D384">
        <v>47.369998931884702</v>
      </c>
      <c r="E384">
        <v>46.5</v>
      </c>
      <c r="F384">
        <v>47.290000915527301</v>
      </c>
      <c r="G384" s="2">
        <v>31201500</v>
      </c>
      <c r="H384" s="3">
        <f t="shared" si="5"/>
        <v>-3.839402800000502E-3</v>
      </c>
      <c r="J384" s="3">
        <v>-1.4758471739250045E-2</v>
      </c>
      <c r="K384" s="3">
        <v>0.12040238918579063</v>
      </c>
    </row>
    <row r="385" spans="1:11" x14ac:dyDescent="0.2">
      <c r="A385" s="1">
        <v>42219</v>
      </c>
      <c r="B385">
        <v>40.191211700439403</v>
      </c>
      <c r="C385">
        <v>46.810001373291001</v>
      </c>
      <c r="D385">
        <v>47</v>
      </c>
      <c r="E385">
        <v>46.450000762939403</v>
      </c>
      <c r="F385">
        <v>46.9799995422363</v>
      </c>
      <c r="G385" s="2">
        <v>24125900</v>
      </c>
      <c r="H385" s="3">
        <f t="shared" si="5"/>
        <v>2.3552179789629868E-3</v>
      </c>
      <c r="J385" s="3">
        <v>-1.4739919429715531E-2</v>
      </c>
      <c r="K385" s="3">
        <v>0.12071675573718957</v>
      </c>
    </row>
    <row r="386" spans="1:11" x14ac:dyDescent="0.2">
      <c r="A386" s="1">
        <v>42220</v>
      </c>
      <c r="B386">
        <v>40.818008422851499</v>
      </c>
      <c r="C386">
        <v>47.540000915527301</v>
      </c>
      <c r="D386">
        <v>47.709999084472599</v>
      </c>
      <c r="E386">
        <v>46.680000305175703</v>
      </c>
      <c r="F386">
        <v>46.75</v>
      </c>
      <c r="G386" s="2">
        <v>33403900</v>
      </c>
      <c r="H386" s="3">
        <f t="shared" ref="H386:H449" si="6">B386/B385-1</f>
        <v>1.5595367641161317E-2</v>
      </c>
      <c r="J386" s="3">
        <v>-1.473022229510379E-2</v>
      </c>
      <c r="K386" s="3">
        <v>0.12103112228858849</v>
      </c>
    </row>
    <row r="387" spans="1:11" x14ac:dyDescent="0.2">
      <c r="A387" s="1">
        <v>42221</v>
      </c>
      <c r="B387">
        <v>40.852336883544901</v>
      </c>
      <c r="C387">
        <v>47.580001831054602</v>
      </c>
      <c r="D387">
        <v>48.409999847412102</v>
      </c>
      <c r="E387">
        <v>47.540000915527301</v>
      </c>
      <c r="F387">
        <v>47.9799995422363</v>
      </c>
      <c r="G387" s="2">
        <v>26959700</v>
      </c>
      <c r="H387" s="3">
        <f t="shared" si="6"/>
        <v>8.4101263191915798E-4</v>
      </c>
      <c r="J387" s="3">
        <v>-1.4677603640836256E-2</v>
      </c>
      <c r="K387" s="3">
        <v>0.12134548883998743</v>
      </c>
    </row>
    <row r="388" spans="1:11" x14ac:dyDescent="0.2">
      <c r="A388" s="1">
        <v>42222</v>
      </c>
      <c r="B388">
        <v>40.028083801269503</v>
      </c>
      <c r="C388">
        <v>46.619998931884702</v>
      </c>
      <c r="D388">
        <v>47.770000457763601</v>
      </c>
      <c r="E388">
        <v>46.330001831054602</v>
      </c>
      <c r="F388">
        <v>47.709999084472599</v>
      </c>
      <c r="G388" s="2">
        <v>27368000</v>
      </c>
      <c r="H388" s="3">
        <f t="shared" si="6"/>
        <v>-2.0176399813431556E-2</v>
      </c>
      <c r="J388" s="3">
        <v>-1.4645221559853483E-2</v>
      </c>
      <c r="K388" s="3">
        <v>0.12165985539138635</v>
      </c>
    </row>
    <row r="389" spans="1:11" x14ac:dyDescent="0.2">
      <c r="A389" s="1">
        <v>42223</v>
      </c>
      <c r="B389">
        <v>40.131107330322202</v>
      </c>
      <c r="C389">
        <v>46.740001678466797</v>
      </c>
      <c r="D389">
        <v>46.779998779296797</v>
      </c>
      <c r="E389">
        <v>46.259998321533203</v>
      </c>
      <c r="F389">
        <v>46.389999389648402</v>
      </c>
      <c r="G389" s="2">
        <v>19163000</v>
      </c>
      <c r="H389" s="3">
        <f t="shared" si="6"/>
        <v>2.5737811873329797E-3</v>
      </c>
      <c r="J389" s="3">
        <v>-1.4626095781676618E-2</v>
      </c>
      <c r="K389" s="3">
        <v>0.12197422194278529</v>
      </c>
    </row>
    <row r="390" spans="1:11" x14ac:dyDescent="0.2">
      <c r="A390" s="1">
        <v>42226</v>
      </c>
      <c r="B390">
        <v>40.637691497802699</v>
      </c>
      <c r="C390">
        <v>47.330001831054602</v>
      </c>
      <c r="D390">
        <v>47.490001678466797</v>
      </c>
      <c r="E390">
        <v>46.840000152587798</v>
      </c>
      <c r="F390">
        <v>46.950000762939403</v>
      </c>
      <c r="G390" s="2">
        <v>23079900</v>
      </c>
      <c r="H390" s="3">
        <f t="shared" si="6"/>
        <v>1.2623229239870248E-2</v>
      </c>
      <c r="J390" s="3">
        <v>-1.4600044563282788E-2</v>
      </c>
      <c r="K390" s="3">
        <v>0.12228858849418422</v>
      </c>
    </row>
    <row r="391" spans="1:11" x14ac:dyDescent="0.2">
      <c r="A391" s="1">
        <v>42227</v>
      </c>
      <c r="B391">
        <v>39.8477783203125</v>
      </c>
      <c r="C391">
        <v>46.409999847412102</v>
      </c>
      <c r="D391">
        <v>46.939998626708899</v>
      </c>
      <c r="E391">
        <v>45.900001525878899</v>
      </c>
      <c r="F391">
        <v>46.819999694824197</v>
      </c>
      <c r="G391" s="2">
        <v>29237400</v>
      </c>
      <c r="H391" s="3">
        <f t="shared" si="6"/>
        <v>-1.9437944144364394E-2</v>
      </c>
      <c r="J391" s="3">
        <v>-1.4597772233030493E-2</v>
      </c>
      <c r="K391" s="3">
        <v>0.12260295504558315</v>
      </c>
    </row>
    <row r="392" spans="1:11" x14ac:dyDescent="0.2">
      <c r="A392" s="1">
        <v>42228</v>
      </c>
      <c r="B392">
        <v>40.131107330322202</v>
      </c>
      <c r="C392">
        <v>46.740001678466797</v>
      </c>
      <c r="D392">
        <v>46.900001525878899</v>
      </c>
      <c r="E392">
        <v>45.709999084472599</v>
      </c>
      <c r="F392">
        <v>46.189998626708899</v>
      </c>
      <c r="G392" s="2">
        <v>30181400</v>
      </c>
      <c r="H392" s="3">
        <f t="shared" si="6"/>
        <v>7.1102837335670355E-3</v>
      </c>
      <c r="J392" s="3">
        <v>-1.458011399942627E-2</v>
      </c>
      <c r="K392" s="3">
        <v>0.12291732159698208</v>
      </c>
    </row>
    <row r="393" spans="1:11" x14ac:dyDescent="0.2">
      <c r="A393" s="1">
        <v>42229</v>
      </c>
      <c r="B393">
        <v>40.122524261474602</v>
      </c>
      <c r="C393">
        <v>46.7299995422363</v>
      </c>
      <c r="D393">
        <v>47.099998474121001</v>
      </c>
      <c r="E393">
        <v>46.490001678466797</v>
      </c>
      <c r="F393">
        <v>47.060001373291001</v>
      </c>
      <c r="G393" s="2">
        <v>22627200</v>
      </c>
      <c r="H393" s="3">
        <f t="shared" si="6"/>
        <v>-2.1387570437447767E-4</v>
      </c>
      <c r="J393" s="3">
        <v>-1.4518723095465647E-2</v>
      </c>
      <c r="K393" s="3">
        <v>0.12323168814838101</v>
      </c>
    </row>
    <row r="394" spans="1:11" x14ac:dyDescent="0.2">
      <c r="A394" s="1">
        <v>42230</v>
      </c>
      <c r="B394">
        <v>40.354347229003899</v>
      </c>
      <c r="C394">
        <v>47</v>
      </c>
      <c r="D394">
        <v>47.099998474121001</v>
      </c>
      <c r="E394">
        <v>46.520000457763601</v>
      </c>
      <c r="F394">
        <v>46.529998779296797</v>
      </c>
      <c r="G394" s="2">
        <v>21473400</v>
      </c>
      <c r="H394" s="3">
        <f t="shared" si="6"/>
        <v>5.7778759386755141E-3</v>
      </c>
      <c r="J394" s="3">
        <v>-1.4498608556401726E-2</v>
      </c>
      <c r="K394" s="3">
        <v>0.12354605469977994</v>
      </c>
    </row>
    <row r="395" spans="1:11" x14ac:dyDescent="0.2">
      <c r="A395" s="1">
        <v>42233</v>
      </c>
      <c r="B395">
        <v>40.629104614257798</v>
      </c>
      <c r="C395">
        <v>47.319999694824197</v>
      </c>
      <c r="D395">
        <v>47.450000762939403</v>
      </c>
      <c r="E395">
        <v>46.569999694824197</v>
      </c>
      <c r="F395">
        <v>46.810001373291001</v>
      </c>
      <c r="G395" s="2">
        <v>21099700</v>
      </c>
      <c r="H395" s="3">
        <f t="shared" si="6"/>
        <v>6.8086192472571749E-3</v>
      </c>
      <c r="J395" s="3">
        <v>-1.4449655577151388E-2</v>
      </c>
      <c r="K395" s="3">
        <v>0.12386042125117887</v>
      </c>
    </row>
    <row r="396" spans="1:11" x14ac:dyDescent="0.2">
      <c r="A396" s="1">
        <v>42234</v>
      </c>
      <c r="B396">
        <v>40.853805541992102</v>
      </c>
      <c r="C396">
        <v>47.270000457763601</v>
      </c>
      <c r="D396">
        <v>47.430000305175703</v>
      </c>
      <c r="E396">
        <v>46.700000762939403</v>
      </c>
      <c r="F396">
        <v>46.840000152587798</v>
      </c>
      <c r="G396" s="2">
        <v>23574100</v>
      </c>
      <c r="H396" s="3">
        <f t="shared" si="6"/>
        <v>5.5305409722332666E-3</v>
      </c>
      <c r="J396" s="3">
        <v>-1.4445271997316045E-2</v>
      </c>
      <c r="K396" s="3">
        <v>0.1241747878025778</v>
      </c>
    </row>
    <row r="397" spans="1:11" x14ac:dyDescent="0.2">
      <c r="A397" s="1">
        <v>42235</v>
      </c>
      <c r="B397">
        <v>40.283405303955</v>
      </c>
      <c r="C397">
        <v>46.610000610351499</v>
      </c>
      <c r="D397">
        <v>47.080001831054602</v>
      </c>
      <c r="E397">
        <v>46.299999237060497</v>
      </c>
      <c r="F397">
        <v>46.779998779296797</v>
      </c>
      <c r="G397" s="2">
        <v>31485500</v>
      </c>
      <c r="H397" s="3">
        <f t="shared" si="6"/>
        <v>-1.3961985437337288E-2</v>
      </c>
      <c r="J397" s="3">
        <v>-1.4436089912627459E-2</v>
      </c>
      <c r="K397" s="3">
        <v>0.12448915435397674</v>
      </c>
    </row>
    <row r="398" spans="1:11" x14ac:dyDescent="0.2">
      <c r="A398" s="1">
        <v>42236</v>
      </c>
      <c r="B398">
        <v>39.462337493896399</v>
      </c>
      <c r="C398">
        <v>45.659999847412102</v>
      </c>
      <c r="D398">
        <v>46.470001220703097</v>
      </c>
      <c r="E398">
        <v>45.659999847412102</v>
      </c>
      <c r="F398">
        <v>46.069999694824197</v>
      </c>
      <c r="G398" s="2">
        <v>36238200</v>
      </c>
      <c r="H398" s="3">
        <f t="shared" si="6"/>
        <v>-2.0382284066188139E-2</v>
      </c>
      <c r="J398" s="3">
        <v>-1.4411011621453751E-2</v>
      </c>
      <c r="K398" s="3">
        <v>0.12480352090537566</v>
      </c>
    </row>
    <row r="399" spans="1:11" x14ac:dyDescent="0.2">
      <c r="A399" s="1">
        <v>42237</v>
      </c>
      <c r="B399">
        <v>37.223907470703097</v>
      </c>
      <c r="C399">
        <v>43.069999694824197</v>
      </c>
      <c r="D399">
        <v>45.4799995422363</v>
      </c>
      <c r="E399">
        <v>43.069999694824197</v>
      </c>
      <c r="F399">
        <v>45.299999237060497</v>
      </c>
      <c r="G399" s="2">
        <v>70053100</v>
      </c>
      <c r="H399" s="3">
        <f t="shared" si="6"/>
        <v>-5.6723199013224201E-2</v>
      </c>
      <c r="J399" s="3">
        <v>-1.437024615296123E-2</v>
      </c>
      <c r="K399" s="3">
        <v>0.1251178874567746</v>
      </c>
    </row>
    <row r="400" spans="1:11" x14ac:dyDescent="0.2">
      <c r="A400" s="1">
        <v>42240</v>
      </c>
      <c r="B400">
        <v>36.022563934326101</v>
      </c>
      <c r="C400">
        <v>41.680000305175703</v>
      </c>
      <c r="D400">
        <v>42.689998626708899</v>
      </c>
      <c r="E400">
        <v>39.720001220703097</v>
      </c>
      <c r="F400">
        <v>40.450000762939403</v>
      </c>
      <c r="G400" s="2">
        <v>88753700</v>
      </c>
      <c r="H400" s="3">
        <f t="shared" si="6"/>
        <v>-3.2273439786580926E-2</v>
      </c>
      <c r="J400" s="3">
        <v>-1.4338810289967419E-2</v>
      </c>
      <c r="K400" s="3">
        <v>0.12543225400817354</v>
      </c>
    </row>
    <row r="401" spans="1:11" x14ac:dyDescent="0.2">
      <c r="A401" s="1">
        <v>42241</v>
      </c>
      <c r="B401">
        <v>34.9768257141113</v>
      </c>
      <c r="C401">
        <v>40.470001220703097</v>
      </c>
      <c r="D401">
        <v>43.240001678466797</v>
      </c>
      <c r="E401">
        <v>40.389999389648402</v>
      </c>
      <c r="F401">
        <v>42.569999694824197</v>
      </c>
      <c r="G401" s="2">
        <v>70616600</v>
      </c>
      <c r="H401" s="3">
        <f t="shared" si="6"/>
        <v>-2.9030088533434806E-2</v>
      </c>
      <c r="J401" s="3">
        <v>-1.4321058128211384E-2</v>
      </c>
      <c r="K401" s="3">
        <v>0.12574662055957248</v>
      </c>
    </row>
    <row r="402" spans="1:11" x14ac:dyDescent="0.2">
      <c r="A402" s="1">
        <v>42242</v>
      </c>
      <c r="B402">
        <v>36.912754058837798</v>
      </c>
      <c r="C402">
        <v>42.709999084472599</v>
      </c>
      <c r="D402">
        <v>42.840000152587798</v>
      </c>
      <c r="E402">
        <v>41.060001373291001</v>
      </c>
      <c r="F402">
        <v>42.009998321533203</v>
      </c>
      <c r="G402" s="2">
        <v>63408000</v>
      </c>
      <c r="H402" s="3">
        <f t="shared" si="6"/>
        <v>5.5348886161086241E-2</v>
      </c>
      <c r="J402" s="3">
        <v>-1.4224399399533461E-2</v>
      </c>
      <c r="K402" s="3">
        <v>0.12606098711097138</v>
      </c>
    </row>
    <row r="403" spans="1:11" x14ac:dyDescent="0.2">
      <c r="A403" s="1">
        <v>42243</v>
      </c>
      <c r="B403">
        <v>37.941238403320298</v>
      </c>
      <c r="C403">
        <v>43.900001525878899</v>
      </c>
      <c r="D403">
        <v>43.950000762939403</v>
      </c>
      <c r="E403">
        <v>42.930000305175703</v>
      </c>
      <c r="F403">
        <v>43.2299995422363</v>
      </c>
      <c r="G403" s="2">
        <v>50943200</v>
      </c>
      <c r="H403" s="3">
        <f t="shared" si="6"/>
        <v>2.7862574080577351E-2</v>
      </c>
      <c r="J403" s="3">
        <v>-1.4186884359305152E-2</v>
      </c>
      <c r="K403" s="3">
        <v>0.12637535366237032</v>
      </c>
    </row>
    <row r="404" spans="1:11" x14ac:dyDescent="0.2">
      <c r="A404" s="1">
        <v>42244</v>
      </c>
      <c r="B404">
        <v>37.9671630859375</v>
      </c>
      <c r="C404">
        <v>43.930000305175703</v>
      </c>
      <c r="D404">
        <v>44.150001525878899</v>
      </c>
      <c r="E404">
        <v>43.389999389648402</v>
      </c>
      <c r="F404">
        <v>43.400001525878899</v>
      </c>
      <c r="G404" s="2">
        <v>28246700</v>
      </c>
      <c r="H404" s="3">
        <f t="shared" si="6"/>
        <v>6.8328509316484265E-4</v>
      </c>
      <c r="J404" s="3">
        <v>-1.4181020518067022E-2</v>
      </c>
      <c r="K404" s="3">
        <v>0.12668972021376926</v>
      </c>
    </row>
    <row r="405" spans="1:11" x14ac:dyDescent="0.2">
      <c r="A405" s="1">
        <v>42247</v>
      </c>
      <c r="B405">
        <v>37.6128120422363</v>
      </c>
      <c r="C405">
        <v>43.520000457763601</v>
      </c>
      <c r="D405">
        <v>43.930000305175703</v>
      </c>
      <c r="E405">
        <v>43.099998474121001</v>
      </c>
      <c r="F405">
        <v>43.560001373291001</v>
      </c>
      <c r="G405" s="2">
        <v>34441700</v>
      </c>
      <c r="H405" s="3">
        <f t="shared" si="6"/>
        <v>-9.3330924646420899E-3</v>
      </c>
      <c r="J405" s="3">
        <v>-1.4175304121780918E-2</v>
      </c>
      <c r="K405" s="3">
        <v>0.12700408676516819</v>
      </c>
    </row>
    <row r="406" spans="1:11" x14ac:dyDescent="0.2">
      <c r="A406" s="1">
        <v>42248</v>
      </c>
      <c r="B406">
        <v>36.1435546875</v>
      </c>
      <c r="C406">
        <v>41.819999694824197</v>
      </c>
      <c r="D406">
        <v>42.590000152587798</v>
      </c>
      <c r="E406">
        <v>41.659999847412102</v>
      </c>
      <c r="F406">
        <v>42.169998168945298</v>
      </c>
      <c r="G406" s="2">
        <v>49688900</v>
      </c>
      <c r="H406" s="3">
        <f t="shared" si="6"/>
        <v>-3.906268303168714E-2</v>
      </c>
      <c r="J406" s="3">
        <v>-1.4144606893394474E-2</v>
      </c>
      <c r="K406" s="3">
        <v>0.1273184533165671</v>
      </c>
    </row>
    <row r="407" spans="1:11" x14ac:dyDescent="0.2">
      <c r="A407" s="1">
        <v>42249</v>
      </c>
      <c r="B407">
        <v>37.474544525146399</v>
      </c>
      <c r="C407">
        <v>43.360000610351499</v>
      </c>
      <c r="D407">
        <v>43.380001068115199</v>
      </c>
      <c r="E407">
        <v>41.880001068115199</v>
      </c>
      <c r="F407">
        <v>42.360000610351499</v>
      </c>
      <c r="G407" s="2">
        <v>37671500</v>
      </c>
      <c r="H407" s="3">
        <f t="shared" si="6"/>
        <v>3.6825095073083958E-2</v>
      </c>
      <c r="J407" s="3">
        <v>-1.4097612611599475E-2</v>
      </c>
      <c r="K407" s="3">
        <v>0.12763281986796604</v>
      </c>
    </row>
    <row r="408" spans="1:11" x14ac:dyDescent="0.2">
      <c r="A408" s="1">
        <v>42250</v>
      </c>
      <c r="B408">
        <v>37.5955200195312</v>
      </c>
      <c r="C408">
        <v>43.5</v>
      </c>
      <c r="D408">
        <v>43.9799995422363</v>
      </c>
      <c r="E408">
        <v>43.279998779296797</v>
      </c>
      <c r="F408">
        <v>43.409999847412102</v>
      </c>
      <c r="G408" s="2">
        <v>28285200</v>
      </c>
      <c r="H408" s="3">
        <f t="shared" si="6"/>
        <v>3.2282045297074013E-3</v>
      </c>
      <c r="J408" s="3">
        <v>-1.4091186450709614E-2</v>
      </c>
      <c r="K408" s="3">
        <v>0.12794718641936498</v>
      </c>
    </row>
    <row r="409" spans="1:11" x14ac:dyDescent="0.2">
      <c r="A409" s="1">
        <v>42251</v>
      </c>
      <c r="B409">
        <v>36.826335906982401</v>
      </c>
      <c r="C409">
        <v>42.610000610351499</v>
      </c>
      <c r="D409">
        <v>43.040000915527301</v>
      </c>
      <c r="E409">
        <v>42.200000762939403</v>
      </c>
      <c r="F409">
        <v>42.810001373291001</v>
      </c>
      <c r="G409" s="2">
        <v>37138800</v>
      </c>
      <c r="H409" s="3">
        <f t="shared" si="6"/>
        <v>-2.0459461982417104E-2</v>
      </c>
      <c r="J409" s="3">
        <v>-1.4035921699030673E-2</v>
      </c>
      <c r="K409" s="3">
        <v>0.12826155297076391</v>
      </c>
    </row>
    <row r="410" spans="1:11" x14ac:dyDescent="0.2">
      <c r="A410" s="1">
        <v>42255</v>
      </c>
      <c r="B410">
        <v>37.932590484619098</v>
      </c>
      <c r="C410">
        <v>43.889999389648402</v>
      </c>
      <c r="D410">
        <v>44</v>
      </c>
      <c r="E410">
        <v>43.200000762939403</v>
      </c>
      <c r="F410">
        <v>43.299999237060497</v>
      </c>
      <c r="G410" s="2">
        <v>32469800</v>
      </c>
      <c r="H410" s="3">
        <f t="shared" si="6"/>
        <v>3.0039767747487067E-2</v>
      </c>
      <c r="J410" s="3">
        <v>-1.4034760929061196E-2</v>
      </c>
      <c r="K410" s="3">
        <v>0.12857591952216285</v>
      </c>
    </row>
    <row r="411" spans="1:11" x14ac:dyDescent="0.2">
      <c r="A411" s="1">
        <v>42256</v>
      </c>
      <c r="B411">
        <v>37.223907470703097</v>
      </c>
      <c r="C411">
        <v>43.069999694824197</v>
      </c>
      <c r="D411">
        <v>44.400001525878899</v>
      </c>
      <c r="E411">
        <v>42.909999847412102</v>
      </c>
      <c r="F411">
        <v>44.209999084472599</v>
      </c>
      <c r="G411" s="2">
        <v>33469500</v>
      </c>
      <c r="H411" s="3">
        <f t="shared" si="6"/>
        <v>-1.8682694876938521E-2</v>
      </c>
      <c r="J411" s="3">
        <v>-1.3962636777378745E-2</v>
      </c>
      <c r="K411" s="3">
        <v>0.12889028607356176</v>
      </c>
    </row>
    <row r="412" spans="1:11" x14ac:dyDescent="0.2">
      <c r="A412" s="1">
        <v>42257</v>
      </c>
      <c r="B412">
        <v>37.414035797119098</v>
      </c>
      <c r="C412">
        <v>43.290000915527301</v>
      </c>
      <c r="D412">
        <v>43.790000915527301</v>
      </c>
      <c r="E412">
        <v>42.75</v>
      </c>
      <c r="F412">
        <v>43.119998931884702</v>
      </c>
      <c r="G412" s="2">
        <v>31366600</v>
      </c>
      <c r="H412" s="3">
        <f t="shared" si="6"/>
        <v>5.1076939347551864E-3</v>
      </c>
      <c r="J412" s="3">
        <v>-1.3961985437337288E-2</v>
      </c>
      <c r="K412" s="3">
        <v>0.1292046526249607</v>
      </c>
    </row>
    <row r="413" spans="1:11" x14ac:dyDescent="0.2">
      <c r="A413" s="1">
        <v>42258</v>
      </c>
      <c r="B413">
        <v>37.578254699707003</v>
      </c>
      <c r="C413">
        <v>43.4799995422363</v>
      </c>
      <c r="D413">
        <v>43.590000152587798</v>
      </c>
      <c r="E413">
        <v>42.939998626708899</v>
      </c>
      <c r="F413">
        <v>43.139999389648402</v>
      </c>
      <c r="G413" s="2">
        <v>27132500</v>
      </c>
      <c r="H413" s="3">
        <f t="shared" si="6"/>
        <v>4.3892325190042492E-3</v>
      </c>
      <c r="J413" s="3">
        <v>-1.3955897085928926E-2</v>
      </c>
      <c r="K413" s="3">
        <v>0.12951901917635963</v>
      </c>
    </row>
    <row r="414" spans="1:11" x14ac:dyDescent="0.2">
      <c r="A414" s="1">
        <v>42261</v>
      </c>
      <c r="B414">
        <v>37.197959899902301</v>
      </c>
      <c r="C414">
        <v>43.040000915527301</v>
      </c>
      <c r="D414">
        <v>43.439998626708899</v>
      </c>
      <c r="E414">
        <v>42.860000610351499</v>
      </c>
      <c r="F414">
        <v>43.430000305175703</v>
      </c>
      <c r="G414" s="2">
        <v>23656000</v>
      </c>
      <c r="H414" s="3">
        <f t="shared" si="6"/>
        <v>-1.012007616755195E-2</v>
      </c>
      <c r="J414" s="3">
        <v>-1.3950816377621633E-2</v>
      </c>
      <c r="K414" s="3">
        <v>0.12983338572775857</v>
      </c>
    </row>
    <row r="415" spans="1:11" x14ac:dyDescent="0.2">
      <c r="A415" s="1">
        <v>42262</v>
      </c>
      <c r="B415">
        <v>38.010383605957003</v>
      </c>
      <c r="C415">
        <v>43.9799995422363</v>
      </c>
      <c r="D415">
        <v>44.290000915527301</v>
      </c>
      <c r="E415">
        <v>43.080001831054602</v>
      </c>
      <c r="F415">
        <v>43.189998626708899</v>
      </c>
      <c r="G415" s="2">
        <v>28882200</v>
      </c>
      <c r="H415" s="3">
        <f t="shared" si="6"/>
        <v>2.1840544703012998E-2</v>
      </c>
      <c r="J415" s="3">
        <v>-1.3942818930400391E-2</v>
      </c>
      <c r="K415" s="3">
        <v>0.13014775227915751</v>
      </c>
    </row>
    <row r="416" spans="1:11" x14ac:dyDescent="0.2">
      <c r="A416" s="1">
        <v>42263</v>
      </c>
      <c r="B416">
        <v>38.286949157714801</v>
      </c>
      <c r="C416">
        <v>44.299999237060497</v>
      </c>
      <c r="D416">
        <v>44.380001068115199</v>
      </c>
      <c r="E416">
        <v>43.840000152587798</v>
      </c>
      <c r="F416">
        <v>43.970001220703097</v>
      </c>
      <c r="G416" s="2">
        <v>23372200</v>
      </c>
      <c r="H416" s="3">
        <f t="shared" si="6"/>
        <v>7.2760526340611698E-3</v>
      </c>
      <c r="J416" s="3">
        <v>-1.3940390514948553E-2</v>
      </c>
      <c r="K416" s="3">
        <v>0.13046211883055642</v>
      </c>
    </row>
    <row r="417" spans="1:11" x14ac:dyDescent="0.2">
      <c r="A417" s="1">
        <v>42264</v>
      </c>
      <c r="B417">
        <v>38.243728637695298</v>
      </c>
      <c r="C417">
        <v>44.25</v>
      </c>
      <c r="D417">
        <v>45</v>
      </c>
      <c r="E417">
        <v>44.080001831054602</v>
      </c>
      <c r="F417">
        <v>44.290000915527301</v>
      </c>
      <c r="G417" s="2">
        <v>32768200</v>
      </c>
      <c r="H417" s="3">
        <f t="shared" si="6"/>
        <v>-1.1288577693006063E-3</v>
      </c>
      <c r="J417" s="3">
        <v>-1.3854042109844977E-2</v>
      </c>
      <c r="K417" s="3">
        <v>0.13077648538195535</v>
      </c>
    </row>
    <row r="418" spans="1:11" x14ac:dyDescent="0.2">
      <c r="A418" s="1">
        <v>42265</v>
      </c>
      <c r="B418">
        <v>37.578254699707003</v>
      </c>
      <c r="C418">
        <v>43.4799995422363</v>
      </c>
      <c r="D418">
        <v>43.990001678466797</v>
      </c>
      <c r="E418">
        <v>43.330001831054602</v>
      </c>
      <c r="F418">
        <v>43.5</v>
      </c>
      <c r="G418" s="2">
        <v>63143700</v>
      </c>
      <c r="H418" s="3">
        <f t="shared" si="6"/>
        <v>-1.7400864447415954E-2</v>
      </c>
      <c r="J418" s="3">
        <v>-1.383838548633276E-2</v>
      </c>
      <c r="K418" s="3">
        <v>0.13109085193335429</v>
      </c>
    </row>
    <row r="419" spans="1:11" x14ac:dyDescent="0.2">
      <c r="A419" s="1">
        <v>42268</v>
      </c>
      <c r="B419">
        <v>38.122737884521399</v>
      </c>
      <c r="C419">
        <v>44.110000610351499</v>
      </c>
      <c r="D419">
        <v>44.470001220703097</v>
      </c>
      <c r="E419">
        <v>43.599998474121001</v>
      </c>
      <c r="F419">
        <v>43.619998931884702</v>
      </c>
      <c r="G419" s="2">
        <v>26177200</v>
      </c>
      <c r="H419" s="3">
        <f t="shared" si="6"/>
        <v>1.4489315407685499E-2</v>
      </c>
      <c r="J419" s="3">
        <v>-1.3834477999913108E-2</v>
      </c>
      <c r="K419" s="3">
        <v>0.13140521848475323</v>
      </c>
    </row>
    <row r="420" spans="1:11" x14ac:dyDescent="0.2">
      <c r="A420" s="1">
        <v>42269</v>
      </c>
      <c r="B420">
        <v>37.941238403320298</v>
      </c>
      <c r="C420">
        <v>43.900001525878899</v>
      </c>
      <c r="D420">
        <v>44.049999237060497</v>
      </c>
      <c r="E420">
        <v>43.310001373291001</v>
      </c>
      <c r="F420">
        <v>43.380001068115199</v>
      </c>
      <c r="G420" s="2">
        <v>28085900</v>
      </c>
      <c r="H420" s="3">
        <f t="shared" si="6"/>
        <v>-4.7609246154063367E-3</v>
      </c>
      <c r="J420" s="3">
        <v>-1.3806025566515778E-2</v>
      </c>
      <c r="K420" s="3">
        <v>0.13171958503615216</v>
      </c>
    </row>
    <row r="421" spans="1:11" x14ac:dyDescent="0.2">
      <c r="A421" s="1">
        <v>42270</v>
      </c>
      <c r="B421">
        <v>37.915317535400298</v>
      </c>
      <c r="C421">
        <v>43.869998931884702</v>
      </c>
      <c r="D421">
        <v>44.169998168945298</v>
      </c>
      <c r="E421">
        <v>43.509998321533203</v>
      </c>
      <c r="F421">
        <v>43.930000305175703</v>
      </c>
      <c r="G421" s="2">
        <v>17145200</v>
      </c>
      <c r="H421" s="3">
        <f t="shared" si="6"/>
        <v>-6.8318455092208907E-4</v>
      </c>
      <c r="J421" s="3">
        <v>-1.3748663643255665E-2</v>
      </c>
      <c r="K421" s="3">
        <v>0.13203395158755107</v>
      </c>
    </row>
    <row r="422" spans="1:11" x14ac:dyDescent="0.2">
      <c r="A422" s="1">
        <v>42271</v>
      </c>
      <c r="B422">
        <v>37.949882507324197</v>
      </c>
      <c r="C422">
        <v>43.909999847412102</v>
      </c>
      <c r="D422">
        <v>44.130001068115199</v>
      </c>
      <c r="E422">
        <v>43.270000457763601</v>
      </c>
      <c r="F422">
        <v>43.450000762939403</v>
      </c>
      <c r="G422" s="2">
        <v>27905600</v>
      </c>
      <c r="H422" s="3">
        <f t="shared" si="6"/>
        <v>9.1163609250077826E-4</v>
      </c>
      <c r="J422" s="3">
        <v>-1.3719036432262799E-2</v>
      </c>
      <c r="K422" s="3">
        <v>0.13234831813895001</v>
      </c>
    </row>
    <row r="423" spans="1:11" x14ac:dyDescent="0.2">
      <c r="A423" s="1">
        <v>42272</v>
      </c>
      <c r="B423">
        <v>37.975814819335902</v>
      </c>
      <c r="C423">
        <v>43.939998626708899</v>
      </c>
      <c r="D423">
        <v>44.7299995422363</v>
      </c>
      <c r="E423">
        <v>43.759998321533203</v>
      </c>
      <c r="F423">
        <v>44.4799995422363</v>
      </c>
      <c r="G423" s="2">
        <v>29384600</v>
      </c>
      <c r="H423" s="3">
        <f t="shared" si="6"/>
        <v>6.8333049533686463E-4</v>
      </c>
      <c r="J423" s="3">
        <v>-1.3714728651569752E-2</v>
      </c>
      <c r="K423" s="3">
        <v>0.13266268469034895</v>
      </c>
    </row>
    <row r="424" spans="1:11" x14ac:dyDescent="0.2">
      <c r="A424" s="1">
        <v>42275</v>
      </c>
      <c r="B424">
        <v>37.414035797119098</v>
      </c>
      <c r="C424">
        <v>43.290000915527301</v>
      </c>
      <c r="D424">
        <v>44.090000152587798</v>
      </c>
      <c r="E424">
        <v>43.209999084472599</v>
      </c>
      <c r="F424">
        <v>43.830001831054602</v>
      </c>
      <c r="G424" s="2">
        <v>27613800</v>
      </c>
      <c r="H424" s="3">
        <f t="shared" si="6"/>
        <v>-1.479307356246029E-2</v>
      </c>
      <c r="J424" s="3">
        <v>-1.3673690260726623E-2</v>
      </c>
      <c r="K424" s="3">
        <v>0.13297705124174788</v>
      </c>
    </row>
    <row r="425" spans="1:11" x14ac:dyDescent="0.2">
      <c r="A425" s="1">
        <v>42276</v>
      </c>
      <c r="B425">
        <v>37.543666839599602</v>
      </c>
      <c r="C425">
        <v>43.439998626708899</v>
      </c>
      <c r="D425">
        <v>43.569999694824197</v>
      </c>
      <c r="E425">
        <v>43.049999237060497</v>
      </c>
      <c r="F425">
        <v>43.369998931884702</v>
      </c>
      <c r="G425" s="2">
        <v>32763600</v>
      </c>
      <c r="H425" s="3">
        <f t="shared" si="6"/>
        <v>3.4647703654169248E-3</v>
      </c>
      <c r="J425" s="3">
        <v>-1.3664275998503617E-2</v>
      </c>
      <c r="K425" s="3">
        <v>0.13329141779314682</v>
      </c>
    </row>
    <row r="426" spans="1:11" x14ac:dyDescent="0.2">
      <c r="A426" s="1">
        <v>42277</v>
      </c>
      <c r="B426">
        <v>38.252368927001903</v>
      </c>
      <c r="C426">
        <v>44.259998321533203</v>
      </c>
      <c r="D426">
        <v>44.299999237060497</v>
      </c>
      <c r="E426">
        <v>43.659999847412102</v>
      </c>
      <c r="F426">
        <v>43.880001068115199</v>
      </c>
      <c r="G426" s="2">
        <v>34958900</v>
      </c>
      <c r="H426" s="3">
        <f t="shared" si="6"/>
        <v>1.8876741327109592E-2</v>
      </c>
      <c r="J426" s="3">
        <v>-1.3642594830882371E-2</v>
      </c>
      <c r="K426" s="3">
        <v>0.13360578434454573</v>
      </c>
    </row>
    <row r="427" spans="1:11" x14ac:dyDescent="0.2">
      <c r="A427" s="1">
        <v>42278</v>
      </c>
      <c r="B427">
        <v>38.554866790771399</v>
      </c>
      <c r="C427">
        <v>44.610000610351499</v>
      </c>
      <c r="D427">
        <v>44.75</v>
      </c>
      <c r="E427">
        <v>43.75</v>
      </c>
      <c r="F427">
        <v>44.75</v>
      </c>
      <c r="G427" s="2">
        <v>28657900</v>
      </c>
      <c r="H427" s="3">
        <f t="shared" si="6"/>
        <v>7.9079511218445031E-3</v>
      </c>
      <c r="J427" s="3">
        <v>-1.3634367216590726E-2</v>
      </c>
      <c r="K427" s="3">
        <v>0.13392015089594467</v>
      </c>
    </row>
    <row r="428" spans="1:11" x14ac:dyDescent="0.2">
      <c r="A428" s="1">
        <v>42279</v>
      </c>
      <c r="B428">
        <v>39.384563446044901</v>
      </c>
      <c r="C428">
        <v>45.569999694824197</v>
      </c>
      <c r="D428">
        <v>45.569999694824197</v>
      </c>
      <c r="E428">
        <v>43.919998168945298</v>
      </c>
      <c r="F428">
        <v>44.270000457763601</v>
      </c>
      <c r="G428" s="2">
        <v>41839000</v>
      </c>
      <c r="H428" s="3">
        <f t="shared" si="6"/>
        <v>2.1519894227000735E-2</v>
      </c>
      <c r="J428" s="3">
        <v>-1.358674222524725E-2</v>
      </c>
      <c r="K428" s="3">
        <v>0.1342345174473436</v>
      </c>
    </row>
    <row r="429" spans="1:11" x14ac:dyDescent="0.2">
      <c r="A429" s="1">
        <v>42282</v>
      </c>
      <c r="B429">
        <v>40.300682067871001</v>
      </c>
      <c r="C429">
        <v>46.630001068115199</v>
      </c>
      <c r="D429">
        <v>46.889999389648402</v>
      </c>
      <c r="E429">
        <v>45.700000762939403</v>
      </c>
      <c r="F429">
        <v>45.75</v>
      </c>
      <c r="G429" s="2">
        <v>34369300</v>
      </c>
      <c r="H429" s="3">
        <f t="shared" si="6"/>
        <v>2.3260855057620322E-2</v>
      </c>
      <c r="J429" s="3">
        <v>-1.3560424501291801E-2</v>
      </c>
      <c r="K429" s="3">
        <v>0.13454888399874254</v>
      </c>
    </row>
    <row r="430" spans="1:11" x14ac:dyDescent="0.2">
      <c r="A430" s="1">
        <v>42283</v>
      </c>
      <c r="B430">
        <v>40.404399871826101</v>
      </c>
      <c r="C430">
        <v>46.75</v>
      </c>
      <c r="D430">
        <v>47.180000305175703</v>
      </c>
      <c r="E430">
        <v>46.220001220703097</v>
      </c>
      <c r="F430">
        <v>46.330001831054602</v>
      </c>
      <c r="G430" s="2">
        <v>27017200</v>
      </c>
      <c r="H430" s="3">
        <f t="shared" si="6"/>
        <v>2.5735992204902747E-3</v>
      </c>
      <c r="J430" s="3">
        <v>-1.3546157227993016E-2</v>
      </c>
      <c r="K430" s="3">
        <v>0.13486325055014148</v>
      </c>
    </row>
    <row r="431" spans="1:11" x14ac:dyDescent="0.2">
      <c r="A431" s="1">
        <v>42284</v>
      </c>
      <c r="B431">
        <v>40.447601318359297</v>
      </c>
      <c r="C431">
        <v>46.799999237060497</v>
      </c>
      <c r="D431">
        <v>47.349998474121001</v>
      </c>
      <c r="E431">
        <v>45.950000762939403</v>
      </c>
      <c r="F431">
        <v>47.099998474121001</v>
      </c>
      <c r="G431" s="2">
        <v>27711500</v>
      </c>
      <c r="H431" s="3">
        <f t="shared" si="6"/>
        <v>1.0692262889744342E-3</v>
      </c>
      <c r="J431" s="3">
        <v>-1.3545157574332611E-2</v>
      </c>
      <c r="K431" s="3">
        <v>0.13517761710154039</v>
      </c>
    </row>
    <row r="432" spans="1:11" x14ac:dyDescent="0.2">
      <c r="A432" s="1">
        <v>42285</v>
      </c>
      <c r="B432">
        <v>41.009380340576101</v>
      </c>
      <c r="C432">
        <v>47.450000762939403</v>
      </c>
      <c r="D432">
        <v>47.520000457763601</v>
      </c>
      <c r="E432">
        <v>46.5</v>
      </c>
      <c r="F432">
        <v>46.560001373291001</v>
      </c>
      <c r="G432" s="2">
        <v>33772700</v>
      </c>
      <c r="H432" s="3">
        <f t="shared" si="6"/>
        <v>1.3889056554802659E-2</v>
      </c>
      <c r="J432" s="3">
        <v>-1.350776740711046E-2</v>
      </c>
      <c r="K432" s="3">
        <v>0.13549198365293932</v>
      </c>
    </row>
    <row r="433" spans="1:11" x14ac:dyDescent="0.2">
      <c r="A433" s="1">
        <v>42286</v>
      </c>
      <c r="B433">
        <v>40.715518951416001</v>
      </c>
      <c r="C433">
        <v>47.110000610351499</v>
      </c>
      <c r="D433">
        <v>47.540000915527301</v>
      </c>
      <c r="E433">
        <v>46.919998168945298</v>
      </c>
      <c r="F433">
        <v>47.450000762939403</v>
      </c>
      <c r="G433" s="2">
        <v>28600600</v>
      </c>
      <c r="H433" s="3">
        <f t="shared" si="6"/>
        <v>-7.1657115206235078E-3</v>
      </c>
      <c r="J433" s="3">
        <v>-1.3493205255803997E-2</v>
      </c>
      <c r="K433" s="3">
        <v>0.13580635020433826</v>
      </c>
    </row>
    <row r="434" spans="1:11" x14ac:dyDescent="0.2">
      <c r="A434" s="1">
        <v>42289</v>
      </c>
      <c r="B434">
        <v>40.620460510253899</v>
      </c>
      <c r="C434">
        <v>47</v>
      </c>
      <c r="D434">
        <v>47.069999694824197</v>
      </c>
      <c r="E434">
        <v>46.5</v>
      </c>
      <c r="F434">
        <v>46.9799995422363</v>
      </c>
      <c r="G434" s="2">
        <v>19769100</v>
      </c>
      <c r="H434" s="3">
        <f t="shared" si="6"/>
        <v>-2.3346980122133099E-3</v>
      </c>
      <c r="J434" s="3">
        <v>-1.3468786622685136E-2</v>
      </c>
      <c r="K434" s="3">
        <v>0.1361207167557372</v>
      </c>
    </row>
    <row r="435" spans="1:11" x14ac:dyDescent="0.2">
      <c r="A435" s="1">
        <v>42290</v>
      </c>
      <c r="B435">
        <v>40.525394439697202</v>
      </c>
      <c r="C435">
        <v>46.889999389648402</v>
      </c>
      <c r="D435">
        <v>47.130001068115199</v>
      </c>
      <c r="E435">
        <v>46.560001373291001</v>
      </c>
      <c r="F435">
        <v>46.560001373291001</v>
      </c>
      <c r="G435" s="2">
        <v>19987800</v>
      </c>
      <c r="H435" s="3">
        <f t="shared" si="6"/>
        <v>-2.3403494042786299E-3</v>
      </c>
      <c r="J435" s="3">
        <v>-1.3427766767923011E-2</v>
      </c>
      <c r="K435" s="3">
        <v>0.13643508330713611</v>
      </c>
    </row>
    <row r="436" spans="1:11" x14ac:dyDescent="0.2">
      <c r="A436" s="1">
        <v>42291</v>
      </c>
      <c r="B436">
        <v>40.343902587890597</v>
      </c>
      <c r="C436">
        <v>46.680000305175703</v>
      </c>
      <c r="D436">
        <v>47.099998474121001</v>
      </c>
      <c r="E436">
        <v>46.529998779296797</v>
      </c>
      <c r="F436">
        <v>46.650001525878899</v>
      </c>
      <c r="G436" s="2">
        <v>24697800</v>
      </c>
      <c r="H436" s="3">
        <f t="shared" si="6"/>
        <v>-4.4784721855494203E-3</v>
      </c>
      <c r="J436" s="3">
        <v>-1.3347690323968875E-2</v>
      </c>
      <c r="K436" s="3">
        <v>0.13674944985853504</v>
      </c>
    </row>
    <row r="437" spans="1:11" x14ac:dyDescent="0.2">
      <c r="A437" s="1">
        <v>42292</v>
      </c>
      <c r="B437">
        <v>40.629116058349602</v>
      </c>
      <c r="C437">
        <v>47.009998321533203</v>
      </c>
      <c r="D437">
        <v>47.029998779296797</v>
      </c>
      <c r="E437">
        <v>46.529998779296797</v>
      </c>
      <c r="F437">
        <v>47.009998321533203</v>
      </c>
      <c r="G437" s="2">
        <v>27189400</v>
      </c>
      <c r="H437" s="3">
        <f t="shared" si="6"/>
        <v>7.0695557981199642E-3</v>
      </c>
      <c r="J437" s="3">
        <v>-1.3337969031385288E-2</v>
      </c>
      <c r="K437" s="3">
        <v>0.13706381640993398</v>
      </c>
    </row>
    <row r="438" spans="1:11" x14ac:dyDescent="0.2">
      <c r="A438" s="1">
        <v>42293</v>
      </c>
      <c r="B438">
        <v>41.061225891113203</v>
      </c>
      <c r="C438">
        <v>47.509998321533203</v>
      </c>
      <c r="D438">
        <v>47.540000915527301</v>
      </c>
      <c r="E438">
        <v>46.900001525878899</v>
      </c>
      <c r="F438">
        <v>47.020000457763601</v>
      </c>
      <c r="G438" s="2">
        <v>26450300</v>
      </c>
      <c r="H438" s="3">
        <f t="shared" si="6"/>
        <v>1.0635472160974935E-2</v>
      </c>
      <c r="J438" s="3">
        <v>-1.3326489337592951E-2</v>
      </c>
      <c r="K438" s="3">
        <v>0.13737818296133292</v>
      </c>
    </row>
    <row r="439" spans="1:11" x14ac:dyDescent="0.2">
      <c r="A439" s="1">
        <v>42296</v>
      </c>
      <c r="B439">
        <v>41.156307220458899</v>
      </c>
      <c r="C439">
        <v>47.619998931884702</v>
      </c>
      <c r="D439">
        <v>47.880001068115199</v>
      </c>
      <c r="E439">
        <v>47.020000457763601</v>
      </c>
      <c r="F439">
        <v>47.419998168945298</v>
      </c>
      <c r="G439" s="2">
        <v>29387600</v>
      </c>
      <c r="H439" s="3">
        <f t="shared" si="6"/>
        <v>2.3155988960932294E-3</v>
      </c>
      <c r="J439" s="3">
        <v>-1.3321113980980681E-2</v>
      </c>
      <c r="K439" s="3">
        <v>0.13769254951273185</v>
      </c>
    </row>
    <row r="440" spans="1:11" x14ac:dyDescent="0.2">
      <c r="A440" s="1">
        <v>42297</v>
      </c>
      <c r="B440">
        <v>41.285942077636697</v>
      </c>
      <c r="C440">
        <v>47.770000457763601</v>
      </c>
      <c r="D440">
        <v>47.810001373291001</v>
      </c>
      <c r="E440">
        <v>47.020000457763601</v>
      </c>
      <c r="F440">
        <v>47.439998626708899</v>
      </c>
      <c r="G440" s="2">
        <v>30802200</v>
      </c>
      <c r="H440" s="3">
        <f t="shared" si="6"/>
        <v>3.1498175111628335E-3</v>
      </c>
      <c r="J440" s="3">
        <v>-1.3282015131036662E-2</v>
      </c>
      <c r="K440" s="3">
        <v>0.13800691606413076</v>
      </c>
    </row>
    <row r="441" spans="1:11" x14ac:dyDescent="0.2">
      <c r="A441" s="1">
        <v>42298</v>
      </c>
      <c r="B441">
        <v>40.793323516845703</v>
      </c>
      <c r="C441">
        <v>47.200000762939403</v>
      </c>
      <c r="D441">
        <v>47.990001678466797</v>
      </c>
      <c r="E441">
        <v>47.110000610351499</v>
      </c>
      <c r="F441">
        <v>47.919998168945298</v>
      </c>
      <c r="G441" s="2">
        <v>25144300</v>
      </c>
      <c r="H441" s="3">
        <f t="shared" si="6"/>
        <v>-1.1931871625083468E-2</v>
      </c>
      <c r="J441" s="3">
        <v>-1.327072303520882E-2</v>
      </c>
      <c r="K441" s="3">
        <v>0.1383212826155297</v>
      </c>
    </row>
    <row r="442" spans="1:11" x14ac:dyDescent="0.2">
      <c r="A442" s="1">
        <v>42299</v>
      </c>
      <c r="B442">
        <v>41.510646820068303</v>
      </c>
      <c r="C442">
        <v>48.029998779296797</v>
      </c>
      <c r="D442">
        <v>48.950000762939403</v>
      </c>
      <c r="E442">
        <v>47.090000152587798</v>
      </c>
      <c r="F442">
        <v>47.529998779296797</v>
      </c>
      <c r="G442" s="2">
        <v>56637100</v>
      </c>
      <c r="H442" s="3">
        <f t="shared" si="6"/>
        <v>1.7584330997850062E-2</v>
      </c>
      <c r="J442" s="3">
        <v>-1.3267036466460658E-2</v>
      </c>
      <c r="K442" s="3">
        <v>0.13863564916692864</v>
      </c>
    </row>
    <row r="443" spans="1:11" x14ac:dyDescent="0.2">
      <c r="A443" s="1">
        <v>42300</v>
      </c>
      <c r="B443">
        <v>45.693695068359297</v>
      </c>
      <c r="C443">
        <v>52.869998931884702</v>
      </c>
      <c r="D443">
        <v>54.069999694824197</v>
      </c>
      <c r="E443">
        <v>52.25</v>
      </c>
      <c r="F443">
        <v>52.299999237060497</v>
      </c>
      <c r="G443" s="2">
        <v>135227100</v>
      </c>
      <c r="H443" s="3">
        <f t="shared" si="6"/>
        <v>0.10077049067490562</v>
      </c>
      <c r="J443" s="3">
        <v>-1.3265735440726067E-2</v>
      </c>
      <c r="K443" s="3">
        <v>0.13895001571832757</v>
      </c>
    </row>
    <row r="444" spans="1:11" x14ac:dyDescent="0.2">
      <c r="A444" s="1">
        <v>42303</v>
      </c>
      <c r="B444">
        <v>46.886386871337798</v>
      </c>
      <c r="C444">
        <v>54.25</v>
      </c>
      <c r="D444">
        <v>54.319999694824197</v>
      </c>
      <c r="E444">
        <v>52.5</v>
      </c>
      <c r="F444">
        <v>52.529998779296797</v>
      </c>
      <c r="G444" s="2">
        <v>64633300</v>
      </c>
      <c r="H444" s="3">
        <f t="shared" si="6"/>
        <v>2.6101890013363827E-2</v>
      </c>
      <c r="J444" s="3">
        <v>-1.3250894773592758E-2</v>
      </c>
      <c r="K444" s="3">
        <v>0.13926438226972651</v>
      </c>
    </row>
    <row r="445" spans="1:11" x14ac:dyDescent="0.2">
      <c r="A445" s="1">
        <v>42304</v>
      </c>
      <c r="B445">
        <v>46.402389526367102</v>
      </c>
      <c r="C445">
        <v>53.689998626708899</v>
      </c>
      <c r="D445">
        <v>54.369998931884702</v>
      </c>
      <c r="E445">
        <v>53.580001831054602</v>
      </c>
      <c r="F445">
        <v>53.990001678466797</v>
      </c>
      <c r="G445" s="2">
        <v>50999900</v>
      </c>
      <c r="H445" s="3">
        <f t="shared" si="6"/>
        <v>-1.0322769086448136E-2</v>
      </c>
      <c r="J445" s="3">
        <v>-1.3239423300378972E-2</v>
      </c>
      <c r="K445" s="3">
        <v>0.13957874882112542</v>
      </c>
    </row>
    <row r="446" spans="1:11" x14ac:dyDescent="0.2">
      <c r="A446" s="1">
        <v>42305</v>
      </c>
      <c r="B446">
        <v>46.653030395507798</v>
      </c>
      <c r="C446">
        <v>53.9799995422363</v>
      </c>
      <c r="D446">
        <v>53.9799995422363</v>
      </c>
      <c r="E446">
        <v>52.860000610351499</v>
      </c>
      <c r="F446">
        <v>53.540000915527301</v>
      </c>
      <c r="G446" s="2">
        <v>47000800</v>
      </c>
      <c r="H446" s="3">
        <f t="shared" si="6"/>
        <v>5.4014647025510953E-3</v>
      </c>
      <c r="J446" s="3">
        <v>-1.321368448374971E-2</v>
      </c>
      <c r="K446" s="3">
        <v>0.13989311537252436</v>
      </c>
    </row>
    <row r="447" spans="1:11" x14ac:dyDescent="0.2">
      <c r="A447" s="1">
        <v>42306</v>
      </c>
      <c r="B447">
        <v>46.1171875</v>
      </c>
      <c r="C447">
        <v>53.360000610351499</v>
      </c>
      <c r="D447">
        <v>53.830001831054602</v>
      </c>
      <c r="E447">
        <v>53.220001220703097</v>
      </c>
      <c r="F447">
        <v>53.540000915527301</v>
      </c>
      <c r="G447" s="2">
        <v>30202100</v>
      </c>
      <c r="H447" s="3">
        <f t="shared" si="6"/>
        <v>-1.1485703950313897E-2</v>
      </c>
      <c r="J447" s="3">
        <v>-1.3202054951735209E-2</v>
      </c>
      <c r="K447" s="3">
        <v>0.14020748192392329</v>
      </c>
    </row>
    <row r="448" spans="1:11" x14ac:dyDescent="0.2">
      <c r="A448" s="1">
        <v>42307</v>
      </c>
      <c r="B448">
        <v>45.494918823242102</v>
      </c>
      <c r="C448">
        <v>52.639999389648402</v>
      </c>
      <c r="D448">
        <v>53.990001678466797</v>
      </c>
      <c r="E448">
        <v>52.619998931884702</v>
      </c>
      <c r="F448">
        <v>53.319999694824197</v>
      </c>
      <c r="G448" s="2">
        <v>46619800</v>
      </c>
      <c r="H448" s="3">
        <f t="shared" si="6"/>
        <v>-1.3493205255803997E-2</v>
      </c>
      <c r="J448" s="3">
        <v>-1.3189062291076414E-2</v>
      </c>
      <c r="K448" s="3">
        <v>0.14052184847532223</v>
      </c>
    </row>
    <row r="449" spans="1:11" x14ac:dyDescent="0.2">
      <c r="A449" s="1">
        <v>42310</v>
      </c>
      <c r="B449">
        <v>46.013473510742102</v>
      </c>
      <c r="C449">
        <v>53.240001678466797</v>
      </c>
      <c r="D449">
        <v>53.360000610351499</v>
      </c>
      <c r="E449">
        <v>52.619998931884702</v>
      </c>
      <c r="F449">
        <v>52.849998474121001</v>
      </c>
      <c r="G449" s="2">
        <v>30285000</v>
      </c>
      <c r="H449" s="3">
        <f t="shared" si="6"/>
        <v>1.1398079190221289E-2</v>
      </c>
      <c r="J449" s="3">
        <v>-1.3183801648561699E-2</v>
      </c>
      <c r="K449" s="3">
        <v>0.14083621502672117</v>
      </c>
    </row>
    <row r="450" spans="1:11" x14ac:dyDescent="0.2">
      <c r="A450" s="1">
        <v>42311</v>
      </c>
      <c r="B450">
        <v>46.799957275390597</v>
      </c>
      <c r="C450">
        <v>54.150001525878899</v>
      </c>
      <c r="D450">
        <v>54.389999389648402</v>
      </c>
      <c r="E450">
        <v>52.900001525878899</v>
      </c>
      <c r="F450">
        <v>52.930000305175703</v>
      </c>
      <c r="G450" s="2">
        <v>36596900</v>
      </c>
      <c r="H450" s="3">
        <f t="shared" ref="H450:H513" si="7">B450/B449-1</f>
        <v>1.7092466719881294E-2</v>
      </c>
      <c r="J450" s="3">
        <v>-1.317933112246128E-2</v>
      </c>
      <c r="K450" s="3">
        <v>0.14115058157812008</v>
      </c>
    </row>
    <row r="451" spans="1:11" x14ac:dyDescent="0.2">
      <c r="A451" s="1">
        <v>42312</v>
      </c>
      <c r="B451">
        <v>47.016025543212798</v>
      </c>
      <c r="C451">
        <v>54.400001525878899</v>
      </c>
      <c r="D451">
        <v>54.880001068115199</v>
      </c>
      <c r="E451">
        <v>54.060001373291001</v>
      </c>
      <c r="F451">
        <v>54.180000305175703</v>
      </c>
      <c r="G451" s="2">
        <v>37087800</v>
      </c>
      <c r="H451" s="3">
        <f t="shared" si="7"/>
        <v>4.6168475443419954E-3</v>
      </c>
      <c r="J451" s="3">
        <v>-1.3163420642889667E-2</v>
      </c>
      <c r="K451" s="3">
        <v>0.14146494812951901</v>
      </c>
    </row>
    <row r="452" spans="1:11" x14ac:dyDescent="0.2">
      <c r="A452" s="1">
        <v>42313</v>
      </c>
      <c r="B452">
        <v>46.998733520507798</v>
      </c>
      <c r="C452">
        <v>54.380001068115199</v>
      </c>
      <c r="D452">
        <v>54.700000762939403</v>
      </c>
      <c r="E452">
        <v>54</v>
      </c>
      <c r="F452">
        <v>54.490001678466797</v>
      </c>
      <c r="G452" s="2">
        <v>31468500</v>
      </c>
      <c r="H452" s="3">
        <f t="shared" si="7"/>
        <v>-3.6778997172159933E-4</v>
      </c>
      <c r="J452" s="3">
        <v>-1.3147777346984135E-2</v>
      </c>
      <c r="K452" s="3">
        <v>0.14177931468091795</v>
      </c>
    </row>
    <row r="453" spans="1:11" x14ac:dyDescent="0.2">
      <c r="A453" s="1">
        <v>42314</v>
      </c>
      <c r="B453">
        <v>47.465442657470703</v>
      </c>
      <c r="C453">
        <v>54.919998168945298</v>
      </c>
      <c r="D453">
        <v>54.9799995422363</v>
      </c>
      <c r="E453">
        <v>53.959999084472599</v>
      </c>
      <c r="F453">
        <v>54.090000152587798</v>
      </c>
      <c r="G453" s="2">
        <v>32851200</v>
      </c>
      <c r="H453" s="3">
        <f t="shared" si="7"/>
        <v>9.9302492216999383E-3</v>
      </c>
      <c r="J453" s="3">
        <v>-1.3134102629696387E-2</v>
      </c>
      <c r="K453" s="3">
        <v>0.14209368123231689</v>
      </c>
    </row>
    <row r="454" spans="1:11" x14ac:dyDescent="0.2">
      <c r="A454" s="1">
        <v>42317</v>
      </c>
      <c r="B454">
        <v>46.808597564697202</v>
      </c>
      <c r="C454">
        <v>54.159999847412102</v>
      </c>
      <c r="D454">
        <v>54.869998931884702</v>
      </c>
      <c r="E454">
        <v>53.560001373291001</v>
      </c>
      <c r="F454">
        <v>54.549999237060497</v>
      </c>
      <c r="G454" s="2">
        <v>32513100</v>
      </c>
      <c r="H454" s="3">
        <f t="shared" si="7"/>
        <v>-1.383838548633276E-2</v>
      </c>
      <c r="J454" s="3">
        <v>-1.3102710929563166E-2</v>
      </c>
      <c r="K454" s="3">
        <v>0.14240804778371582</v>
      </c>
    </row>
    <row r="455" spans="1:11" x14ac:dyDescent="0.2">
      <c r="A455" s="1">
        <v>42318</v>
      </c>
      <c r="B455">
        <v>46.246833801269503</v>
      </c>
      <c r="C455">
        <v>53.509998321533203</v>
      </c>
      <c r="D455">
        <v>54.130001068115199</v>
      </c>
      <c r="E455">
        <v>53.270000457763601</v>
      </c>
      <c r="F455">
        <v>54.069999694824197</v>
      </c>
      <c r="G455" s="2">
        <v>55283700</v>
      </c>
      <c r="H455" s="3">
        <f t="shared" si="7"/>
        <v>-1.2001294476965407E-2</v>
      </c>
      <c r="J455" s="3">
        <v>-1.3086210292931555E-2</v>
      </c>
      <c r="K455" s="3">
        <v>0.14272241433511473</v>
      </c>
    </row>
    <row r="456" spans="1:11" x14ac:dyDescent="0.2">
      <c r="A456" s="1">
        <v>42319</v>
      </c>
      <c r="B456">
        <v>46.367820739746001</v>
      </c>
      <c r="C456">
        <v>53.650001525878899</v>
      </c>
      <c r="D456">
        <v>54.200000762939403</v>
      </c>
      <c r="E456">
        <v>53.459999084472599</v>
      </c>
      <c r="F456">
        <v>53.700000762939403</v>
      </c>
      <c r="G456" s="2">
        <v>36516300</v>
      </c>
      <c r="H456" s="3">
        <f t="shared" si="7"/>
        <v>2.6161128996722294E-3</v>
      </c>
      <c r="J456" s="3">
        <v>-1.3059120471284769E-2</v>
      </c>
      <c r="K456" s="3">
        <v>0.14303678088651367</v>
      </c>
    </row>
    <row r="457" spans="1:11" x14ac:dyDescent="0.2">
      <c r="A457" s="1">
        <v>42320</v>
      </c>
      <c r="B457">
        <v>46.082618713378899</v>
      </c>
      <c r="C457">
        <v>53.319999694824197</v>
      </c>
      <c r="D457">
        <v>53.9799995422363</v>
      </c>
      <c r="E457">
        <v>53.189998626708899</v>
      </c>
      <c r="F457">
        <v>53.4799995422363</v>
      </c>
      <c r="G457" s="2">
        <v>35361100</v>
      </c>
      <c r="H457" s="3">
        <f t="shared" si="7"/>
        <v>-6.1508611320745255E-3</v>
      </c>
      <c r="J457" s="3">
        <v>-1.3039003529768722E-2</v>
      </c>
      <c r="K457" s="3">
        <v>0.14335114743791261</v>
      </c>
    </row>
    <row r="458" spans="1:11" x14ac:dyDescent="0.2">
      <c r="A458" s="1">
        <v>42321</v>
      </c>
      <c r="B458">
        <v>45.667766571044901</v>
      </c>
      <c r="C458">
        <v>52.840000152587798</v>
      </c>
      <c r="D458">
        <v>53.290000915527301</v>
      </c>
      <c r="E458">
        <v>52.529998779296797</v>
      </c>
      <c r="F458">
        <v>53.069999694824197</v>
      </c>
      <c r="G458" s="2">
        <v>36848200</v>
      </c>
      <c r="H458" s="3">
        <f t="shared" si="7"/>
        <v>-9.0023560708271111E-3</v>
      </c>
      <c r="J458" s="3">
        <v>-1.302858103732607E-2</v>
      </c>
      <c r="K458" s="3">
        <v>0.14366551398931154</v>
      </c>
    </row>
    <row r="459" spans="1:11" x14ac:dyDescent="0.2">
      <c r="A459" s="1">
        <v>42324</v>
      </c>
      <c r="B459">
        <v>46.471530914306598</v>
      </c>
      <c r="C459">
        <v>53.770000457763601</v>
      </c>
      <c r="D459">
        <v>53.889999389648402</v>
      </c>
      <c r="E459">
        <v>52.849998474121001</v>
      </c>
      <c r="F459">
        <v>53.080001831054602</v>
      </c>
      <c r="G459" s="2">
        <v>32165200</v>
      </c>
      <c r="H459" s="3">
        <f t="shared" si="7"/>
        <v>1.7600255138628063E-2</v>
      </c>
      <c r="J459" s="3">
        <v>-1.3017908083143404E-2</v>
      </c>
      <c r="K459" s="3">
        <v>0.14397988054071048</v>
      </c>
    </row>
    <row r="460" spans="1:11" x14ac:dyDescent="0.2">
      <c r="A460" s="1">
        <v>42325</v>
      </c>
      <c r="B460">
        <v>46.0887031555175</v>
      </c>
      <c r="C460">
        <v>52.970001220703097</v>
      </c>
      <c r="D460">
        <v>53.529998779296797</v>
      </c>
      <c r="E460">
        <v>52.849998474121001</v>
      </c>
      <c r="F460">
        <v>53.169998168945298</v>
      </c>
      <c r="G460" s="2">
        <v>31551300</v>
      </c>
      <c r="H460" s="3">
        <f t="shared" si="7"/>
        <v>-8.2378985855885434E-3</v>
      </c>
      <c r="J460" s="3">
        <v>-1.2985116638572824E-2</v>
      </c>
      <c r="K460" s="3">
        <v>0.14429424709210939</v>
      </c>
    </row>
    <row r="461" spans="1:11" x14ac:dyDescent="0.2">
      <c r="A461" s="1">
        <v>42326</v>
      </c>
      <c r="B461">
        <v>46.8543891906738</v>
      </c>
      <c r="C461">
        <v>53.849998474121001</v>
      </c>
      <c r="D461">
        <v>53.9799995422363</v>
      </c>
      <c r="E461">
        <v>52.9799995422363</v>
      </c>
      <c r="F461">
        <v>53</v>
      </c>
      <c r="G461" s="2">
        <v>29710000</v>
      </c>
      <c r="H461" s="3">
        <f t="shared" si="7"/>
        <v>1.6613312650014089E-2</v>
      </c>
      <c r="J461" s="3">
        <v>-1.2971645588989777E-2</v>
      </c>
      <c r="K461" s="3">
        <v>0.14460861364350833</v>
      </c>
    </row>
    <row r="462" spans="1:11" x14ac:dyDescent="0.2">
      <c r="A462" s="1">
        <v>42327</v>
      </c>
      <c r="B462">
        <v>46.932682037353501</v>
      </c>
      <c r="C462">
        <v>53.939998626708899</v>
      </c>
      <c r="D462">
        <v>54.659999847412102</v>
      </c>
      <c r="E462">
        <v>53.779998779296797</v>
      </c>
      <c r="F462">
        <v>53.990001678466797</v>
      </c>
      <c r="G462" s="2">
        <v>28149200</v>
      </c>
      <c r="H462" s="3">
        <f t="shared" si="7"/>
        <v>1.6709821221037036E-3</v>
      </c>
      <c r="J462" s="3">
        <v>-1.2961178779198779E-2</v>
      </c>
      <c r="K462" s="3">
        <v>0.14492298019490726</v>
      </c>
    </row>
    <row r="463" spans="1:11" x14ac:dyDescent="0.2">
      <c r="A463" s="1">
        <v>42328</v>
      </c>
      <c r="B463">
        <v>47.150203704833899</v>
      </c>
      <c r="C463">
        <v>54.189998626708899</v>
      </c>
      <c r="D463">
        <v>54.299999237060497</v>
      </c>
      <c r="E463">
        <v>53.270000457763601</v>
      </c>
      <c r="F463">
        <v>54.25</v>
      </c>
      <c r="G463" s="2">
        <v>37147600</v>
      </c>
      <c r="H463" s="3">
        <f t="shared" si="7"/>
        <v>4.63475893636911E-3</v>
      </c>
      <c r="J463" s="3">
        <v>-1.2957009832478383E-2</v>
      </c>
      <c r="K463" s="3">
        <v>0.1452373467463062</v>
      </c>
    </row>
    <row r="464" spans="1:11" x14ac:dyDescent="0.2">
      <c r="A464" s="1">
        <v>42331</v>
      </c>
      <c r="B464">
        <v>47.150203704833899</v>
      </c>
      <c r="C464">
        <v>54.189998626708899</v>
      </c>
      <c r="D464">
        <v>54.459999084472599</v>
      </c>
      <c r="E464">
        <v>53.75</v>
      </c>
      <c r="F464">
        <v>54.25</v>
      </c>
      <c r="G464" s="2">
        <v>28235900</v>
      </c>
      <c r="H464" s="3">
        <f t="shared" si="7"/>
        <v>0</v>
      </c>
      <c r="J464" s="3">
        <v>-1.2857594780478987E-2</v>
      </c>
      <c r="K464" s="3">
        <v>0.14555171329770514</v>
      </c>
    </row>
    <row r="465" spans="1:11" x14ac:dyDescent="0.2">
      <c r="A465" s="1">
        <v>42332</v>
      </c>
      <c r="B465">
        <v>47.202419281005803</v>
      </c>
      <c r="C465">
        <v>54.25</v>
      </c>
      <c r="D465">
        <v>54.439998626708899</v>
      </c>
      <c r="E465">
        <v>53.580001831054602</v>
      </c>
      <c r="F465">
        <v>53.919998168945298</v>
      </c>
      <c r="G465" s="2">
        <v>24600000</v>
      </c>
      <c r="H465" s="3">
        <f t="shared" si="7"/>
        <v>1.1074305531908468E-3</v>
      </c>
      <c r="J465" s="3">
        <v>-1.285196913381681E-2</v>
      </c>
      <c r="K465" s="3">
        <v>0.14586607984910405</v>
      </c>
    </row>
    <row r="466" spans="1:11" x14ac:dyDescent="0.2">
      <c r="A466" s="1">
        <v>42333</v>
      </c>
      <c r="B466">
        <v>46.715156555175703</v>
      </c>
      <c r="C466">
        <v>53.689998626708899</v>
      </c>
      <c r="D466">
        <v>54.2299995422363</v>
      </c>
      <c r="E466">
        <v>53.689998626708899</v>
      </c>
      <c r="F466">
        <v>54.090000152587798</v>
      </c>
      <c r="G466" s="2">
        <v>21005100</v>
      </c>
      <c r="H466" s="3">
        <f t="shared" si="7"/>
        <v>-1.03228337286978E-2</v>
      </c>
      <c r="J466" s="3">
        <v>-1.2842662156573703E-2</v>
      </c>
      <c r="K466" s="3">
        <v>0.14618044640050298</v>
      </c>
    </row>
    <row r="467" spans="1:11" x14ac:dyDescent="0.2">
      <c r="A467" s="1">
        <v>42335</v>
      </c>
      <c r="B467">
        <v>46.923995971679602</v>
      </c>
      <c r="C467">
        <v>53.930000305175703</v>
      </c>
      <c r="D467">
        <v>54.080001831054602</v>
      </c>
      <c r="E467">
        <v>53.790000915527301</v>
      </c>
      <c r="F467">
        <v>53.799999237060497</v>
      </c>
      <c r="G467" s="2">
        <v>9009100</v>
      </c>
      <c r="H467" s="3">
        <f t="shared" si="7"/>
        <v>4.4704852108810034E-3</v>
      </c>
      <c r="J467" s="3">
        <v>-1.2808653711429141E-2</v>
      </c>
      <c r="K467" s="3">
        <v>0.14649481295190192</v>
      </c>
    </row>
    <row r="468" spans="1:11" x14ac:dyDescent="0.2">
      <c r="A468" s="1">
        <v>42338</v>
      </c>
      <c r="B468">
        <v>47.289424896240199</v>
      </c>
      <c r="C468">
        <v>54.349998474121001</v>
      </c>
      <c r="D468">
        <v>54.959999084472599</v>
      </c>
      <c r="E468">
        <v>54</v>
      </c>
      <c r="F468">
        <v>54.540000915527301</v>
      </c>
      <c r="G468" s="2">
        <v>56241400</v>
      </c>
      <c r="H468" s="3">
        <f t="shared" si="7"/>
        <v>7.7876770081803937E-3</v>
      </c>
      <c r="J468" s="3">
        <v>-1.2808374049758098E-2</v>
      </c>
      <c r="K468" s="3">
        <v>0.14680917950330086</v>
      </c>
    </row>
    <row r="469" spans="1:11" x14ac:dyDescent="0.2">
      <c r="A469" s="1">
        <v>42339</v>
      </c>
      <c r="B469">
        <v>48.046398162841797</v>
      </c>
      <c r="C469">
        <v>55.220001220703097</v>
      </c>
      <c r="D469">
        <v>55.2299995422363</v>
      </c>
      <c r="E469">
        <v>54.299999237060497</v>
      </c>
      <c r="F469">
        <v>54.409999847412102</v>
      </c>
      <c r="G469" s="2">
        <v>39952800</v>
      </c>
      <c r="H469" s="3">
        <f t="shared" si="7"/>
        <v>1.6007241962923136E-2</v>
      </c>
      <c r="J469" s="3">
        <v>-1.2785356000778014E-2</v>
      </c>
      <c r="K469" s="3">
        <v>0.14712354605469977</v>
      </c>
    </row>
    <row r="470" spans="1:11" x14ac:dyDescent="0.2">
      <c r="A470" s="1">
        <v>42340</v>
      </c>
      <c r="B470">
        <v>48.037700653076101</v>
      </c>
      <c r="C470">
        <v>55.209999084472599</v>
      </c>
      <c r="D470">
        <v>55.959999084472599</v>
      </c>
      <c r="E470">
        <v>55.060001373291001</v>
      </c>
      <c r="F470">
        <v>55.319999694824197</v>
      </c>
      <c r="G470" s="2">
        <v>47274900</v>
      </c>
      <c r="H470" s="3">
        <f t="shared" si="7"/>
        <v>-1.8102313801371395E-4</v>
      </c>
      <c r="J470" s="3">
        <v>-1.2765690347136815E-2</v>
      </c>
      <c r="K470" s="3">
        <v>0.1474379126060987</v>
      </c>
    </row>
    <row r="471" spans="1:11" x14ac:dyDescent="0.2">
      <c r="A471" s="1">
        <v>42341</v>
      </c>
      <c r="B471">
        <v>47.158897399902301</v>
      </c>
      <c r="C471">
        <v>54.200000762939403</v>
      </c>
      <c r="D471">
        <v>55.770000457763601</v>
      </c>
      <c r="E471">
        <v>53.930000305175703</v>
      </c>
      <c r="F471">
        <v>55.490001678466797</v>
      </c>
      <c r="G471" s="2">
        <v>38627800</v>
      </c>
      <c r="H471" s="3">
        <f t="shared" si="7"/>
        <v>-1.8294032420919537E-2</v>
      </c>
      <c r="J471" s="3">
        <v>-1.2751412346753921E-2</v>
      </c>
      <c r="K471" s="3">
        <v>0.14775227915749764</v>
      </c>
    </row>
    <row r="472" spans="1:11" x14ac:dyDescent="0.2">
      <c r="A472" s="1">
        <v>42342</v>
      </c>
      <c r="B472">
        <v>48.646766662597599</v>
      </c>
      <c r="C472">
        <v>55.909999847412102</v>
      </c>
      <c r="D472">
        <v>56.2299995422363</v>
      </c>
      <c r="E472">
        <v>54.099998474121001</v>
      </c>
      <c r="F472">
        <v>54.119998931884702</v>
      </c>
      <c r="G472" s="2">
        <v>43963700</v>
      </c>
      <c r="H472" s="3">
        <f t="shared" si="7"/>
        <v>3.1550128283923451E-2</v>
      </c>
      <c r="J472" s="3">
        <v>-1.2739136333731693E-2</v>
      </c>
      <c r="K472" s="3">
        <v>0.14806664570889658</v>
      </c>
    </row>
    <row r="473" spans="1:11" x14ac:dyDescent="0.2">
      <c r="A473" s="1">
        <v>42345</v>
      </c>
      <c r="B473">
        <v>48.559757232666001</v>
      </c>
      <c r="C473">
        <v>55.810001373291001</v>
      </c>
      <c r="D473">
        <v>55.970001220703097</v>
      </c>
      <c r="E473">
        <v>55.290000915527301</v>
      </c>
      <c r="F473">
        <v>55.790000915527301</v>
      </c>
      <c r="G473" s="2">
        <v>30709800</v>
      </c>
      <c r="H473" s="3">
        <f t="shared" si="7"/>
        <v>-1.7885963631473212E-3</v>
      </c>
      <c r="J473" s="3">
        <v>-1.2719040327672571E-2</v>
      </c>
      <c r="K473" s="3">
        <v>0.14838101226029551</v>
      </c>
    </row>
    <row r="474" spans="1:11" x14ac:dyDescent="0.2">
      <c r="A474" s="1">
        <v>42346</v>
      </c>
      <c r="B474">
        <v>48.542350769042898</v>
      </c>
      <c r="C474">
        <v>55.790000915527301</v>
      </c>
      <c r="D474">
        <v>56.099998474121001</v>
      </c>
      <c r="E474">
        <v>54.990001678466797</v>
      </c>
      <c r="F474">
        <v>55.470001220703097</v>
      </c>
      <c r="G474" s="2">
        <v>32878000</v>
      </c>
      <c r="H474" s="3">
        <f t="shared" si="7"/>
        <v>-3.5845450255655997E-4</v>
      </c>
      <c r="J474" s="3">
        <v>-1.2698165938248573E-2</v>
      </c>
      <c r="K474" s="3">
        <v>0.14869537881169442</v>
      </c>
    </row>
    <row r="475" spans="1:11" x14ac:dyDescent="0.2">
      <c r="A475" s="1">
        <v>42347</v>
      </c>
      <c r="B475">
        <v>47.837577819824197</v>
      </c>
      <c r="C475">
        <v>54.9799995422363</v>
      </c>
      <c r="D475">
        <v>55.869998931884702</v>
      </c>
      <c r="E475">
        <v>54.509998321533203</v>
      </c>
      <c r="F475">
        <v>55.369998931884702</v>
      </c>
      <c r="G475" s="2">
        <v>36373200</v>
      </c>
      <c r="H475" s="3">
        <f t="shared" si="7"/>
        <v>-1.4518723095465647E-2</v>
      </c>
      <c r="J475" s="3">
        <v>-1.2648909404049502E-2</v>
      </c>
      <c r="K475" s="3">
        <v>0.14900974536309336</v>
      </c>
    </row>
    <row r="476" spans="1:11" x14ac:dyDescent="0.2">
      <c r="A476" s="1">
        <v>42348</v>
      </c>
      <c r="B476">
        <v>48.089893341064403</v>
      </c>
      <c r="C476">
        <v>55.270000457763601</v>
      </c>
      <c r="D476">
        <v>55.659999847412102</v>
      </c>
      <c r="E476">
        <v>55.009998321533203</v>
      </c>
      <c r="F476">
        <v>55.389999389648402</v>
      </c>
      <c r="G476" s="2">
        <v>31775800</v>
      </c>
      <c r="H476" s="3">
        <f t="shared" si="7"/>
        <v>5.2744209205266568E-3</v>
      </c>
      <c r="J476" s="3">
        <v>-1.2629318324044458E-2</v>
      </c>
      <c r="K476" s="3">
        <v>0.1493241119144923</v>
      </c>
    </row>
    <row r="477" spans="1:11" x14ac:dyDescent="0.2">
      <c r="A477" s="1">
        <v>42349</v>
      </c>
      <c r="B477">
        <v>47.037097930908203</v>
      </c>
      <c r="C477">
        <v>54.060001373291001</v>
      </c>
      <c r="D477">
        <v>55.099998474121001</v>
      </c>
      <c r="E477">
        <v>54.009998321533203</v>
      </c>
      <c r="F477">
        <v>54.709999084472599</v>
      </c>
      <c r="G477" s="2">
        <v>39549500</v>
      </c>
      <c r="H477" s="3">
        <f t="shared" si="7"/>
        <v>-2.1892238410460507E-2</v>
      </c>
      <c r="J477" s="3">
        <v>-1.2578586053589302E-2</v>
      </c>
      <c r="K477" s="3">
        <v>0.14963847846589123</v>
      </c>
    </row>
    <row r="478" spans="1:11" x14ac:dyDescent="0.2">
      <c r="A478" s="1">
        <v>42352</v>
      </c>
      <c r="B478">
        <v>47.976799011230398</v>
      </c>
      <c r="C478">
        <v>55.139999389648402</v>
      </c>
      <c r="D478">
        <v>55.209999084472599</v>
      </c>
      <c r="E478">
        <v>53.680000305175703</v>
      </c>
      <c r="F478">
        <v>54.330001831054602</v>
      </c>
      <c r="G478" s="2">
        <v>46768900</v>
      </c>
      <c r="H478" s="3">
        <f t="shared" si="7"/>
        <v>1.9977871119993384E-2</v>
      </c>
      <c r="J478" s="3">
        <v>-1.2563751588789862E-2</v>
      </c>
      <c r="K478" s="3">
        <v>0.14995284501729017</v>
      </c>
    </row>
    <row r="479" spans="1:11" x14ac:dyDescent="0.2">
      <c r="A479" s="1">
        <v>42353</v>
      </c>
      <c r="B479">
        <v>48.029006958007798</v>
      </c>
      <c r="C479">
        <v>55.200000762939403</v>
      </c>
      <c r="D479">
        <v>55.900001525878899</v>
      </c>
      <c r="E479">
        <v>55.090000152587798</v>
      </c>
      <c r="F479">
        <v>55.659999847412102</v>
      </c>
      <c r="G479" s="2">
        <v>39843000</v>
      </c>
      <c r="H479" s="3">
        <f t="shared" si="7"/>
        <v>1.0881915395226649E-3</v>
      </c>
      <c r="J479" s="3">
        <v>-1.2502833245771172E-2</v>
      </c>
      <c r="K479" s="3">
        <v>0.15026721156868908</v>
      </c>
    </row>
    <row r="480" spans="1:11" x14ac:dyDescent="0.2">
      <c r="A480" s="1">
        <v>42354</v>
      </c>
      <c r="B480">
        <v>48.838184356689403</v>
      </c>
      <c r="C480">
        <v>56.130001068115199</v>
      </c>
      <c r="D480">
        <v>56.25</v>
      </c>
      <c r="E480">
        <v>54.759998321533203</v>
      </c>
      <c r="F480">
        <v>55.540000915527301</v>
      </c>
      <c r="G480" s="2">
        <v>37503300</v>
      </c>
      <c r="H480" s="3">
        <f t="shared" si="7"/>
        <v>1.6847681222913469E-2</v>
      </c>
      <c r="J480" s="3">
        <v>-1.2502566835084328E-2</v>
      </c>
      <c r="K480" s="3">
        <v>0.15058157812008802</v>
      </c>
    </row>
    <row r="481" spans="1:11" x14ac:dyDescent="0.2">
      <c r="A481" s="1">
        <v>42355</v>
      </c>
      <c r="B481">
        <v>48.464046478271399</v>
      </c>
      <c r="C481">
        <v>55.700000762939403</v>
      </c>
      <c r="D481">
        <v>56.790000915527301</v>
      </c>
      <c r="E481">
        <v>55.529998779296797</v>
      </c>
      <c r="F481">
        <v>56.360000610351499</v>
      </c>
      <c r="G481" s="2">
        <v>41280900</v>
      </c>
      <c r="H481" s="3">
        <f t="shared" si="7"/>
        <v>-7.6607655126056384E-3</v>
      </c>
      <c r="J481" s="3">
        <v>-1.245196270855109E-2</v>
      </c>
      <c r="K481" s="3">
        <v>0.15089594467148695</v>
      </c>
    </row>
    <row r="482" spans="1:11" x14ac:dyDescent="0.2">
      <c r="A482" s="1">
        <v>42356</v>
      </c>
      <c r="B482">
        <v>47.097995758056598</v>
      </c>
      <c r="C482">
        <v>54.130001068115199</v>
      </c>
      <c r="D482">
        <v>56</v>
      </c>
      <c r="E482">
        <v>54.029998779296797</v>
      </c>
      <c r="F482">
        <v>55.770000457763601</v>
      </c>
      <c r="G482" s="2">
        <v>84684200</v>
      </c>
      <c r="H482" s="3">
        <f t="shared" si="7"/>
        <v>-2.818688944653569E-2</v>
      </c>
      <c r="J482" s="3">
        <v>-1.2433876008247191E-2</v>
      </c>
      <c r="K482" s="3">
        <v>0.15121031122288589</v>
      </c>
    </row>
    <row r="483" spans="1:11" x14ac:dyDescent="0.2">
      <c r="A483" s="1">
        <v>42359</v>
      </c>
      <c r="B483">
        <v>47.707057952880803</v>
      </c>
      <c r="C483">
        <v>54.830001831054602</v>
      </c>
      <c r="D483">
        <v>55.349998474121001</v>
      </c>
      <c r="E483">
        <v>54.2299995422363</v>
      </c>
      <c r="F483">
        <v>54.880001068115199</v>
      </c>
      <c r="G483" s="2">
        <v>37246300</v>
      </c>
      <c r="H483" s="3">
        <f t="shared" si="7"/>
        <v>1.293180707631314E-2</v>
      </c>
      <c r="J483" s="3">
        <v>-1.2419104938178882E-2</v>
      </c>
      <c r="K483" s="3">
        <v>0.15152467777428483</v>
      </c>
    </row>
    <row r="484" spans="1:11" x14ac:dyDescent="0.2">
      <c r="A484" s="1">
        <v>42360</v>
      </c>
      <c r="B484">
        <v>48.1595039367675</v>
      </c>
      <c r="C484">
        <v>55.349998474121001</v>
      </c>
      <c r="D484">
        <v>55.4799995422363</v>
      </c>
      <c r="E484">
        <v>54.5</v>
      </c>
      <c r="F484">
        <v>54.990001678466797</v>
      </c>
      <c r="G484" s="2">
        <v>28322200</v>
      </c>
      <c r="H484" s="3">
        <f t="shared" si="7"/>
        <v>9.4838374718804186E-3</v>
      </c>
      <c r="J484" s="3">
        <v>-1.2373013855226156E-2</v>
      </c>
      <c r="K484" s="3">
        <v>0.15183904432568374</v>
      </c>
    </row>
    <row r="485" spans="1:11" x14ac:dyDescent="0.2">
      <c r="A485" s="1">
        <v>42361</v>
      </c>
      <c r="B485">
        <v>48.568447113037102</v>
      </c>
      <c r="C485">
        <v>55.819999694824197</v>
      </c>
      <c r="D485">
        <v>55.880001068115199</v>
      </c>
      <c r="E485">
        <v>55.439998626708899</v>
      </c>
      <c r="F485">
        <v>55.700000762939403</v>
      </c>
      <c r="G485" s="2">
        <v>27279800</v>
      </c>
      <c r="H485" s="3">
        <f t="shared" si="7"/>
        <v>8.4914324866496305E-3</v>
      </c>
      <c r="J485" s="3">
        <v>-1.2359832493516909E-2</v>
      </c>
      <c r="K485" s="3">
        <v>0.15215341087708267</v>
      </c>
    </row>
    <row r="486" spans="1:11" x14ac:dyDescent="0.2">
      <c r="A486" s="1">
        <v>42362</v>
      </c>
      <c r="B486">
        <v>48.437950134277301</v>
      </c>
      <c r="C486">
        <v>55.669998168945298</v>
      </c>
      <c r="D486">
        <v>55.959999084472599</v>
      </c>
      <c r="E486">
        <v>55.430000305175703</v>
      </c>
      <c r="F486">
        <v>55.860000610351499</v>
      </c>
      <c r="G486" s="2">
        <v>9558500</v>
      </c>
      <c r="H486" s="3">
        <f t="shared" si="7"/>
        <v>-2.6868674317728214E-3</v>
      </c>
      <c r="J486" s="3">
        <v>-1.2359434895397703E-2</v>
      </c>
      <c r="K486" s="3">
        <v>0.15246777742848161</v>
      </c>
    </row>
    <row r="487" spans="1:11" x14ac:dyDescent="0.2">
      <c r="A487" s="1">
        <v>42366</v>
      </c>
      <c r="B487">
        <v>48.681560516357401</v>
      </c>
      <c r="C487">
        <v>55.950000762939403</v>
      </c>
      <c r="D487">
        <v>55.950000762939403</v>
      </c>
      <c r="E487">
        <v>54.9799995422363</v>
      </c>
      <c r="F487">
        <v>55.349998474121001</v>
      </c>
      <c r="G487" s="2">
        <v>22458300</v>
      </c>
      <c r="H487" s="3">
        <f t="shared" si="7"/>
        <v>5.0293288920109092E-3</v>
      </c>
      <c r="J487" s="3">
        <v>-1.2298952950169473E-2</v>
      </c>
      <c r="K487" s="3">
        <v>0.15278214397988055</v>
      </c>
    </row>
    <row r="488" spans="1:11" x14ac:dyDescent="0.2">
      <c r="A488" s="1">
        <v>42367</v>
      </c>
      <c r="B488">
        <v>49.203624725341797</v>
      </c>
      <c r="C488">
        <v>56.549999237060497</v>
      </c>
      <c r="D488">
        <v>56.849998474121001</v>
      </c>
      <c r="E488">
        <v>56.060001373291001</v>
      </c>
      <c r="F488">
        <v>56.290000915527301</v>
      </c>
      <c r="G488" s="2">
        <v>27731400</v>
      </c>
      <c r="H488" s="3">
        <f t="shared" si="7"/>
        <v>1.0724064788534937E-2</v>
      </c>
      <c r="J488" s="3">
        <v>-1.2267426092854916E-2</v>
      </c>
      <c r="K488" s="3">
        <v>0.15309651053127948</v>
      </c>
    </row>
    <row r="489" spans="1:11" x14ac:dyDescent="0.2">
      <c r="A489" s="1">
        <v>42368</v>
      </c>
      <c r="B489">
        <v>48.994800567626903</v>
      </c>
      <c r="C489">
        <v>56.310001373291001</v>
      </c>
      <c r="D489">
        <v>56.779998779296797</v>
      </c>
      <c r="E489">
        <v>56.290000915527301</v>
      </c>
      <c r="F489">
        <v>56.470001220703097</v>
      </c>
      <c r="G489" s="2">
        <v>21704500</v>
      </c>
      <c r="H489" s="3">
        <f t="shared" si="7"/>
        <v>-4.2440807741414011E-3</v>
      </c>
      <c r="J489" s="3">
        <v>-1.2264455476597602E-2</v>
      </c>
      <c r="K489" s="3">
        <v>0.15341087708267839</v>
      </c>
    </row>
    <row r="490" spans="1:11" x14ac:dyDescent="0.2">
      <c r="A490" s="1">
        <v>42369</v>
      </c>
      <c r="B490">
        <v>48.272621154785099</v>
      </c>
      <c r="C490">
        <v>55.4799995422363</v>
      </c>
      <c r="D490">
        <v>56.189998626708899</v>
      </c>
      <c r="E490">
        <v>55.419998168945298</v>
      </c>
      <c r="F490">
        <v>56.040000915527301</v>
      </c>
      <c r="G490" s="2">
        <v>27334100</v>
      </c>
      <c r="H490" s="3">
        <f t="shared" si="7"/>
        <v>-1.4739919429715531E-2</v>
      </c>
      <c r="J490" s="3">
        <v>-1.2263286316428035E-2</v>
      </c>
      <c r="K490" s="3">
        <v>0.15372524363407733</v>
      </c>
    </row>
    <row r="491" spans="1:11" x14ac:dyDescent="0.2">
      <c r="A491" s="1">
        <v>42373</v>
      </c>
      <c r="B491">
        <v>47.680957794189403</v>
      </c>
      <c r="C491">
        <v>54.799999237060497</v>
      </c>
      <c r="D491">
        <v>54.799999237060497</v>
      </c>
      <c r="E491">
        <v>53.389999389648402</v>
      </c>
      <c r="F491">
        <v>54.319999694824197</v>
      </c>
      <c r="G491" s="2">
        <v>53778000</v>
      </c>
      <c r="H491" s="3">
        <f t="shared" si="7"/>
        <v>-1.2256706730271349E-2</v>
      </c>
      <c r="J491" s="3">
        <v>-1.2257524053482016E-2</v>
      </c>
      <c r="K491" s="3">
        <v>0.15403961018547627</v>
      </c>
    </row>
    <row r="492" spans="1:11" x14ac:dyDescent="0.2">
      <c r="A492" s="1">
        <v>42374</v>
      </c>
      <c r="B492">
        <v>47.898483276367102</v>
      </c>
      <c r="C492">
        <v>55.049999237060497</v>
      </c>
      <c r="D492">
        <v>55.389999389648402</v>
      </c>
      <c r="E492">
        <v>54.540000915527301</v>
      </c>
      <c r="F492">
        <v>54.930000305175703</v>
      </c>
      <c r="G492" s="2">
        <v>34079700</v>
      </c>
      <c r="H492" s="3">
        <f t="shared" si="7"/>
        <v>4.5621038720873308E-3</v>
      </c>
      <c r="J492" s="3">
        <v>-1.2256706730271349E-2</v>
      </c>
      <c r="K492" s="3">
        <v>0.1543539767368752</v>
      </c>
    </row>
    <row r="493" spans="1:11" x14ac:dyDescent="0.2">
      <c r="A493" s="1">
        <v>42375</v>
      </c>
      <c r="B493">
        <v>47.028411865234297</v>
      </c>
      <c r="C493">
        <v>54.049999237060497</v>
      </c>
      <c r="D493">
        <v>54.400001525878899</v>
      </c>
      <c r="E493">
        <v>53.639999389648402</v>
      </c>
      <c r="F493">
        <v>54.319999694824197</v>
      </c>
      <c r="G493" s="2">
        <v>39518900</v>
      </c>
      <c r="H493" s="3">
        <f t="shared" si="7"/>
        <v>-1.8164905266678799E-2</v>
      </c>
      <c r="J493" s="3">
        <v>-1.2226810617858908E-2</v>
      </c>
      <c r="K493" s="3">
        <v>0.15466834328827414</v>
      </c>
    </row>
    <row r="494" spans="1:11" x14ac:dyDescent="0.2">
      <c r="A494" s="1">
        <v>42376</v>
      </c>
      <c r="B494">
        <v>45.392620086669901</v>
      </c>
      <c r="C494">
        <v>52.169998168945298</v>
      </c>
      <c r="D494">
        <v>53.490001678466797</v>
      </c>
      <c r="E494">
        <v>52.069999694824197</v>
      </c>
      <c r="F494">
        <v>52.700000762939403</v>
      </c>
      <c r="G494" s="2">
        <v>56564900</v>
      </c>
      <c r="H494" s="3">
        <f t="shared" si="7"/>
        <v>-3.4783053768686845E-2</v>
      </c>
      <c r="J494" s="3">
        <v>-1.2222495097824582E-2</v>
      </c>
      <c r="K494" s="3">
        <v>0.15498270983967305</v>
      </c>
    </row>
    <row r="495" spans="1:11" x14ac:dyDescent="0.2">
      <c r="A495" s="1">
        <v>42377</v>
      </c>
      <c r="B495">
        <v>45.531852722167898</v>
      </c>
      <c r="C495">
        <v>52.330001831054602</v>
      </c>
      <c r="D495">
        <v>53.279998779296797</v>
      </c>
      <c r="E495">
        <v>52.150001525878899</v>
      </c>
      <c r="F495">
        <v>52.369998931884702</v>
      </c>
      <c r="G495" s="2">
        <v>48754000</v>
      </c>
      <c r="H495" s="3">
        <f t="shared" si="7"/>
        <v>3.0672967374907323E-3</v>
      </c>
      <c r="J495" s="3">
        <v>-1.2169891661261256E-2</v>
      </c>
      <c r="K495" s="3">
        <v>0.15529707639107199</v>
      </c>
    </row>
    <row r="496" spans="1:11" x14ac:dyDescent="0.2">
      <c r="A496" s="1">
        <v>42380</v>
      </c>
      <c r="B496">
        <v>45.505725860595703</v>
      </c>
      <c r="C496">
        <v>52.299999237060497</v>
      </c>
      <c r="D496">
        <v>52.849998474121001</v>
      </c>
      <c r="E496">
        <v>51.459999084472599</v>
      </c>
      <c r="F496">
        <v>52.509998321533203</v>
      </c>
      <c r="G496" s="2">
        <v>36943800</v>
      </c>
      <c r="H496" s="3">
        <f t="shared" si="7"/>
        <v>-5.7381503299724912E-4</v>
      </c>
      <c r="J496" s="3">
        <v>-1.215122854742845E-2</v>
      </c>
      <c r="K496" s="3">
        <v>0.15561144294247092</v>
      </c>
    </row>
    <row r="497" spans="1:11" x14ac:dyDescent="0.2">
      <c r="A497" s="1">
        <v>42381</v>
      </c>
      <c r="B497">
        <v>45.923366546630803</v>
      </c>
      <c r="C497">
        <v>52.779998779296797</v>
      </c>
      <c r="D497">
        <v>53.099998474121001</v>
      </c>
      <c r="E497">
        <v>52.060001373291001</v>
      </c>
      <c r="F497">
        <v>52.759998321533203</v>
      </c>
      <c r="G497" s="2">
        <v>36095500</v>
      </c>
      <c r="H497" s="3">
        <f t="shared" si="7"/>
        <v>9.1777612187644575E-3</v>
      </c>
      <c r="J497" s="3">
        <v>-1.2150493491807413E-2</v>
      </c>
      <c r="K497" s="3">
        <v>0.15592580949386986</v>
      </c>
    </row>
    <row r="498" spans="1:11" x14ac:dyDescent="0.2">
      <c r="A498" s="1">
        <v>42382</v>
      </c>
      <c r="B498">
        <v>44.931465148925703</v>
      </c>
      <c r="C498">
        <v>51.639999389648402</v>
      </c>
      <c r="D498">
        <v>54.069999694824197</v>
      </c>
      <c r="E498">
        <v>51.299999237060497</v>
      </c>
      <c r="F498">
        <v>53.799999237060497</v>
      </c>
      <c r="G498" s="2">
        <v>66883600</v>
      </c>
      <c r="H498" s="3">
        <f t="shared" si="7"/>
        <v>-2.1599056695852603E-2</v>
      </c>
      <c r="J498" s="3">
        <v>-1.2122577431256221E-2</v>
      </c>
      <c r="K498" s="3">
        <v>0.1562401760452688</v>
      </c>
    </row>
    <row r="499" spans="1:11" x14ac:dyDescent="0.2">
      <c r="A499" s="1">
        <v>42383</v>
      </c>
      <c r="B499">
        <v>46.210514068603501</v>
      </c>
      <c r="C499">
        <v>53.110000610351499</v>
      </c>
      <c r="D499">
        <v>53.419998168945298</v>
      </c>
      <c r="E499">
        <v>51.569999694824197</v>
      </c>
      <c r="F499">
        <v>52</v>
      </c>
      <c r="G499" s="2">
        <v>52381900</v>
      </c>
      <c r="H499" s="3">
        <f t="shared" si="7"/>
        <v>2.8466663961176808E-2</v>
      </c>
      <c r="J499" s="3">
        <v>-1.2102459465516247E-2</v>
      </c>
      <c r="K499" s="3">
        <v>0.15655454259666771</v>
      </c>
    </row>
    <row r="500" spans="1:11" x14ac:dyDescent="0.2">
      <c r="A500" s="1">
        <v>42384</v>
      </c>
      <c r="B500">
        <v>44.365921020507798</v>
      </c>
      <c r="C500">
        <v>50.990001678466797</v>
      </c>
      <c r="D500">
        <v>51.970001220703097</v>
      </c>
      <c r="E500">
        <v>50.340000152587798</v>
      </c>
      <c r="F500">
        <v>51.310001373291001</v>
      </c>
      <c r="G500" s="2">
        <v>71820700</v>
      </c>
      <c r="H500" s="3">
        <f t="shared" si="7"/>
        <v>-3.9917172212307506E-2</v>
      </c>
      <c r="J500" s="3">
        <v>-1.2088542763946553E-2</v>
      </c>
      <c r="K500" s="3">
        <v>0.15686890914806664</v>
      </c>
    </row>
    <row r="501" spans="1:11" x14ac:dyDescent="0.2">
      <c r="A501" s="1">
        <v>42388</v>
      </c>
      <c r="B501">
        <v>43.991786956787102</v>
      </c>
      <c r="C501">
        <v>50.560001373291001</v>
      </c>
      <c r="D501">
        <v>51.680000305175703</v>
      </c>
      <c r="E501">
        <v>50.060001373291001</v>
      </c>
      <c r="F501">
        <v>51.4799995422363</v>
      </c>
      <c r="G501" s="2">
        <v>43564500</v>
      </c>
      <c r="H501" s="3">
        <f t="shared" si="7"/>
        <v>-8.4329155152161883E-3</v>
      </c>
      <c r="J501" s="3">
        <v>-1.2082646703679423E-2</v>
      </c>
      <c r="K501" s="3">
        <v>0.15718327569946558</v>
      </c>
    </row>
    <row r="502" spans="1:11" x14ac:dyDescent="0.2">
      <c r="A502" s="1">
        <v>42389</v>
      </c>
      <c r="B502">
        <v>44.19189453125</v>
      </c>
      <c r="C502">
        <v>50.790000915527301</v>
      </c>
      <c r="D502">
        <v>51.380001068115199</v>
      </c>
      <c r="E502">
        <v>49.099998474121001</v>
      </c>
      <c r="F502">
        <v>49.9799995422363</v>
      </c>
      <c r="G502" s="2">
        <v>63273000</v>
      </c>
      <c r="H502" s="3">
        <f t="shared" si="7"/>
        <v>4.5487484893365071E-3</v>
      </c>
      <c r="J502" s="3">
        <v>-1.201908975897692E-2</v>
      </c>
      <c r="K502" s="3">
        <v>0.15749764225086452</v>
      </c>
    </row>
    <row r="503" spans="1:11" x14ac:dyDescent="0.2">
      <c r="A503" s="1">
        <v>42390</v>
      </c>
      <c r="B503">
        <v>43.922176361083899</v>
      </c>
      <c r="C503">
        <v>50.4799995422363</v>
      </c>
      <c r="D503">
        <v>51.580001831054602</v>
      </c>
      <c r="E503">
        <v>50.299999237060497</v>
      </c>
      <c r="F503">
        <v>51</v>
      </c>
      <c r="G503" s="2">
        <v>40191200</v>
      </c>
      <c r="H503" s="3">
        <f t="shared" si="7"/>
        <v>-6.1033402850690921E-3</v>
      </c>
      <c r="J503" s="3">
        <v>-1.2013310459801363E-2</v>
      </c>
      <c r="K503" s="3">
        <v>0.15781200880226343</v>
      </c>
    </row>
    <row r="504" spans="1:11" x14ac:dyDescent="0.2">
      <c r="A504" s="1">
        <v>42391</v>
      </c>
      <c r="B504">
        <v>45.497035980224602</v>
      </c>
      <c r="C504">
        <v>52.290000915527301</v>
      </c>
      <c r="D504">
        <v>52.330001831054602</v>
      </c>
      <c r="E504">
        <v>51.259998321533203</v>
      </c>
      <c r="F504">
        <v>51.409999847412102</v>
      </c>
      <c r="G504" s="2">
        <v>37555800</v>
      </c>
      <c r="H504" s="3">
        <f t="shared" si="7"/>
        <v>3.5855682701007252E-2</v>
      </c>
      <c r="J504" s="3">
        <v>-1.2011020056978183E-2</v>
      </c>
      <c r="K504" s="3">
        <v>0.15812637535366236</v>
      </c>
    </row>
    <row r="505" spans="1:11" x14ac:dyDescent="0.2">
      <c r="A505" s="1">
        <v>42394</v>
      </c>
      <c r="B505">
        <v>45.061996459960902</v>
      </c>
      <c r="C505">
        <v>51.790000915527301</v>
      </c>
      <c r="D505">
        <v>52.650001525878899</v>
      </c>
      <c r="E505">
        <v>51.650001525878899</v>
      </c>
      <c r="F505">
        <v>51.939998626708899</v>
      </c>
      <c r="G505" s="2">
        <v>34707700</v>
      </c>
      <c r="H505" s="3">
        <f t="shared" si="7"/>
        <v>-9.5619310333269203E-3</v>
      </c>
      <c r="J505" s="3">
        <v>-1.2001294476965407E-2</v>
      </c>
      <c r="K505" s="3">
        <v>0.1584407419050613</v>
      </c>
    </row>
    <row r="506" spans="1:11" x14ac:dyDescent="0.2">
      <c r="A506" s="1">
        <v>42395</v>
      </c>
      <c r="B506">
        <v>45.392620086669901</v>
      </c>
      <c r="C506">
        <v>52.169998168945298</v>
      </c>
      <c r="D506">
        <v>52.439998626708899</v>
      </c>
      <c r="E506">
        <v>51.549999237060497</v>
      </c>
      <c r="F506">
        <v>51.790000915527301</v>
      </c>
      <c r="G506" s="2">
        <v>28900800</v>
      </c>
      <c r="H506" s="3">
        <f t="shared" si="7"/>
        <v>7.3370834113568595E-3</v>
      </c>
      <c r="J506" s="3">
        <v>-1.1973984672104976E-2</v>
      </c>
      <c r="K506" s="3">
        <v>0.15875510845646024</v>
      </c>
    </row>
    <row r="507" spans="1:11" x14ac:dyDescent="0.2">
      <c r="A507" s="1">
        <v>42396</v>
      </c>
      <c r="B507">
        <v>44.566043853759702</v>
      </c>
      <c r="C507">
        <v>51.220001220703097</v>
      </c>
      <c r="D507">
        <v>52.200000762939403</v>
      </c>
      <c r="E507">
        <v>51.020000457763601</v>
      </c>
      <c r="F507">
        <v>52.009998321533203</v>
      </c>
      <c r="G507" s="2">
        <v>36775200</v>
      </c>
      <c r="H507" s="3">
        <f t="shared" si="7"/>
        <v>-1.8209484963238154E-2</v>
      </c>
      <c r="J507" s="3">
        <v>-1.1968714915863599E-2</v>
      </c>
      <c r="K507" s="3">
        <v>0.15906947500785917</v>
      </c>
    </row>
    <row r="508" spans="1:11" x14ac:dyDescent="0.2">
      <c r="A508" s="1">
        <v>42397</v>
      </c>
      <c r="B508">
        <v>45.296913146972599</v>
      </c>
      <c r="C508">
        <v>52.060001373291001</v>
      </c>
      <c r="D508">
        <v>52.209999084472599</v>
      </c>
      <c r="E508">
        <v>51.25</v>
      </c>
      <c r="F508">
        <v>51.860000610351499</v>
      </c>
      <c r="G508" s="2">
        <v>62513800</v>
      </c>
      <c r="H508" s="3">
        <f t="shared" si="7"/>
        <v>1.639968976405437E-2</v>
      </c>
      <c r="J508" s="3">
        <v>-1.1931871625083468E-2</v>
      </c>
      <c r="K508" s="3">
        <v>0.15938384155925808</v>
      </c>
    </row>
    <row r="509" spans="1:11" x14ac:dyDescent="0.2">
      <c r="A509" s="1">
        <v>42398</v>
      </c>
      <c r="B509">
        <v>47.933284759521399</v>
      </c>
      <c r="C509">
        <v>55.090000152587798</v>
      </c>
      <c r="D509">
        <v>55.090000152587798</v>
      </c>
      <c r="E509">
        <v>54</v>
      </c>
      <c r="F509">
        <v>54.7299995422363</v>
      </c>
      <c r="G509" s="2">
        <v>83611700</v>
      </c>
      <c r="H509" s="3">
        <f t="shared" si="7"/>
        <v>5.8202014870079477E-2</v>
      </c>
      <c r="J509" s="3">
        <v>-1.1910528793086517E-2</v>
      </c>
      <c r="K509" s="3">
        <v>0.15969820811065702</v>
      </c>
    </row>
    <row r="510" spans="1:11" x14ac:dyDescent="0.2">
      <c r="A510" s="1">
        <v>42401</v>
      </c>
      <c r="B510">
        <v>47.602653503417898</v>
      </c>
      <c r="C510">
        <v>54.709999084472599</v>
      </c>
      <c r="D510">
        <v>55.090000152587798</v>
      </c>
      <c r="E510">
        <v>54.5</v>
      </c>
      <c r="F510">
        <v>54.880001068115199</v>
      </c>
      <c r="G510" s="2">
        <v>44208500</v>
      </c>
      <c r="H510" s="3">
        <f t="shared" si="7"/>
        <v>-6.8977383411602533E-3</v>
      </c>
      <c r="J510" s="3">
        <v>-1.1867318394891635E-2</v>
      </c>
      <c r="K510" s="3">
        <v>0.16001257466205596</v>
      </c>
    </row>
    <row r="511" spans="1:11" x14ac:dyDescent="0.2">
      <c r="A511" s="1">
        <v>42402</v>
      </c>
      <c r="B511">
        <v>46.114803314208899</v>
      </c>
      <c r="C511">
        <v>53</v>
      </c>
      <c r="D511">
        <v>54.259998321533203</v>
      </c>
      <c r="E511">
        <v>52.650001525878899</v>
      </c>
      <c r="F511">
        <v>54.169998168945298</v>
      </c>
      <c r="G511" s="2">
        <v>56313800</v>
      </c>
      <c r="H511" s="3">
        <f t="shared" si="7"/>
        <v>-3.1255614544726362E-2</v>
      </c>
      <c r="J511" s="3">
        <v>-1.1849964945151004E-2</v>
      </c>
      <c r="K511" s="3">
        <v>0.16032694121345489</v>
      </c>
    </row>
    <row r="512" spans="1:11" x14ac:dyDescent="0.2">
      <c r="A512" s="1">
        <v>42403</v>
      </c>
      <c r="B512">
        <v>45.383914947509702</v>
      </c>
      <c r="C512">
        <v>52.159999847412102</v>
      </c>
      <c r="D512">
        <v>53.389999389648402</v>
      </c>
      <c r="E512">
        <v>51.259998321533203</v>
      </c>
      <c r="F512">
        <v>53.25</v>
      </c>
      <c r="G512" s="2">
        <v>57559800</v>
      </c>
      <c r="H512" s="3">
        <f t="shared" si="7"/>
        <v>-1.5849322000122124E-2</v>
      </c>
      <c r="J512" s="3">
        <v>-1.183192752925033E-2</v>
      </c>
      <c r="K512" s="3">
        <v>0.16064130776485383</v>
      </c>
    </row>
    <row r="513" spans="1:11" x14ac:dyDescent="0.2">
      <c r="A513" s="1">
        <v>42404</v>
      </c>
      <c r="B513">
        <v>45.244705200195298</v>
      </c>
      <c r="C513">
        <v>52</v>
      </c>
      <c r="D513">
        <v>52.810001373291001</v>
      </c>
      <c r="E513">
        <v>51.369998931884702</v>
      </c>
      <c r="F513">
        <v>52.099998474121001</v>
      </c>
      <c r="G513" s="2">
        <v>46987100</v>
      </c>
      <c r="H513" s="3">
        <f t="shared" si="7"/>
        <v>-3.0673807553934784E-3</v>
      </c>
      <c r="J513" s="3">
        <v>-1.1797171738169743E-2</v>
      </c>
      <c r="K513" s="3">
        <v>0.16095567431625274</v>
      </c>
    </row>
    <row r="514" spans="1:11" x14ac:dyDescent="0.2">
      <c r="A514" s="1">
        <v>42405</v>
      </c>
      <c r="B514">
        <v>43.643745422363203</v>
      </c>
      <c r="C514">
        <v>50.159999847412102</v>
      </c>
      <c r="D514">
        <v>52</v>
      </c>
      <c r="E514">
        <v>49.560001373291001</v>
      </c>
      <c r="F514">
        <v>51.939998626708899</v>
      </c>
      <c r="G514" s="2">
        <v>62009000</v>
      </c>
      <c r="H514" s="3">
        <f t="shared" ref="H514:H577" si="8">B514/B513-1</f>
        <v>-3.5384466994497821E-2</v>
      </c>
      <c r="J514" s="3">
        <v>-1.1780141813272915E-2</v>
      </c>
      <c r="K514" s="3">
        <v>0.16127004086765168</v>
      </c>
    </row>
    <row r="515" spans="1:11" x14ac:dyDescent="0.2">
      <c r="A515" s="1">
        <v>42408</v>
      </c>
      <c r="B515">
        <v>42.991172790527301</v>
      </c>
      <c r="C515">
        <v>49.409999847412102</v>
      </c>
      <c r="D515">
        <v>49.569999694824197</v>
      </c>
      <c r="E515">
        <v>48.189998626708899</v>
      </c>
      <c r="F515">
        <v>49.549999237060497</v>
      </c>
      <c r="G515" s="2">
        <v>59290500</v>
      </c>
      <c r="H515" s="3">
        <f t="shared" si="8"/>
        <v>-1.4952260066605549E-2</v>
      </c>
      <c r="J515" s="3">
        <v>-1.1770640820001343E-2</v>
      </c>
      <c r="K515" s="3">
        <v>0.16158440741905061</v>
      </c>
    </row>
    <row r="516" spans="1:11" x14ac:dyDescent="0.2">
      <c r="A516" s="1">
        <v>42409</v>
      </c>
      <c r="B516">
        <v>42.8780517578125</v>
      </c>
      <c r="C516">
        <v>49.279998779296797</v>
      </c>
      <c r="D516">
        <v>50.240001678466797</v>
      </c>
      <c r="E516">
        <v>48.669998168945298</v>
      </c>
      <c r="F516">
        <v>49.020000457763601</v>
      </c>
      <c r="G516" s="2">
        <v>46740500</v>
      </c>
      <c r="H516" s="3">
        <f t="shared" si="8"/>
        <v>-2.6312618468442572E-3</v>
      </c>
      <c r="J516" s="3">
        <v>-1.1768795757912898E-2</v>
      </c>
      <c r="K516" s="3">
        <v>0.16189877397044955</v>
      </c>
    </row>
    <row r="517" spans="1:11" x14ac:dyDescent="0.2">
      <c r="A517" s="1">
        <v>42410</v>
      </c>
      <c r="B517">
        <v>43.252201080322202</v>
      </c>
      <c r="C517">
        <v>49.709999084472599</v>
      </c>
      <c r="D517">
        <v>50.389999389648402</v>
      </c>
      <c r="E517">
        <v>49.520000457763601</v>
      </c>
      <c r="F517">
        <v>49.889999389648402</v>
      </c>
      <c r="G517" s="2">
        <v>38237000</v>
      </c>
      <c r="H517" s="3">
        <f t="shared" si="8"/>
        <v>8.7258937188425811E-3</v>
      </c>
      <c r="J517" s="3">
        <v>-1.1741064199843887E-2</v>
      </c>
      <c r="K517" s="3">
        <v>0.16221314052184849</v>
      </c>
    </row>
    <row r="518" spans="1:11" x14ac:dyDescent="0.2">
      <c r="A518" s="1">
        <v>42411</v>
      </c>
      <c r="B518">
        <v>43.2348022460937</v>
      </c>
      <c r="C518">
        <v>49.689998626708899</v>
      </c>
      <c r="D518">
        <v>50.110000610351499</v>
      </c>
      <c r="E518">
        <v>48.509998321533203</v>
      </c>
      <c r="F518">
        <v>48.680000305175703</v>
      </c>
      <c r="G518" s="2">
        <v>48878600</v>
      </c>
      <c r="H518" s="3">
        <f t="shared" si="8"/>
        <v>-4.0226471240600858E-4</v>
      </c>
      <c r="J518" s="3">
        <v>-1.1715931333986518E-2</v>
      </c>
      <c r="K518" s="3">
        <v>0.1625275070732474</v>
      </c>
    </row>
    <row r="519" spans="1:11" x14ac:dyDescent="0.2">
      <c r="A519" s="1">
        <v>42412</v>
      </c>
      <c r="B519">
        <v>43.939579010009702</v>
      </c>
      <c r="C519">
        <v>50.5</v>
      </c>
      <c r="D519">
        <v>50.680000305175703</v>
      </c>
      <c r="E519">
        <v>49.75</v>
      </c>
      <c r="F519">
        <v>50.25</v>
      </c>
      <c r="G519" s="2">
        <v>34243300</v>
      </c>
      <c r="H519" s="3">
        <f t="shared" si="8"/>
        <v>1.6301144617347774E-2</v>
      </c>
      <c r="J519" s="3">
        <v>-1.1682450222146756E-2</v>
      </c>
      <c r="K519" s="3">
        <v>0.16284187362464633</v>
      </c>
    </row>
    <row r="520" spans="1:11" x14ac:dyDescent="0.2">
      <c r="A520" s="1">
        <v>42416</v>
      </c>
      <c r="B520">
        <v>44.772087097167898</v>
      </c>
      <c r="C520">
        <v>51.090000152587798</v>
      </c>
      <c r="D520">
        <v>51.090000152587798</v>
      </c>
      <c r="E520">
        <v>50.130001068115199</v>
      </c>
      <c r="F520">
        <v>50.900001525878899</v>
      </c>
      <c r="G520" s="2">
        <v>37291200</v>
      </c>
      <c r="H520" s="3">
        <f t="shared" si="8"/>
        <v>1.8946655974299231E-2</v>
      </c>
      <c r="J520" s="3">
        <v>-1.1670474377011741E-2</v>
      </c>
      <c r="K520" s="3">
        <v>0.16315624017604527</v>
      </c>
    </row>
    <row r="521" spans="1:11" x14ac:dyDescent="0.2">
      <c r="A521" s="1">
        <v>42417</v>
      </c>
      <c r="B521">
        <v>45.937618255615199</v>
      </c>
      <c r="C521">
        <v>52.419998168945298</v>
      </c>
      <c r="D521">
        <v>52.770000457763601</v>
      </c>
      <c r="E521">
        <v>51.450000762939403</v>
      </c>
      <c r="F521">
        <v>51.490001678466797</v>
      </c>
      <c r="G521" s="2">
        <v>40789000</v>
      </c>
      <c r="H521" s="3">
        <f t="shared" si="8"/>
        <v>2.603254022797219E-2</v>
      </c>
      <c r="J521" s="3">
        <v>-1.1662807080632609E-2</v>
      </c>
      <c r="K521" s="3">
        <v>0.16347060672744421</v>
      </c>
    </row>
    <row r="522" spans="1:11" x14ac:dyDescent="0.2">
      <c r="A522" s="1">
        <v>42418</v>
      </c>
      <c r="B522">
        <v>45.736057281494098</v>
      </c>
      <c r="C522">
        <v>52.189998626708899</v>
      </c>
      <c r="D522">
        <v>52.950000762939403</v>
      </c>
      <c r="E522">
        <v>52.099998474121001</v>
      </c>
      <c r="F522">
        <v>52.330001831054602</v>
      </c>
      <c r="G522" s="2">
        <v>27176000</v>
      </c>
      <c r="H522" s="3">
        <f t="shared" si="8"/>
        <v>-4.3877105904693847E-3</v>
      </c>
      <c r="J522" s="3">
        <v>-1.1659799627625755E-2</v>
      </c>
      <c r="K522" s="3">
        <v>0.16378497327884314</v>
      </c>
    </row>
    <row r="523" spans="1:11" x14ac:dyDescent="0.2">
      <c r="A523" s="1">
        <v>42419</v>
      </c>
      <c r="B523">
        <v>45.411815643310497</v>
      </c>
      <c r="C523">
        <v>51.819999694824197</v>
      </c>
      <c r="D523">
        <v>52.279998779296797</v>
      </c>
      <c r="E523">
        <v>51.529998779296797</v>
      </c>
      <c r="F523">
        <v>51.970001220703097</v>
      </c>
      <c r="G523" s="2">
        <v>33559100</v>
      </c>
      <c r="H523" s="3">
        <f t="shared" si="8"/>
        <v>-7.0894094825002529E-3</v>
      </c>
      <c r="J523" s="3">
        <v>-1.1655579371655178E-2</v>
      </c>
      <c r="K523" s="3">
        <v>0.16409933983024205</v>
      </c>
    </row>
    <row r="524" spans="1:11" x14ac:dyDescent="0.2">
      <c r="A524" s="1">
        <v>42422</v>
      </c>
      <c r="B524">
        <v>46.139186859130803</v>
      </c>
      <c r="C524">
        <v>52.650001525878899</v>
      </c>
      <c r="D524">
        <v>53</v>
      </c>
      <c r="E524">
        <v>52.279998779296797</v>
      </c>
      <c r="F524">
        <v>52.279998779296797</v>
      </c>
      <c r="G524" s="2">
        <v>25008300</v>
      </c>
      <c r="H524" s="3">
        <f t="shared" si="8"/>
        <v>1.6017223832966332E-2</v>
      </c>
      <c r="J524" s="3">
        <v>-1.1627715251851023E-2</v>
      </c>
      <c r="K524" s="3">
        <v>0.16441370638164099</v>
      </c>
    </row>
    <row r="525" spans="1:11" x14ac:dyDescent="0.2">
      <c r="A525" s="1">
        <v>42423</v>
      </c>
      <c r="B525">
        <v>44.850959777832003</v>
      </c>
      <c r="C525">
        <v>51.180000305175703</v>
      </c>
      <c r="D525">
        <v>52.369998931884702</v>
      </c>
      <c r="E525">
        <v>50.9799995422363</v>
      </c>
      <c r="F525">
        <v>52.340000152587798</v>
      </c>
      <c r="G525" s="2">
        <v>28895300</v>
      </c>
      <c r="H525" s="3">
        <f t="shared" si="8"/>
        <v>-2.7920454801943828E-2</v>
      </c>
      <c r="J525" s="3">
        <v>-1.1612295881237911E-2</v>
      </c>
      <c r="K525" s="3">
        <v>0.16472807293303993</v>
      </c>
    </row>
    <row r="526" spans="1:11" x14ac:dyDescent="0.2">
      <c r="A526" s="1">
        <v>42424</v>
      </c>
      <c r="B526">
        <v>45.008708953857401</v>
      </c>
      <c r="C526">
        <v>51.360000610351499</v>
      </c>
      <c r="D526">
        <v>51.5</v>
      </c>
      <c r="E526">
        <v>50.200000762939403</v>
      </c>
      <c r="F526">
        <v>50.689998626708899</v>
      </c>
      <c r="G526" s="2">
        <v>33014500</v>
      </c>
      <c r="H526" s="3">
        <f t="shared" si="8"/>
        <v>3.5171861830114448E-3</v>
      </c>
      <c r="J526" s="3">
        <v>-1.1612213516659309E-2</v>
      </c>
      <c r="K526" s="3">
        <v>0.16504243948443886</v>
      </c>
    </row>
    <row r="527" spans="1:11" x14ac:dyDescent="0.2">
      <c r="A527" s="1">
        <v>42425</v>
      </c>
      <c r="B527">
        <v>45.657203674316399</v>
      </c>
      <c r="C527">
        <v>52.099998474121001</v>
      </c>
      <c r="D527">
        <v>52.099998474121001</v>
      </c>
      <c r="E527">
        <v>50.610000610351499</v>
      </c>
      <c r="F527">
        <v>51.7299995422363</v>
      </c>
      <c r="G527" s="2">
        <v>26939500</v>
      </c>
      <c r="H527" s="3">
        <f t="shared" si="8"/>
        <v>1.4408205334746071E-2</v>
      </c>
      <c r="J527" s="3">
        <v>-1.1577915202311884E-2</v>
      </c>
      <c r="K527" s="3">
        <v>0.1653568060358378</v>
      </c>
    </row>
    <row r="528" spans="1:11" x14ac:dyDescent="0.2">
      <c r="A528" s="1">
        <v>42426</v>
      </c>
      <c r="B528">
        <v>44.9561157226562</v>
      </c>
      <c r="C528">
        <v>51.299999237060497</v>
      </c>
      <c r="D528">
        <v>52.680000305175703</v>
      </c>
      <c r="E528">
        <v>51.099998474121001</v>
      </c>
      <c r="F528">
        <v>52.599998474121001</v>
      </c>
      <c r="G528" s="2">
        <v>35975900</v>
      </c>
      <c r="H528" s="3">
        <f t="shared" si="8"/>
        <v>-1.5355472855088204E-2</v>
      </c>
      <c r="J528" s="3">
        <v>-1.1567338246242342E-2</v>
      </c>
      <c r="K528" s="3">
        <v>0.16567117258723671</v>
      </c>
    </row>
    <row r="529" spans="1:11" x14ac:dyDescent="0.2">
      <c r="A529" s="1">
        <v>42429</v>
      </c>
      <c r="B529">
        <v>44.588062286376903</v>
      </c>
      <c r="C529">
        <v>50.880001068115199</v>
      </c>
      <c r="D529">
        <v>51.650001525878899</v>
      </c>
      <c r="E529">
        <v>50.659999847412102</v>
      </c>
      <c r="F529">
        <v>51.349998474121001</v>
      </c>
      <c r="G529" s="2">
        <v>31654000</v>
      </c>
      <c r="H529" s="3">
        <f t="shared" si="8"/>
        <v>-8.1869492139823308E-3</v>
      </c>
      <c r="J529" s="3">
        <v>-1.1554672719218839E-2</v>
      </c>
      <c r="K529" s="3">
        <v>0.16598553913863565</v>
      </c>
    </row>
    <row r="530" spans="1:11" x14ac:dyDescent="0.2">
      <c r="A530" s="1">
        <v>42430</v>
      </c>
      <c r="B530">
        <v>46.077850341796797</v>
      </c>
      <c r="C530">
        <v>52.580001831054602</v>
      </c>
      <c r="D530">
        <v>52.590000152587798</v>
      </c>
      <c r="E530">
        <v>50.919998168945298</v>
      </c>
      <c r="F530">
        <v>50.970001220703097</v>
      </c>
      <c r="G530" s="2">
        <v>33024500</v>
      </c>
      <c r="H530" s="3">
        <f t="shared" si="8"/>
        <v>3.3412262812664739E-2</v>
      </c>
      <c r="J530" s="3">
        <v>-1.1549283987964953E-2</v>
      </c>
      <c r="K530" s="3">
        <v>0.16629990569003458</v>
      </c>
    </row>
    <row r="531" spans="1:11" x14ac:dyDescent="0.2">
      <c r="A531" s="1">
        <v>42431</v>
      </c>
      <c r="B531">
        <v>46.402080535888601</v>
      </c>
      <c r="C531">
        <v>52.950000762939403</v>
      </c>
      <c r="D531">
        <v>52.959999084472599</v>
      </c>
      <c r="E531">
        <v>52.159999847412102</v>
      </c>
      <c r="F531">
        <v>52.409999847412102</v>
      </c>
      <c r="G531" s="2">
        <v>29289900</v>
      </c>
      <c r="H531" s="3">
        <f t="shared" si="8"/>
        <v>7.0365737916748827E-3</v>
      </c>
      <c r="J531" s="3">
        <v>-1.150690386138653E-2</v>
      </c>
      <c r="K531" s="3">
        <v>0.16661427224143352</v>
      </c>
    </row>
    <row r="532" spans="1:11" x14ac:dyDescent="0.2">
      <c r="A532" s="1">
        <v>42432</v>
      </c>
      <c r="B532">
        <v>45.876277923583899</v>
      </c>
      <c r="C532">
        <v>52.349998474121001</v>
      </c>
      <c r="D532">
        <v>52.970001220703097</v>
      </c>
      <c r="E532">
        <v>51.779998779296797</v>
      </c>
      <c r="F532">
        <v>52.970001220703097</v>
      </c>
      <c r="G532" s="2">
        <v>24427800</v>
      </c>
      <c r="H532" s="3">
        <f t="shared" si="8"/>
        <v>-1.133144475920711E-2</v>
      </c>
      <c r="J532" s="3">
        <v>-1.1485703950313897E-2</v>
      </c>
      <c r="K532" s="3">
        <v>0.16692863879283243</v>
      </c>
    </row>
    <row r="533" spans="1:11" x14ac:dyDescent="0.2">
      <c r="A533" s="1">
        <v>42433</v>
      </c>
      <c r="B533">
        <v>45.5958442687988</v>
      </c>
      <c r="C533">
        <v>52.029998779296797</v>
      </c>
      <c r="D533">
        <v>52.450000762939403</v>
      </c>
      <c r="E533">
        <v>51.709999084472599</v>
      </c>
      <c r="F533">
        <v>52.400001525878899</v>
      </c>
      <c r="G533" s="2">
        <v>33034200</v>
      </c>
      <c r="H533" s="3">
        <f t="shared" si="8"/>
        <v>-6.1128249168822535E-3</v>
      </c>
      <c r="J533" s="3">
        <v>-1.1474390918154054E-2</v>
      </c>
      <c r="K533" s="3">
        <v>0.16724300534423137</v>
      </c>
    </row>
    <row r="534" spans="1:11" x14ac:dyDescent="0.2">
      <c r="A534" s="1">
        <v>42436</v>
      </c>
      <c r="B534">
        <v>44.7195014953613</v>
      </c>
      <c r="C534">
        <v>51.029998779296797</v>
      </c>
      <c r="D534">
        <v>51.799999237060497</v>
      </c>
      <c r="E534">
        <v>50.580001831054602</v>
      </c>
      <c r="F534">
        <v>51.560001373291001</v>
      </c>
      <c r="G534" s="2">
        <v>38407800</v>
      </c>
      <c r="H534" s="3">
        <f t="shared" si="8"/>
        <v>-1.9219794862690653E-2</v>
      </c>
      <c r="J534" s="3">
        <v>-1.1415327945102804E-2</v>
      </c>
      <c r="K534" s="3">
        <v>0.1675573718956303</v>
      </c>
    </row>
    <row r="535" spans="1:11" x14ac:dyDescent="0.2">
      <c r="A535" s="1">
        <v>42437</v>
      </c>
      <c r="B535">
        <v>45.2628364562988</v>
      </c>
      <c r="C535">
        <v>51.650001525878899</v>
      </c>
      <c r="D535">
        <v>52.130001068115199</v>
      </c>
      <c r="E535">
        <v>50.599998474121001</v>
      </c>
      <c r="F535">
        <v>50.799999237060497</v>
      </c>
      <c r="G535" s="2">
        <v>33835100</v>
      </c>
      <c r="H535" s="3">
        <f t="shared" si="8"/>
        <v>1.2149843866078314E-2</v>
      </c>
      <c r="J535" s="3">
        <v>-1.1358768388225582E-2</v>
      </c>
      <c r="K535" s="3">
        <v>0.16787173844702924</v>
      </c>
    </row>
    <row r="536" spans="1:11" x14ac:dyDescent="0.2">
      <c r="A536" s="1">
        <v>42438</v>
      </c>
      <c r="B536">
        <v>46.3056831359863</v>
      </c>
      <c r="C536">
        <v>52.840000152587798</v>
      </c>
      <c r="D536">
        <v>52.849998474121001</v>
      </c>
      <c r="E536">
        <v>51.860000610351499</v>
      </c>
      <c r="F536">
        <v>51.889999389648402</v>
      </c>
      <c r="G536" s="2">
        <v>28251600</v>
      </c>
      <c r="H536" s="3">
        <f t="shared" si="8"/>
        <v>2.3039799564801289E-2</v>
      </c>
      <c r="J536" s="3">
        <v>-1.133144475920711E-2</v>
      </c>
      <c r="K536" s="3">
        <v>0.16818610499842818</v>
      </c>
    </row>
    <row r="537" spans="1:11" x14ac:dyDescent="0.2">
      <c r="A537" s="1">
        <v>42439</v>
      </c>
      <c r="B537">
        <v>45.6133613586425</v>
      </c>
      <c r="C537">
        <v>52.049999237060497</v>
      </c>
      <c r="D537">
        <v>52.939998626708899</v>
      </c>
      <c r="E537">
        <v>51.159999847412102</v>
      </c>
      <c r="F537">
        <v>52.930000305175703</v>
      </c>
      <c r="G537" s="2">
        <v>38387800</v>
      </c>
      <c r="H537" s="3">
        <f t="shared" si="8"/>
        <v>-1.495111896547674E-2</v>
      </c>
      <c r="J537" s="3">
        <v>-1.1285452294400034E-2</v>
      </c>
      <c r="K537" s="3">
        <v>0.16850047154982709</v>
      </c>
    </row>
    <row r="538" spans="1:11" x14ac:dyDescent="0.2">
      <c r="A538" s="1">
        <v>42440</v>
      </c>
      <c r="B538">
        <v>46.507244110107401</v>
      </c>
      <c r="C538">
        <v>53.069999694824197</v>
      </c>
      <c r="D538">
        <v>53.069999694824197</v>
      </c>
      <c r="E538">
        <v>52.380001068115199</v>
      </c>
      <c r="F538">
        <v>53</v>
      </c>
      <c r="G538" s="2">
        <v>32275700</v>
      </c>
      <c r="H538" s="3">
        <f t="shared" si="8"/>
        <v>1.959694977172588E-2</v>
      </c>
      <c r="J538" s="3">
        <v>-1.1219158432478338E-2</v>
      </c>
      <c r="K538" s="3">
        <v>0.16881483810122602</v>
      </c>
    </row>
    <row r="539" spans="1:11" x14ac:dyDescent="0.2">
      <c r="A539" s="1">
        <v>42443</v>
      </c>
      <c r="B539">
        <v>46.594871520996001</v>
      </c>
      <c r="C539">
        <v>53.169998168945298</v>
      </c>
      <c r="D539">
        <v>53.590000152587798</v>
      </c>
      <c r="E539">
        <v>52.630001068115199</v>
      </c>
      <c r="F539">
        <v>52.709999084472599</v>
      </c>
      <c r="G539" s="2">
        <v>24083600</v>
      </c>
      <c r="H539" s="3">
        <f t="shared" si="8"/>
        <v>1.8841669199134436E-3</v>
      </c>
      <c r="J539" s="3">
        <v>-1.1218025590188918E-2</v>
      </c>
      <c r="K539" s="3">
        <v>0.16912920465262496</v>
      </c>
    </row>
    <row r="540" spans="1:11" x14ac:dyDescent="0.2">
      <c r="A540" s="1">
        <v>42444</v>
      </c>
      <c r="B540">
        <v>46.962928771972599</v>
      </c>
      <c r="C540">
        <v>53.590000152587798</v>
      </c>
      <c r="D540">
        <v>53.590000152587798</v>
      </c>
      <c r="E540">
        <v>52.740001678466797</v>
      </c>
      <c r="F540">
        <v>52.75</v>
      </c>
      <c r="G540" s="2">
        <v>21104800</v>
      </c>
      <c r="H540" s="3">
        <f t="shared" si="8"/>
        <v>7.899093590391093E-3</v>
      </c>
      <c r="J540" s="3">
        <v>-1.1163955067039044E-2</v>
      </c>
      <c r="K540" s="3">
        <v>0.1694435712040239</v>
      </c>
    </row>
    <row r="541" spans="1:11" x14ac:dyDescent="0.2">
      <c r="A541" s="1">
        <v>42445</v>
      </c>
      <c r="B541">
        <v>47.628944396972599</v>
      </c>
      <c r="C541">
        <v>54.349998474121001</v>
      </c>
      <c r="D541">
        <v>54.599998474121001</v>
      </c>
      <c r="E541">
        <v>53.400001525878899</v>
      </c>
      <c r="F541">
        <v>53.450000762939403</v>
      </c>
      <c r="G541" s="2">
        <v>31691700</v>
      </c>
      <c r="H541" s="3">
        <f t="shared" si="8"/>
        <v>1.4181731046498891E-2</v>
      </c>
      <c r="J541" s="3">
        <v>-1.1159054466331364E-2</v>
      </c>
      <c r="K541" s="3">
        <v>0.16975793775542283</v>
      </c>
    </row>
    <row r="542" spans="1:11" x14ac:dyDescent="0.2">
      <c r="A542" s="1">
        <v>42446</v>
      </c>
      <c r="B542">
        <v>47.900638580322202</v>
      </c>
      <c r="C542">
        <v>54.659999847412102</v>
      </c>
      <c r="D542">
        <v>55</v>
      </c>
      <c r="E542">
        <v>54</v>
      </c>
      <c r="F542">
        <v>54.209999084472599</v>
      </c>
      <c r="G542" s="2">
        <v>28223900</v>
      </c>
      <c r="H542" s="3">
        <f t="shared" si="8"/>
        <v>5.7043922931634405E-3</v>
      </c>
      <c r="J542" s="3">
        <v>-1.1141197741869946E-2</v>
      </c>
      <c r="K542" s="3">
        <v>0.17007230430682174</v>
      </c>
    </row>
    <row r="543" spans="1:11" x14ac:dyDescent="0.2">
      <c r="A543" s="1">
        <v>42447</v>
      </c>
      <c r="B543">
        <v>46.875301361083899</v>
      </c>
      <c r="C543">
        <v>53.490001678466797</v>
      </c>
      <c r="D543">
        <v>54.970001220703097</v>
      </c>
      <c r="E543">
        <v>53.450000762939403</v>
      </c>
      <c r="F543">
        <v>54.919998168945298</v>
      </c>
      <c r="G543" s="2">
        <v>67625500</v>
      </c>
      <c r="H543" s="3">
        <f t="shared" si="8"/>
        <v>-2.1405502089893114E-2</v>
      </c>
      <c r="J543" s="3">
        <v>-1.1113329498388835E-2</v>
      </c>
      <c r="K543" s="3">
        <v>0.17038667085822068</v>
      </c>
    </row>
    <row r="544" spans="1:11" x14ac:dyDescent="0.2">
      <c r="A544" s="1">
        <v>42450</v>
      </c>
      <c r="B544">
        <v>47.199554443359297</v>
      </c>
      <c r="C544">
        <v>53.860000610351499</v>
      </c>
      <c r="D544">
        <v>53.930000305175703</v>
      </c>
      <c r="E544">
        <v>52.930000305175703</v>
      </c>
      <c r="F544">
        <v>53.25</v>
      </c>
      <c r="G544" s="2">
        <v>23925700</v>
      </c>
      <c r="H544" s="3">
        <f t="shared" si="8"/>
        <v>6.9173546166167998E-3</v>
      </c>
      <c r="J544" s="3">
        <v>-1.1105741155730486E-2</v>
      </c>
      <c r="K544" s="3">
        <v>0.17070103740961962</v>
      </c>
    </row>
    <row r="545" spans="1:11" x14ac:dyDescent="0.2">
      <c r="A545" s="1">
        <v>42451</v>
      </c>
      <c r="B545">
        <v>47.383590698242102</v>
      </c>
      <c r="C545">
        <v>54.069999694824197</v>
      </c>
      <c r="D545">
        <v>54.25</v>
      </c>
      <c r="E545">
        <v>53.459999084472599</v>
      </c>
      <c r="F545">
        <v>53.610000610351499</v>
      </c>
      <c r="G545" s="2">
        <v>23124100</v>
      </c>
      <c r="H545" s="3">
        <f t="shared" si="8"/>
        <v>3.8991100033296533E-3</v>
      </c>
      <c r="J545" s="3">
        <v>-1.1100365250783728E-2</v>
      </c>
      <c r="K545" s="3">
        <v>0.17101540396101855</v>
      </c>
    </row>
    <row r="546" spans="1:11" x14ac:dyDescent="0.2">
      <c r="A546" s="1">
        <v>42452</v>
      </c>
      <c r="B546">
        <v>47.295940399169901</v>
      </c>
      <c r="C546">
        <v>53.970001220703097</v>
      </c>
      <c r="D546">
        <v>54.240001678466797</v>
      </c>
      <c r="E546">
        <v>53.740001678466797</v>
      </c>
      <c r="F546">
        <v>54.110000610351499</v>
      </c>
      <c r="G546" s="2">
        <v>20129000</v>
      </c>
      <c r="H546" s="3">
        <f t="shared" si="8"/>
        <v>-1.8498028068492101E-3</v>
      </c>
      <c r="J546" s="3">
        <v>-1.1098815659478456E-2</v>
      </c>
      <c r="K546" s="3">
        <v>0.17132977051241749</v>
      </c>
    </row>
    <row r="547" spans="1:11" x14ac:dyDescent="0.2">
      <c r="A547" s="1">
        <v>42453</v>
      </c>
      <c r="B547">
        <v>47.506263732910099</v>
      </c>
      <c r="C547">
        <v>54.209999084472599</v>
      </c>
      <c r="D547">
        <v>54.330001831054602</v>
      </c>
      <c r="E547">
        <v>53.7299995422363</v>
      </c>
      <c r="F547">
        <v>53.840000152587798</v>
      </c>
      <c r="G547" s="2">
        <v>19950000</v>
      </c>
      <c r="H547" s="3">
        <f t="shared" si="8"/>
        <v>4.4469637767026171E-3</v>
      </c>
      <c r="J547" s="3">
        <v>-1.1088648568425397E-2</v>
      </c>
      <c r="K547" s="3">
        <v>0.1716441370638164</v>
      </c>
    </row>
    <row r="548" spans="1:11" x14ac:dyDescent="0.2">
      <c r="A548" s="1">
        <v>42457</v>
      </c>
      <c r="B548">
        <v>46.919113159179602</v>
      </c>
      <c r="C548">
        <v>53.540000915527301</v>
      </c>
      <c r="D548">
        <v>54.290000915527301</v>
      </c>
      <c r="E548">
        <v>53.330001831054602</v>
      </c>
      <c r="F548">
        <v>54.209999084472599</v>
      </c>
      <c r="G548" s="2">
        <v>17025100</v>
      </c>
      <c r="H548" s="3">
        <f t="shared" si="8"/>
        <v>-1.2359434895397703E-2</v>
      </c>
      <c r="J548" s="3">
        <v>-1.1086568869236313E-2</v>
      </c>
      <c r="K548" s="3">
        <v>0.17195850361521534</v>
      </c>
    </row>
    <row r="549" spans="1:11" x14ac:dyDescent="0.2">
      <c r="A549" s="1">
        <v>42458</v>
      </c>
      <c r="B549">
        <v>47.944442749023402</v>
      </c>
      <c r="C549">
        <v>54.709999084472599</v>
      </c>
      <c r="D549">
        <v>54.860000610351499</v>
      </c>
      <c r="E549">
        <v>53.450000762939403</v>
      </c>
      <c r="F549">
        <v>53.659999847412102</v>
      </c>
      <c r="G549" s="2">
        <v>23924300</v>
      </c>
      <c r="H549" s="3">
        <f t="shared" si="8"/>
        <v>2.1853132354936688E-2</v>
      </c>
      <c r="J549" s="3">
        <v>-1.1025850613166632E-2</v>
      </c>
      <c r="K549" s="3">
        <v>0.17227287016661427</v>
      </c>
    </row>
    <row r="550" spans="1:11" x14ac:dyDescent="0.2">
      <c r="A550" s="1">
        <v>42459</v>
      </c>
      <c r="B550">
        <v>48.242397308349602</v>
      </c>
      <c r="C550">
        <v>55.049999237060497</v>
      </c>
      <c r="D550">
        <v>55.639999389648402</v>
      </c>
      <c r="E550">
        <v>54.900001525878899</v>
      </c>
      <c r="F550">
        <v>54.930000305175703</v>
      </c>
      <c r="G550" s="2">
        <v>23008300</v>
      </c>
      <c r="H550" s="3">
        <f t="shared" si="8"/>
        <v>6.2145796726831293E-3</v>
      </c>
      <c r="J550" s="3">
        <v>-1.1019388183179823E-2</v>
      </c>
      <c r="K550" s="3">
        <v>0.17258723671801321</v>
      </c>
    </row>
    <row r="551" spans="1:11" x14ac:dyDescent="0.2">
      <c r="A551" s="1">
        <v>42460</v>
      </c>
      <c r="B551">
        <v>48.400142669677699</v>
      </c>
      <c r="C551">
        <v>55.2299995422363</v>
      </c>
      <c r="D551">
        <v>55.590000152587798</v>
      </c>
      <c r="E551">
        <v>54.860000610351499</v>
      </c>
      <c r="F551">
        <v>54.950000762939403</v>
      </c>
      <c r="G551" s="2">
        <v>26360500</v>
      </c>
      <c r="H551" s="3">
        <f t="shared" si="8"/>
        <v>3.2698491395408702E-3</v>
      </c>
      <c r="J551" s="3">
        <v>-1.0990792948797568E-2</v>
      </c>
      <c r="K551" s="3">
        <v>0.17290160326941215</v>
      </c>
    </row>
    <row r="552" spans="1:11" x14ac:dyDescent="0.2">
      <c r="A552" s="1">
        <v>42461</v>
      </c>
      <c r="B552">
        <v>48.698085784912102</v>
      </c>
      <c r="C552">
        <v>55.569999694824197</v>
      </c>
      <c r="D552">
        <v>55.610000610351499</v>
      </c>
      <c r="E552">
        <v>54.569999694824197</v>
      </c>
      <c r="F552">
        <v>55.049999237060497</v>
      </c>
      <c r="G552" s="2">
        <v>24399200</v>
      </c>
      <c r="H552" s="3">
        <f t="shared" si="8"/>
        <v>6.1558313426430811E-3</v>
      </c>
      <c r="J552" s="3">
        <v>-1.0986493668333486E-2</v>
      </c>
      <c r="K552" s="3">
        <v>0.17321596982081106</v>
      </c>
    </row>
    <row r="553" spans="1:11" x14ac:dyDescent="0.2">
      <c r="A553" s="1">
        <v>42464</v>
      </c>
      <c r="B553">
        <v>48.575405120849602</v>
      </c>
      <c r="C553">
        <v>55.430000305175703</v>
      </c>
      <c r="D553">
        <v>55.659999847412102</v>
      </c>
      <c r="E553">
        <v>55</v>
      </c>
      <c r="F553">
        <v>55.430000305175703</v>
      </c>
      <c r="G553" s="2">
        <v>18928800</v>
      </c>
      <c r="H553" s="3">
        <f t="shared" si="8"/>
        <v>-2.5192091657226801E-3</v>
      </c>
      <c r="J553" s="3">
        <v>-1.098173241887801E-2</v>
      </c>
      <c r="K553" s="3">
        <v>0.17353033637220999</v>
      </c>
    </row>
    <row r="554" spans="1:11" x14ac:dyDescent="0.2">
      <c r="A554" s="1">
        <v>42465</v>
      </c>
      <c r="B554">
        <v>47.812992095947202</v>
      </c>
      <c r="C554">
        <v>54.560001373291001</v>
      </c>
      <c r="D554">
        <v>55.299999237060497</v>
      </c>
      <c r="E554">
        <v>54.459999084472599</v>
      </c>
      <c r="F554">
        <v>55.189998626708899</v>
      </c>
      <c r="G554" s="2">
        <v>19272300</v>
      </c>
      <c r="H554" s="3">
        <f t="shared" si="8"/>
        <v>-1.5695453759070332E-2</v>
      </c>
      <c r="J554" s="3">
        <v>-1.0974119852768527E-2</v>
      </c>
      <c r="K554" s="3">
        <v>0.17384470292360893</v>
      </c>
    </row>
    <row r="555" spans="1:11" x14ac:dyDescent="0.2">
      <c r="A555" s="1">
        <v>42466</v>
      </c>
      <c r="B555">
        <v>48.303737640380803</v>
      </c>
      <c r="C555">
        <v>55.119998931884702</v>
      </c>
      <c r="D555">
        <v>55.200000762939403</v>
      </c>
      <c r="E555">
        <v>54.209999084472599</v>
      </c>
      <c r="F555">
        <v>54.360000610351499</v>
      </c>
      <c r="G555" s="2">
        <v>21188700</v>
      </c>
      <c r="H555" s="3">
        <f t="shared" si="8"/>
        <v>1.0263853461603301E-2</v>
      </c>
      <c r="J555" s="3">
        <v>-1.0971243569625644E-2</v>
      </c>
      <c r="K555" s="3">
        <v>0.17415906947500787</v>
      </c>
    </row>
    <row r="556" spans="1:11" x14ac:dyDescent="0.2">
      <c r="A556" s="1">
        <v>42467</v>
      </c>
      <c r="B556">
        <v>47.725349426269503</v>
      </c>
      <c r="C556">
        <v>54.459999084472599</v>
      </c>
      <c r="D556">
        <v>54.909999847412102</v>
      </c>
      <c r="E556">
        <v>54.2299995422363</v>
      </c>
      <c r="F556">
        <v>54.869998931884702</v>
      </c>
      <c r="G556" s="2">
        <v>19225100</v>
      </c>
      <c r="H556" s="3">
        <f t="shared" si="8"/>
        <v>-1.1973984672104976E-2</v>
      </c>
      <c r="J556" s="3">
        <v>-1.0965426152629854E-2</v>
      </c>
      <c r="K556" s="3">
        <v>0.1744734360264068</v>
      </c>
    </row>
    <row r="557" spans="1:11" x14ac:dyDescent="0.2">
      <c r="A557" s="1">
        <v>42468</v>
      </c>
      <c r="B557">
        <v>47.690296173095703</v>
      </c>
      <c r="C557">
        <v>54.419998168945298</v>
      </c>
      <c r="D557">
        <v>55.279998779296797</v>
      </c>
      <c r="E557">
        <v>54.319999694824197</v>
      </c>
      <c r="F557">
        <v>54.669998168945298</v>
      </c>
      <c r="G557" s="2">
        <v>22167200</v>
      </c>
      <c r="H557" s="3">
        <f t="shared" si="8"/>
        <v>-7.3447871194642911E-4</v>
      </c>
      <c r="J557" s="3">
        <v>-1.0917750137296567E-2</v>
      </c>
      <c r="K557" s="3">
        <v>0.17478780257780571</v>
      </c>
    </row>
    <row r="558" spans="1:11" x14ac:dyDescent="0.2">
      <c r="A558" s="1">
        <v>42471</v>
      </c>
      <c r="B558">
        <v>47.593902587890597</v>
      </c>
      <c r="C558">
        <v>54.310001373291001</v>
      </c>
      <c r="D558">
        <v>55.150001525878899</v>
      </c>
      <c r="E558">
        <v>54.299999237060497</v>
      </c>
      <c r="F558">
        <v>54.490001678466797</v>
      </c>
      <c r="G558" s="2">
        <v>21414200</v>
      </c>
      <c r="H558" s="3">
        <f t="shared" si="8"/>
        <v>-2.0212410687331372E-3</v>
      </c>
      <c r="J558" s="3">
        <v>-1.0890193180969177E-2</v>
      </c>
      <c r="K558" s="3">
        <v>0.17510216912920465</v>
      </c>
    </row>
    <row r="559" spans="1:11" x14ac:dyDescent="0.2">
      <c r="A559" s="1">
        <v>42472</v>
      </c>
      <c r="B559">
        <v>47.8918647766113</v>
      </c>
      <c r="C559">
        <v>54.650001525878899</v>
      </c>
      <c r="D559">
        <v>54.779998779296797</v>
      </c>
      <c r="E559">
        <v>53.759998321533203</v>
      </c>
      <c r="F559">
        <v>54.369998931884702</v>
      </c>
      <c r="G559" s="2">
        <v>24944300</v>
      </c>
      <c r="H559" s="3">
        <f t="shared" si="8"/>
        <v>6.2605117991840764E-3</v>
      </c>
      <c r="J559" s="3">
        <v>-1.0856494815534079E-2</v>
      </c>
      <c r="K559" s="3">
        <v>0.17541653568060359</v>
      </c>
    </row>
    <row r="560" spans="1:11" x14ac:dyDescent="0.2">
      <c r="A560" s="1">
        <v>42473</v>
      </c>
      <c r="B560">
        <v>48.505290985107401</v>
      </c>
      <c r="C560">
        <v>55.349998474121001</v>
      </c>
      <c r="D560">
        <v>55.439998626708899</v>
      </c>
      <c r="E560">
        <v>54.889999389648402</v>
      </c>
      <c r="F560">
        <v>55.119998931884702</v>
      </c>
      <c r="G560" s="2">
        <v>20818000</v>
      </c>
      <c r="H560" s="3">
        <f t="shared" si="8"/>
        <v>1.2808568038797263E-2</v>
      </c>
      <c r="J560" s="3">
        <v>-1.0856147912627678E-2</v>
      </c>
      <c r="K560" s="3">
        <v>0.17573090223200252</v>
      </c>
    </row>
    <row r="561" spans="1:11" x14ac:dyDescent="0.2">
      <c r="A561" s="1">
        <v>42474</v>
      </c>
      <c r="B561">
        <v>48.514060974121001</v>
      </c>
      <c r="C561">
        <v>55.360000610351499</v>
      </c>
      <c r="D561">
        <v>55.580001831054602</v>
      </c>
      <c r="E561">
        <v>55.069999694824197</v>
      </c>
      <c r="F561">
        <v>55.220001220703097</v>
      </c>
      <c r="G561" s="2">
        <v>20877100</v>
      </c>
      <c r="H561" s="3">
        <f t="shared" si="8"/>
        <v>1.8080479130189175E-4</v>
      </c>
      <c r="J561" s="3">
        <v>-1.0849580686422722E-2</v>
      </c>
      <c r="K561" s="3">
        <v>0.17604526878340146</v>
      </c>
    </row>
    <row r="562" spans="1:11" x14ac:dyDescent="0.2">
      <c r="A562" s="1">
        <v>42475</v>
      </c>
      <c r="B562">
        <v>48.768192291259702</v>
      </c>
      <c r="C562">
        <v>55.650001525878899</v>
      </c>
      <c r="D562">
        <v>55.919998168945298</v>
      </c>
      <c r="E562">
        <v>55.110000610351499</v>
      </c>
      <c r="F562">
        <v>55.299999237060497</v>
      </c>
      <c r="G562" s="2">
        <v>28793800</v>
      </c>
      <c r="H562" s="3">
        <f t="shared" si="8"/>
        <v>5.2383022990851735E-3</v>
      </c>
      <c r="J562" s="3">
        <v>-1.0806954594353213E-2</v>
      </c>
      <c r="K562" s="3">
        <v>0.17635963533480037</v>
      </c>
    </row>
    <row r="563" spans="1:11" x14ac:dyDescent="0.2">
      <c r="A563" s="1">
        <v>42478</v>
      </c>
      <c r="B563">
        <v>49.478034973144503</v>
      </c>
      <c r="C563">
        <v>56.459999084472599</v>
      </c>
      <c r="D563">
        <v>56.590000152587798</v>
      </c>
      <c r="E563">
        <v>55.209999084472599</v>
      </c>
      <c r="F563">
        <v>55.490001678466797</v>
      </c>
      <c r="G563" s="2">
        <v>23786000</v>
      </c>
      <c r="H563" s="3">
        <f t="shared" si="8"/>
        <v>1.4555443795115197E-2</v>
      </c>
      <c r="J563" s="3">
        <v>-1.0805772634590705E-2</v>
      </c>
      <c r="K563" s="3">
        <v>0.17667400188619931</v>
      </c>
    </row>
    <row r="564" spans="1:11" x14ac:dyDescent="0.2">
      <c r="A564" s="1">
        <v>42479</v>
      </c>
      <c r="B564">
        <v>49.416690826416001</v>
      </c>
      <c r="C564">
        <v>56.389999389648402</v>
      </c>
      <c r="D564">
        <v>56.770000457763601</v>
      </c>
      <c r="E564">
        <v>55.680000305175703</v>
      </c>
      <c r="F564">
        <v>56.630001068115199</v>
      </c>
      <c r="G564" s="2">
        <v>29596800</v>
      </c>
      <c r="H564" s="3">
        <f t="shared" si="8"/>
        <v>-1.2398258492237746E-3</v>
      </c>
      <c r="J564" s="3">
        <v>-1.0775924295474915E-2</v>
      </c>
      <c r="K564" s="3">
        <v>0.17698836843759824</v>
      </c>
    </row>
    <row r="565" spans="1:11" x14ac:dyDescent="0.2">
      <c r="A565" s="1">
        <v>42480</v>
      </c>
      <c r="B565">
        <v>48.715621948242102</v>
      </c>
      <c r="C565">
        <v>55.590000152587798</v>
      </c>
      <c r="D565">
        <v>56.5</v>
      </c>
      <c r="E565">
        <v>55.490001678466797</v>
      </c>
      <c r="F565">
        <v>56.290000915527301</v>
      </c>
      <c r="G565" s="2">
        <v>36195700</v>
      </c>
      <c r="H565" s="3">
        <f t="shared" si="8"/>
        <v>-1.4186884359305152E-2</v>
      </c>
      <c r="J565" s="3">
        <v>-1.0770425260286154E-2</v>
      </c>
      <c r="K565" s="3">
        <v>0.17730273498899718</v>
      </c>
    </row>
    <row r="566" spans="1:11" x14ac:dyDescent="0.2">
      <c r="A566" s="1">
        <v>42481</v>
      </c>
      <c r="B566">
        <v>48.882122039794901</v>
      </c>
      <c r="C566">
        <v>55.779998779296797</v>
      </c>
      <c r="D566">
        <v>56.2299995422363</v>
      </c>
      <c r="E566">
        <v>55.419998168945298</v>
      </c>
      <c r="F566">
        <v>55.799999237060497</v>
      </c>
      <c r="G566" s="2">
        <v>38909100</v>
      </c>
      <c r="H566" s="3">
        <f t="shared" si="8"/>
        <v>3.417796692192443E-3</v>
      </c>
      <c r="J566" s="3">
        <v>-1.072076017921586E-2</v>
      </c>
      <c r="K566" s="3">
        <v>0.17761710154039609</v>
      </c>
    </row>
    <row r="567" spans="1:11" x14ac:dyDescent="0.2">
      <c r="A567" s="1">
        <v>42482</v>
      </c>
      <c r="B567">
        <v>45.376766204833899</v>
      </c>
      <c r="C567">
        <v>51.779998779296797</v>
      </c>
      <c r="D567">
        <v>52.430000305175703</v>
      </c>
      <c r="E567">
        <v>50.770000457763601</v>
      </c>
      <c r="F567">
        <v>51.909999847412102</v>
      </c>
      <c r="G567" s="2">
        <v>126834100</v>
      </c>
      <c r="H567" s="3">
        <f t="shared" si="8"/>
        <v>-7.1710385897471807E-2</v>
      </c>
      <c r="J567" s="3">
        <v>-1.0711244753378257E-2</v>
      </c>
      <c r="K567" s="3">
        <v>0.17793146809179503</v>
      </c>
    </row>
    <row r="568" spans="1:11" x14ac:dyDescent="0.2">
      <c r="A568" s="1">
        <v>42485</v>
      </c>
      <c r="B568">
        <v>45.665958404541001</v>
      </c>
      <c r="C568">
        <v>52.110000610351499</v>
      </c>
      <c r="D568">
        <v>52.130001068115199</v>
      </c>
      <c r="E568">
        <v>51.630001068115199</v>
      </c>
      <c r="F568">
        <v>51.779998779296797</v>
      </c>
      <c r="G568" s="2">
        <v>33226900</v>
      </c>
      <c r="H568" s="3">
        <f t="shared" si="8"/>
        <v>6.3731337398893473E-3</v>
      </c>
      <c r="J568" s="3">
        <v>-1.066885594600564E-2</v>
      </c>
      <c r="K568" s="3">
        <v>0.17824583464319396</v>
      </c>
    </row>
    <row r="569" spans="1:11" x14ac:dyDescent="0.2">
      <c r="A569" s="1">
        <v>42486</v>
      </c>
      <c r="B569">
        <v>45.078804016113203</v>
      </c>
      <c r="C569">
        <v>51.439998626708899</v>
      </c>
      <c r="D569">
        <v>52.349998474121001</v>
      </c>
      <c r="E569">
        <v>51.090000152587798</v>
      </c>
      <c r="F569">
        <v>52.259998321533203</v>
      </c>
      <c r="G569" s="2">
        <v>33532600</v>
      </c>
      <c r="H569" s="3">
        <f t="shared" si="8"/>
        <v>-1.2857594780478987E-2</v>
      </c>
      <c r="J569" s="3">
        <v>-1.0668114551667718E-2</v>
      </c>
      <c r="K569" s="3">
        <v>0.1785602011945929</v>
      </c>
    </row>
    <row r="570" spans="1:11" x14ac:dyDescent="0.2">
      <c r="A570" s="1">
        <v>42487</v>
      </c>
      <c r="B570">
        <v>44.640636444091797</v>
      </c>
      <c r="C570">
        <v>50.939998626708899</v>
      </c>
      <c r="D570">
        <v>51.5</v>
      </c>
      <c r="E570">
        <v>50.549999237060497</v>
      </c>
      <c r="F570">
        <v>51.4799995422363</v>
      </c>
      <c r="G570" s="2">
        <v>43369300</v>
      </c>
      <c r="H570" s="3">
        <f t="shared" si="8"/>
        <v>-9.7200354265118971E-3</v>
      </c>
      <c r="J570" s="3">
        <v>-1.0658831472746488E-2</v>
      </c>
      <c r="K570" s="3">
        <v>0.17887456774599184</v>
      </c>
    </row>
    <row r="571" spans="1:11" x14ac:dyDescent="0.2">
      <c r="A571" s="1">
        <v>42488</v>
      </c>
      <c r="B571">
        <v>43.729259490966797</v>
      </c>
      <c r="C571">
        <v>49.900001525878899</v>
      </c>
      <c r="D571">
        <v>50.770000457763601</v>
      </c>
      <c r="E571">
        <v>49.560001373291001</v>
      </c>
      <c r="F571">
        <v>50.619998931884702</v>
      </c>
      <c r="G571" s="2">
        <v>43134800</v>
      </c>
      <c r="H571" s="3">
        <f t="shared" si="8"/>
        <v>-2.0415859309407813E-2</v>
      </c>
      <c r="J571" s="3">
        <v>-1.0624615691303574E-2</v>
      </c>
      <c r="K571" s="3">
        <v>0.17918893429739075</v>
      </c>
    </row>
    <row r="572" spans="1:11" x14ac:dyDescent="0.2">
      <c r="A572" s="1">
        <v>42489</v>
      </c>
      <c r="B572">
        <v>43.702964782714801</v>
      </c>
      <c r="C572">
        <v>49.869998931884702</v>
      </c>
      <c r="D572">
        <v>50.25</v>
      </c>
      <c r="E572">
        <v>49.349998474121001</v>
      </c>
      <c r="F572">
        <v>49.349998474121001</v>
      </c>
      <c r="G572" s="2">
        <v>48411700</v>
      </c>
      <c r="H572" s="3">
        <f t="shared" si="8"/>
        <v>-6.0130696376026194E-4</v>
      </c>
      <c r="J572" s="3">
        <v>-1.0589059477918106E-2</v>
      </c>
      <c r="K572" s="3">
        <v>0.17950330084878968</v>
      </c>
    </row>
    <row r="573" spans="1:11" x14ac:dyDescent="0.2">
      <c r="A573" s="1">
        <v>42492</v>
      </c>
      <c r="B573">
        <v>44.351467132568303</v>
      </c>
      <c r="C573">
        <v>50.610000610351499</v>
      </c>
      <c r="D573">
        <v>50.75</v>
      </c>
      <c r="E573">
        <v>49.779998779296797</v>
      </c>
      <c r="F573">
        <v>50</v>
      </c>
      <c r="G573" s="2">
        <v>33114500</v>
      </c>
      <c r="H573" s="3">
        <f t="shared" si="8"/>
        <v>1.4838863978170913E-2</v>
      </c>
      <c r="J573" s="3">
        <v>-1.0574478998150449E-2</v>
      </c>
      <c r="K573" s="3">
        <v>0.17981766740018862</v>
      </c>
    </row>
    <row r="574" spans="1:11" x14ac:dyDescent="0.2">
      <c r="A574" s="1">
        <v>42493</v>
      </c>
      <c r="B574">
        <v>43.624092102050703</v>
      </c>
      <c r="C574">
        <v>49.779998779296797</v>
      </c>
      <c r="D574">
        <v>50.409999847412102</v>
      </c>
      <c r="E574">
        <v>49.599998474121001</v>
      </c>
      <c r="F574">
        <v>50.340000152587798</v>
      </c>
      <c r="G574" s="2">
        <v>26460200</v>
      </c>
      <c r="H574" s="3">
        <f t="shared" si="8"/>
        <v>-1.6400247332144513E-2</v>
      </c>
      <c r="J574" s="3">
        <v>-1.0571585907043435E-2</v>
      </c>
      <c r="K574" s="3">
        <v>0.18013203395158756</v>
      </c>
    </row>
    <row r="575" spans="1:11" x14ac:dyDescent="0.2">
      <c r="A575" s="1">
        <v>42494</v>
      </c>
      <c r="B575">
        <v>43.702964782714801</v>
      </c>
      <c r="C575">
        <v>49.869998931884702</v>
      </c>
      <c r="D575">
        <v>50.060001373291001</v>
      </c>
      <c r="E575">
        <v>49.459999084472599</v>
      </c>
      <c r="F575">
        <v>49.840000152587798</v>
      </c>
      <c r="G575" s="2">
        <v>24257600</v>
      </c>
      <c r="H575" s="3">
        <f t="shared" si="8"/>
        <v>1.8080073845339051E-3</v>
      </c>
      <c r="J575" s="3">
        <v>-1.0560304994946423E-2</v>
      </c>
      <c r="K575" s="3">
        <v>0.18044640050298649</v>
      </c>
    </row>
    <row r="576" spans="1:11" x14ac:dyDescent="0.2">
      <c r="A576" s="1">
        <v>42495</v>
      </c>
      <c r="B576">
        <v>43.764305114746001</v>
      </c>
      <c r="C576">
        <v>49.939998626708899</v>
      </c>
      <c r="D576">
        <v>50.299999237060497</v>
      </c>
      <c r="E576">
        <v>49.7299995422363</v>
      </c>
      <c r="F576">
        <v>49.869998931884702</v>
      </c>
      <c r="G576" s="2">
        <v>25390700</v>
      </c>
      <c r="H576" s="3">
        <f t="shared" si="8"/>
        <v>1.4035737011477423E-3</v>
      </c>
      <c r="J576" s="3">
        <v>-1.0496683664164341E-2</v>
      </c>
      <c r="K576" s="3">
        <v>0.1807607670543854</v>
      </c>
    </row>
    <row r="577" spans="1:11" x14ac:dyDescent="0.2">
      <c r="A577" s="1">
        <v>42496</v>
      </c>
      <c r="B577">
        <v>44.158672332763601</v>
      </c>
      <c r="C577">
        <v>50.389999389648402</v>
      </c>
      <c r="D577">
        <v>50.389999389648402</v>
      </c>
      <c r="E577">
        <v>49.659999847412102</v>
      </c>
      <c r="F577">
        <v>49.919998168945298</v>
      </c>
      <c r="G577" s="2">
        <v>24787300</v>
      </c>
      <c r="H577" s="3">
        <f t="shared" si="8"/>
        <v>9.0111614244441363E-3</v>
      </c>
      <c r="J577" s="3">
        <v>-1.0477991204412618E-2</v>
      </c>
      <c r="K577" s="3">
        <v>0.18107513360578434</v>
      </c>
    </row>
    <row r="578" spans="1:11" x14ac:dyDescent="0.2">
      <c r="A578" s="1">
        <v>42499</v>
      </c>
      <c r="B578">
        <v>43.878242492675703</v>
      </c>
      <c r="C578">
        <v>50.069999694824197</v>
      </c>
      <c r="D578">
        <v>50.590000152587798</v>
      </c>
      <c r="E578">
        <v>50</v>
      </c>
      <c r="F578">
        <v>50.490001678466797</v>
      </c>
      <c r="G578" s="2">
        <v>17951600</v>
      </c>
      <c r="H578" s="3">
        <f t="shared" ref="H578:H641" si="9">B578/B577-1</f>
        <v>-6.3505043352454216E-3</v>
      </c>
      <c r="J578" s="3">
        <v>-1.0474205320564978E-2</v>
      </c>
      <c r="K578" s="3">
        <v>0.18138950015718328</v>
      </c>
    </row>
    <row r="579" spans="1:11" x14ac:dyDescent="0.2">
      <c r="A579" s="1">
        <v>42500</v>
      </c>
      <c r="B579">
        <v>44.710750579833899</v>
      </c>
      <c r="C579">
        <v>51.020000457763601</v>
      </c>
      <c r="D579">
        <v>51.099998474121001</v>
      </c>
      <c r="E579">
        <v>50.189998626708899</v>
      </c>
      <c r="F579">
        <v>50.330001831054602</v>
      </c>
      <c r="G579" s="2">
        <v>22891000</v>
      </c>
      <c r="H579" s="3">
        <f t="shared" si="9"/>
        <v>1.8973141125631088E-2</v>
      </c>
      <c r="J579" s="3">
        <v>-1.0471032436765393E-2</v>
      </c>
      <c r="K579" s="3">
        <v>0.18170386670858221</v>
      </c>
    </row>
    <row r="580" spans="1:11" x14ac:dyDescent="0.2">
      <c r="A580" s="1">
        <v>42501</v>
      </c>
      <c r="B580">
        <v>44.737030029296797</v>
      </c>
      <c r="C580">
        <v>51.049999237060497</v>
      </c>
      <c r="D580">
        <v>51.779998779296797</v>
      </c>
      <c r="E580">
        <v>51</v>
      </c>
      <c r="F580">
        <v>51.130001068115199</v>
      </c>
      <c r="G580" s="2">
        <v>24039100</v>
      </c>
      <c r="H580" s="3">
        <f t="shared" si="9"/>
        <v>5.8776578612729224E-4</v>
      </c>
      <c r="J580" s="3">
        <v>-1.045881089881584E-2</v>
      </c>
      <c r="K580" s="3">
        <v>0.18201823325998115</v>
      </c>
    </row>
    <row r="581" spans="1:11" x14ac:dyDescent="0.2">
      <c r="A581" s="1">
        <v>42502</v>
      </c>
      <c r="B581">
        <v>45.140148162841797</v>
      </c>
      <c r="C581">
        <v>51.509998321533203</v>
      </c>
      <c r="D581">
        <v>51.810001373291001</v>
      </c>
      <c r="E581">
        <v>50.919998168945298</v>
      </c>
      <c r="F581">
        <v>51.200000762939403</v>
      </c>
      <c r="G581" s="2">
        <v>24102800</v>
      </c>
      <c r="H581" s="3">
        <f t="shared" si="9"/>
        <v>9.0108380748792349E-3</v>
      </c>
      <c r="J581" s="3">
        <v>-1.0443941495820619E-2</v>
      </c>
      <c r="K581" s="3">
        <v>0.18233259981138006</v>
      </c>
    </row>
    <row r="582" spans="1:11" x14ac:dyDescent="0.2">
      <c r="A582" s="1">
        <v>42503</v>
      </c>
      <c r="B582">
        <v>44.763332366943303</v>
      </c>
      <c r="C582">
        <v>51.080001831054602</v>
      </c>
      <c r="D582">
        <v>51.900001525878899</v>
      </c>
      <c r="E582">
        <v>51.040000915527301</v>
      </c>
      <c r="F582">
        <v>51.439998626708899</v>
      </c>
      <c r="G582" s="2">
        <v>22592300</v>
      </c>
      <c r="H582" s="3">
        <f t="shared" si="9"/>
        <v>-8.3476862889138026E-3</v>
      </c>
      <c r="J582" s="3">
        <v>-1.0436708216937096E-2</v>
      </c>
      <c r="K582" s="3">
        <v>0.182646966362779</v>
      </c>
    </row>
    <row r="583" spans="1:11" x14ac:dyDescent="0.2">
      <c r="A583" s="1">
        <v>42506</v>
      </c>
      <c r="B583">
        <v>45.420578002929602</v>
      </c>
      <c r="C583">
        <v>51.830001831054602</v>
      </c>
      <c r="D583">
        <v>51.959999084472599</v>
      </c>
      <c r="E583">
        <v>50.75</v>
      </c>
      <c r="F583">
        <v>50.799999237060497</v>
      </c>
      <c r="G583" s="2">
        <v>20032000</v>
      </c>
      <c r="H583" s="3">
        <f t="shared" si="9"/>
        <v>1.4682678907785185E-2</v>
      </c>
      <c r="J583" s="3">
        <v>-1.0408858139759114E-2</v>
      </c>
      <c r="K583" s="3">
        <v>0.18296133291417793</v>
      </c>
    </row>
    <row r="584" spans="1:11" x14ac:dyDescent="0.2">
      <c r="A584" s="1">
        <v>42507</v>
      </c>
      <c r="B584">
        <v>44.573417663574197</v>
      </c>
      <c r="C584">
        <v>50.509998321533203</v>
      </c>
      <c r="D584">
        <v>51.7299995422363</v>
      </c>
      <c r="E584">
        <v>50.360000610351499</v>
      </c>
      <c r="F584">
        <v>51.720001220703097</v>
      </c>
      <c r="G584" s="2">
        <v>27803500</v>
      </c>
      <c r="H584" s="3">
        <f t="shared" si="9"/>
        <v>-1.8651465406291479E-2</v>
      </c>
      <c r="J584" s="3">
        <v>-1.0357621490298952E-2</v>
      </c>
      <c r="K584" s="3">
        <v>0.18327569946557687</v>
      </c>
    </row>
    <row r="585" spans="1:11" x14ac:dyDescent="0.2">
      <c r="A585" s="1">
        <v>42508</v>
      </c>
      <c r="B585">
        <v>44.838157653808501</v>
      </c>
      <c r="C585">
        <v>50.810001373291001</v>
      </c>
      <c r="D585">
        <v>51.139999389648402</v>
      </c>
      <c r="E585">
        <v>50.299999237060497</v>
      </c>
      <c r="F585">
        <v>50.4799995422363</v>
      </c>
      <c r="G585" s="2">
        <v>24907500</v>
      </c>
      <c r="H585" s="3">
        <f t="shared" si="9"/>
        <v>5.939414209439331E-3</v>
      </c>
      <c r="J585" s="3">
        <v>-1.03228337286978E-2</v>
      </c>
      <c r="K585" s="3">
        <v>0.18359006601697581</v>
      </c>
    </row>
    <row r="586" spans="1:11" x14ac:dyDescent="0.2">
      <c r="A586" s="1">
        <v>42509</v>
      </c>
      <c r="B586">
        <v>44.405746459960902</v>
      </c>
      <c r="C586">
        <v>50.319999694824197</v>
      </c>
      <c r="D586">
        <v>50.619998931884702</v>
      </c>
      <c r="E586">
        <v>49.819999694824197</v>
      </c>
      <c r="F586">
        <v>50.470001220703097</v>
      </c>
      <c r="G586" s="2">
        <v>23842400</v>
      </c>
      <c r="H586" s="3">
        <f t="shared" si="9"/>
        <v>-9.6438216125249721E-3</v>
      </c>
      <c r="J586" s="3">
        <v>-1.0322769086448136E-2</v>
      </c>
      <c r="K586" s="3">
        <v>0.18390443256837471</v>
      </c>
    </row>
    <row r="587" spans="1:11" x14ac:dyDescent="0.2">
      <c r="A587" s="1">
        <v>42510</v>
      </c>
      <c r="B587">
        <v>44.670486450195298</v>
      </c>
      <c r="C587">
        <v>50.619998931884702</v>
      </c>
      <c r="D587">
        <v>51.220001220703097</v>
      </c>
      <c r="E587">
        <v>50.400001525878899</v>
      </c>
      <c r="F587">
        <v>50.4799995422363</v>
      </c>
      <c r="G587" s="2">
        <v>23905800</v>
      </c>
      <c r="H587" s="3">
        <f t="shared" si="9"/>
        <v>5.9618407827712883E-3</v>
      </c>
      <c r="J587" s="3">
        <v>-1.0313272302247101E-2</v>
      </c>
      <c r="K587" s="3">
        <v>0.18421879911977365</v>
      </c>
    </row>
    <row r="588" spans="1:11" x14ac:dyDescent="0.2">
      <c r="A588" s="1">
        <v>42513</v>
      </c>
      <c r="B588">
        <v>44.149826049804602</v>
      </c>
      <c r="C588">
        <v>50.029998779296797</v>
      </c>
      <c r="D588">
        <v>50.680000305175703</v>
      </c>
      <c r="E588">
        <v>49.9799995422363</v>
      </c>
      <c r="F588">
        <v>50.599998474121001</v>
      </c>
      <c r="G588" s="2">
        <v>26118700</v>
      </c>
      <c r="H588" s="3">
        <f t="shared" si="9"/>
        <v>-1.1655579371655178E-2</v>
      </c>
      <c r="J588" s="3">
        <v>-1.0306483384166731E-2</v>
      </c>
      <c r="K588" s="3">
        <v>0.18453316567117259</v>
      </c>
    </row>
    <row r="589" spans="1:11" x14ac:dyDescent="0.2">
      <c r="A589" s="1">
        <v>42514</v>
      </c>
      <c r="B589">
        <v>45.5264892578125</v>
      </c>
      <c r="C589">
        <v>51.590000152587798</v>
      </c>
      <c r="D589">
        <v>51.709999084472599</v>
      </c>
      <c r="E589">
        <v>50.400001525878899</v>
      </c>
      <c r="F589">
        <v>50.700000762939403</v>
      </c>
      <c r="G589" s="2">
        <v>34757900</v>
      </c>
      <c r="H589" s="3">
        <f t="shared" si="9"/>
        <v>3.1181622470152215E-2</v>
      </c>
      <c r="J589" s="3">
        <v>-1.0298692970432066E-2</v>
      </c>
      <c r="K589" s="3">
        <v>0.18484753222257153</v>
      </c>
    </row>
    <row r="590" spans="1:11" x14ac:dyDescent="0.2">
      <c r="A590" s="1">
        <v>42515</v>
      </c>
      <c r="B590">
        <v>45.994186401367102</v>
      </c>
      <c r="C590">
        <v>52.119998931884702</v>
      </c>
      <c r="D590">
        <v>52.490001678466797</v>
      </c>
      <c r="E590">
        <v>51.790000915527301</v>
      </c>
      <c r="F590">
        <v>51.919998168945298</v>
      </c>
      <c r="G590" s="2">
        <v>24040200</v>
      </c>
      <c r="H590" s="3">
        <f t="shared" si="9"/>
        <v>1.0273077304645106E-2</v>
      </c>
      <c r="J590" s="3">
        <v>-1.0288869289492575E-2</v>
      </c>
      <c r="K590" s="3">
        <v>0.18516189877397046</v>
      </c>
    </row>
    <row r="591" spans="1:11" x14ac:dyDescent="0.2">
      <c r="A591" s="1">
        <v>42516</v>
      </c>
      <c r="B591">
        <v>45.791213989257798</v>
      </c>
      <c r="C591">
        <v>51.889999389648402</v>
      </c>
      <c r="D591">
        <v>51.9799995422363</v>
      </c>
      <c r="E591">
        <v>51.360000610351499</v>
      </c>
      <c r="F591">
        <v>51.930000305175703</v>
      </c>
      <c r="G591" s="2">
        <v>24335200</v>
      </c>
      <c r="H591" s="3">
        <f t="shared" si="9"/>
        <v>-4.4130014680131557E-3</v>
      </c>
      <c r="J591" s="3">
        <v>-1.0254874636841826E-2</v>
      </c>
      <c r="K591" s="3">
        <v>0.18547626532536937</v>
      </c>
    </row>
    <row r="592" spans="1:11" x14ac:dyDescent="0.2">
      <c r="A592" s="1">
        <v>42517</v>
      </c>
      <c r="B592">
        <v>46.1706733703613</v>
      </c>
      <c r="C592">
        <v>52.319999694824197</v>
      </c>
      <c r="D592">
        <v>52.319999694824197</v>
      </c>
      <c r="E592">
        <v>51.770000457763601</v>
      </c>
      <c r="F592">
        <v>51.919998168945298</v>
      </c>
      <c r="G592" s="2">
        <v>17721400</v>
      </c>
      <c r="H592" s="3">
        <f t="shared" si="9"/>
        <v>8.2867290042258901E-3</v>
      </c>
      <c r="J592" s="3">
        <v>-1.0217836182272233E-2</v>
      </c>
      <c r="K592" s="3">
        <v>0.18579063187676831</v>
      </c>
    </row>
    <row r="593" spans="1:11" x14ac:dyDescent="0.2">
      <c r="A593" s="1">
        <v>42521</v>
      </c>
      <c r="B593">
        <v>46.770759582519503</v>
      </c>
      <c r="C593">
        <v>53</v>
      </c>
      <c r="D593">
        <v>53</v>
      </c>
      <c r="E593">
        <v>52.080001831054602</v>
      </c>
      <c r="F593">
        <v>52.259998321533203</v>
      </c>
      <c r="G593" s="2">
        <v>37653100</v>
      </c>
      <c r="H593" s="3">
        <f t="shared" si="9"/>
        <v>1.2997129310732936E-2</v>
      </c>
      <c r="J593" s="3">
        <v>-1.0156431203966476E-2</v>
      </c>
      <c r="K593" s="3">
        <v>0.18610499842816725</v>
      </c>
    </row>
    <row r="594" spans="1:11" x14ac:dyDescent="0.2">
      <c r="A594" s="1">
        <v>42522</v>
      </c>
      <c r="B594">
        <v>46.638393402099602</v>
      </c>
      <c r="C594">
        <v>52.849998474121001</v>
      </c>
      <c r="D594">
        <v>52.950000762939403</v>
      </c>
      <c r="E594">
        <v>52.439998626708899</v>
      </c>
      <c r="F594">
        <v>52.439998626708899</v>
      </c>
      <c r="G594" s="2">
        <v>25324800</v>
      </c>
      <c r="H594" s="3">
        <f t="shared" si="9"/>
        <v>-2.8301054248726087E-3</v>
      </c>
      <c r="J594" s="3">
        <v>-1.0146751793010389E-2</v>
      </c>
      <c r="K594" s="3">
        <v>0.18641936497956618</v>
      </c>
    </row>
    <row r="595" spans="1:11" x14ac:dyDescent="0.2">
      <c r="A595" s="1">
        <v>42523</v>
      </c>
      <c r="B595">
        <v>46.311870574951101</v>
      </c>
      <c r="C595">
        <v>52.4799995422363</v>
      </c>
      <c r="D595">
        <v>52.740001678466797</v>
      </c>
      <c r="E595">
        <v>51.840000152587798</v>
      </c>
      <c r="F595">
        <v>52.639999389648402</v>
      </c>
      <c r="G595" s="2">
        <v>22840800</v>
      </c>
      <c r="H595" s="3">
        <f t="shared" si="9"/>
        <v>-7.0011594167349589E-3</v>
      </c>
      <c r="J595" s="3">
        <v>-1.0132003602112416E-2</v>
      </c>
      <c r="K595" s="3">
        <v>0.18673373153096512</v>
      </c>
    </row>
    <row r="596" spans="1:11" x14ac:dyDescent="0.2">
      <c r="A596" s="1">
        <v>42524</v>
      </c>
      <c r="B596">
        <v>45.702972412109297</v>
      </c>
      <c r="C596">
        <v>51.790000915527301</v>
      </c>
      <c r="D596">
        <v>52.419998168945298</v>
      </c>
      <c r="E596">
        <v>51.599998474121001</v>
      </c>
      <c r="F596">
        <v>52.380001068115199</v>
      </c>
      <c r="G596" s="2">
        <v>23368300</v>
      </c>
      <c r="H596" s="3">
        <f t="shared" si="9"/>
        <v>-1.3147777346984135E-2</v>
      </c>
      <c r="J596" s="3">
        <v>-1.0120539329669498E-2</v>
      </c>
      <c r="K596" s="3">
        <v>0.18704809808236403</v>
      </c>
    </row>
    <row r="597" spans="1:11" x14ac:dyDescent="0.2">
      <c r="A597" s="1">
        <v>42527</v>
      </c>
      <c r="B597">
        <v>46.003005981445298</v>
      </c>
      <c r="C597">
        <v>52.130001068115199</v>
      </c>
      <c r="D597">
        <v>52.349998474121001</v>
      </c>
      <c r="E597">
        <v>51.889999389648402</v>
      </c>
      <c r="F597">
        <v>51.990001678466797</v>
      </c>
      <c r="G597" s="2">
        <v>18243300</v>
      </c>
      <c r="H597" s="3">
        <f t="shared" si="9"/>
        <v>6.5648589905829002E-3</v>
      </c>
      <c r="J597" s="3">
        <v>-1.012007616755195E-2</v>
      </c>
      <c r="K597" s="3">
        <v>0.18736246463376297</v>
      </c>
    </row>
    <row r="598" spans="1:11" x14ac:dyDescent="0.2">
      <c r="A598" s="1">
        <v>42528</v>
      </c>
      <c r="B598">
        <v>45.976543426513601</v>
      </c>
      <c r="C598">
        <v>52.099998474121001</v>
      </c>
      <c r="D598">
        <v>52.7299995422363</v>
      </c>
      <c r="E598">
        <v>52.099998474121001</v>
      </c>
      <c r="F598">
        <v>52.240001678466797</v>
      </c>
      <c r="G598" s="2">
        <v>20866800</v>
      </c>
      <c r="H598" s="3">
        <f t="shared" si="9"/>
        <v>-5.752353431506263E-4</v>
      </c>
      <c r="J598" s="3">
        <v>-1.0086578727267592E-2</v>
      </c>
      <c r="K598" s="3">
        <v>0.1876768311851619</v>
      </c>
    </row>
    <row r="599" spans="1:11" x14ac:dyDescent="0.2">
      <c r="A599" s="1">
        <v>42529</v>
      </c>
      <c r="B599">
        <v>45.9236030578613</v>
      </c>
      <c r="C599">
        <v>52.040000915527301</v>
      </c>
      <c r="D599">
        <v>52.439998626708899</v>
      </c>
      <c r="E599">
        <v>51.869998931884702</v>
      </c>
      <c r="F599">
        <v>52.020000457763601</v>
      </c>
      <c r="G599" s="2">
        <v>21149400</v>
      </c>
      <c r="H599" s="3">
        <f t="shared" si="9"/>
        <v>-1.1514647406436485E-3</v>
      </c>
      <c r="J599" s="3">
        <v>-1.0076649195486231E-2</v>
      </c>
      <c r="K599" s="3">
        <v>0.18799119773656084</v>
      </c>
    </row>
    <row r="600" spans="1:11" x14ac:dyDescent="0.2">
      <c r="A600" s="1">
        <v>42530</v>
      </c>
      <c r="B600">
        <v>45.552951812744098</v>
      </c>
      <c r="C600">
        <v>51.619998931884702</v>
      </c>
      <c r="D600">
        <v>52</v>
      </c>
      <c r="E600">
        <v>51.490001678466797</v>
      </c>
      <c r="F600">
        <v>52</v>
      </c>
      <c r="G600" s="2">
        <v>20305700</v>
      </c>
      <c r="H600" s="3">
        <f t="shared" si="9"/>
        <v>-8.0710401718742109E-3</v>
      </c>
      <c r="J600" s="3">
        <v>-1.0060275156126286E-2</v>
      </c>
      <c r="K600" s="3">
        <v>0.18830556428795975</v>
      </c>
    </row>
    <row r="601" spans="1:11" x14ac:dyDescent="0.2">
      <c r="A601" s="1">
        <v>42531</v>
      </c>
      <c r="B601">
        <v>45.429405212402301</v>
      </c>
      <c r="C601">
        <v>51.4799995422363</v>
      </c>
      <c r="D601">
        <v>52.049999237060497</v>
      </c>
      <c r="E601">
        <v>51.040000915527301</v>
      </c>
      <c r="F601">
        <v>51.049999237060497</v>
      </c>
      <c r="G601" s="2">
        <v>25833200</v>
      </c>
      <c r="H601" s="3">
        <f t="shared" si="9"/>
        <v>-2.7121535581198231E-3</v>
      </c>
      <c r="J601" s="3">
        <v>-1.0042353338274967E-2</v>
      </c>
      <c r="K601" s="3">
        <v>0.18861993083935868</v>
      </c>
    </row>
    <row r="602" spans="1:11" x14ac:dyDescent="0.2">
      <c r="A602" s="1">
        <v>42534</v>
      </c>
      <c r="B602">
        <v>44.246902465820298</v>
      </c>
      <c r="C602">
        <v>50.139999389648402</v>
      </c>
      <c r="D602">
        <v>50.720001220703097</v>
      </c>
      <c r="E602">
        <v>49.060001373291001</v>
      </c>
      <c r="F602">
        <v>49.580001831054602</v>
      </c>
      <c r="G602" s="2">
        <v>83217800</v>
      </c>
      <c r="H602" s="3">
        <f t="shared" si="9"/>
        <v>-2.6029456935508732E-2</v>
      </c>
      <c r="J602" s="3">
        <v>-1.0016845200267355E-2</v>
      </c>
      <c r="K602" s="3">
        <v>0.18893429739075762</v>
      </c>
    </row>
    <row r="603" spans="1:11" x14ac:dyDescent="0.2">
      <c r="A603" s="1">
        <v>42535</v>
      </c>
      <c r="B603">
        <v>43.973339080810497</v>
      </c>
      <c r="C603">
        <v>49.830001831054602</v>
      </c>
      <c r="D603">
        <v>50.099998474121001</v>
      </c>
      <c r="E603">
        <v>49.569999694824197</v>
      </c>
      <c r="F603">
        <v>49.900001525878899</v>
      </c>
      <c r="G603" s="2">
        <v>42577100</v>
      </c>
      <c r="H603" s="3">
        <f t="shared" si="9"/>
        <v>-6.1826561807603042E-3</v>
      </c>
      <c r="J603" s="3">
        <v>-1.0011265453529039E-2</v>
      </c>
      <c r="K603" s="3">
        <v>0.18924866394215656</v>
      </c>
    </row>
    <row r="604" spans="1:11" x14ac:dyDescent="0.2">
      <c r="A604" s="1">
        <v>42536</v>
      </c>
      <c r="B604">
        <v>43.849796295166001</v>
      </c>
      <c r="C604">
        <v>49.689998626708899</v>
      </c>
      <c r="D604">
        <v>50.119998931884702</v>
      </c>
      <c r="E604">
        <v>49.689998626708899</v>
      </c>
      <c r="F604">
        <v>49.779998779296797</v>
      </c>
      <c r="G604" s="2">
        <v>33757600</v>
      </c>
      <c r="H604" s="3">
        <f t="shared" si="9"/>
        <v>-2.8094929388341461E-3</v>
      </c>
      <c r="J604" s="3">
        <v>-9.9860395085683562E-3</v>
      </c>
      <c r="K604" s="3">
        <v>0.1895630304935555</v>
      </c>
    </row>
    <row r="605" spans="1:11" x14ac:dyDescent="0.2">
      <c r="A605" s="1">
        <v>42537</v>
      </c>
      <c r="B605">
        <v>44.467529296875</v>
      </c>
      <c r="C605">
        <v>50.389999389648402</v>
      </c>
      <c r="D605">
        <v>50.470001220703097</v>
      </c>
      <c r="E605">
        <v>49.509998321533203</v>
      </c>
      <c r="F605">
        <v>49.520000457763601</v>
      </c>
      <c r="G605" s="2">
        <v>31188600</v>
      </c>
      <c r="H605" s="3">
        <f t="shared" si="9"/>
        <v>1.4087477112797897E-2</v>
      </c>
      <c r="J605" s="3">
        <v>-9.9845269126975777E-3</v>
      </c>
      <c r="K605" s="3">
        <v>0.1898773970449544</v>
      </c>
    </row>
    <row r="606" spans="1:11" x14ac:dyDescent="0.2">
      <c r="A606" s="1">
        <v>42538</v>
      </c>
      <c r="B606">
        <v>44.238086700439403</v>
      </c>
      <c r="C606">
        <v>50.130001068115199</v>
      </c>
      <c r="D606">
        <v>50.430000305175703</v>
      </c>
      <c r="E606">
        <v>49.819999694824197</v>
      </c>
      <c r="F606">
        <v>50.409999847412102</v>
      </c>
      <c r="G606" s="2">
        <v>45710500</v>
      </c>
      <c r="H606" s="3">
        <f t="shared" si="9"/>
        <v>-5.159778383543312E-3</v>
      </c>
      <c r="J606" s="3">
        <v>-9.9745244066434813E-3</v>
      </c>
      <c r="K606" s="3">
        <v>0.19019176359635334</v>
      </c>
    </row>
    <row r="607" spans="1:11" x14ac:dyDescent="0.2">
      <c r="A607" s="1">
        <v>42541</v>
      </c>
      <c r="B607">
        <v>44.185142517089801</v>
      </c>
      <c r="C607">
        <v>50.069999694824197</v>
      </c>
      <c r="D607">
        <v>50.830001831054602</v>
      </c>
      <c r="E607">
        <v>50.029998779296797</v>
      </c>
      <c r="F607">
        <v>50.639999389648402</v>
      </c>
      <c r="G607" s="2">
        <v>35607900</v>
      </c>
      <c r="H607" s="3">
        <f t="shared" si="9"/>
        <v>-1.1968009310193706E-3</v>
      </c>
      <c r="J607" s="3">
        <v>-9.9742248369177888E-3</v>
      </c>
      <c r="K607" s="3">
        <v>0.19050613014775228</v>
      </c>
    </row>
    <row r="608" spans="1:11" x14ac:dyDescent="0.2">
      <c r="A608" s="1">
        <v>42542</v>
      </c>
      <c r="B608">
        <v>45.173492431640597</v>
      </c>
      <c r="C608">
        <v>51.189998626708899</v>
      </c>
      <c r="D608">
        <v>51.430000305175703</v>
      </c>
      <c r="E608">
        <v>50.159999847412102</v>
      </c>
      <c r="F608">
        <v>50.200000762939403</v>
      </c>
      <c r="G608" s="2">
        <v>34097800</v>
      </c>
      <c r="H608" s="3">
        <f t="shared" si="9"/>
        <v>2.2368376749458907E-2</v>
      </c>
      <c r="J608" s="3">
        <v>-9.973677180360907E-3</v>
      </c>
      <c r="K608" s="3">
        <v>0.19082049669915122</v>
      </c>
    </row>
    <row r="609" spans="1:11" x14ac:dyDescent="0.2">
      <c r="A609" s="1">
        <v>42543</v>
      </c>
      <c r="B609">
        <v>44.997005462646399</v>
      </c>
      <c r="C609">
        <v>50.990001678466797</v>
      </c>
      <c r="D609">
        <v>51.459999084472599</v>
      </c>
      <c r="E609">
        <v>50.950000762939403</v>
      </c>
      <c r="F609">
        <v>51.080001831054602</v>
      </c>
      <c r="G609" s="2">
        <v>28816800</v>
      </c>
      <c r="H609" s="3">
        <f t="shared" si="9"/>
        <v>-3.9068701464972655E-3</v>
      </c>
      <c r="J609" s="3">
        <v>-9.928881754875718E-3</v>
      </c>
      <c r="K609" s="3">
        <v>0.19113486325055015</v>
      </c>
    </row>
    <row r="610" spans="1:11" x14ac:dyDescent="0.2">
      <c r="A610" s="1">
        <v>42544</v>
      </c>
      <c r="B610">
        <v>45.808872222900298</v>
      </c>
      <c r="C610">
        <v>51.909999847412102</v>
      </c>
      <c r="D610">
        <v>52.060001373291001</v>
      </c>
      <c r="E610">
        <v>51.150001525878899</v>
      </c>
      <c r="F610">
        <v>51.279998779296797</v>
      </c>
      <c r="G610" s="2">
        <v>29028800</v>
      </c>
      <c r="H610" s="3">
        <f t="shared" si="9"/>
        <v>1.804268421657218E-2</v>
      </c>
      <c r="J610" s="3">
        <v>-9.9223311202152331E-3</v>
      </c>
      <c r="K610" s="3">
        <v>0.19144922980194906</v>
      </c>
    </row>
    <row r="611" spans="1:11" x14ac:dyDescent="0.2">
      <c r="A611" s="1">
        <v>42545</v>
      </c>
      <c r="B611">
        <v>43.973339080810497</v>
      </c>
      <c r="C611">
        <v>49.830001831054602</v>
      </c>
      <c r="D611">
        <v>50.939998626708899</v>
      </c>
      <c r="E611">
        <v>49.520000457763601</v>
      </c>
      <c r="F611">
        <v>49.810001373291001</v>
      </c>
      <c r="G611" s="2">
        <v>133503000</v>
      </c>
      <c r="H611" s="3">
        <f t="shared" si="9"/>
        <v>-4.006938073389632E-2</v>
      </c>
      <c r="J611" s="3">
        <v>-9.9013626394820475E-3</v>
      </c>
      <c r="K611" s="3">
        <v>0.191763596353348</v>
      </c>
    </row>
    <row r="612" spans="1:11" x14ac:dyDescent="0.2">
      <c r="A612" s="1">
        <v>42548</v>
      </c>
      <c r="B612">
        <v>42.737888336181598</v>
      </c>
      <c r="C612">
        <v>48.430000305175703</v>
      </c>
      <c r="D612">
        <v>49.150001525878899</v>
      </c>
      <c r="E612">
        <v>48.040000915527301</v>
      </c>
      <c r="F612">
        <v>49.099998474121001</v>
      </c>
      <c r="G612" s="2">
        <v>50216300</v>
      </c>
      <c r="H612" s="3">
        <f t="shared" si="9"/>
        <v>-2.8095449889727342E-2</v>
      </c>
      <c r="J612" s="3">
        <v>-9.8891247152553818E-3</v>
      </c>
      <c r="K612" s="3">
        <v>0.19207796290474694</v>
      </c>
    </row>
    <row r="613" spans="1:11" x14ac:dyDescent="0.2">
      <c r="A613" s="1">
        <v>42549</v>
      </c>
      <c r="B613">
        <v>43.6291694641113</v>
      </c>
      <c r="C613">
        <v>49.439998626708899</v>
      </c>
      <c r="D613">
        <v>49.470001220703097</v>
      </c>
      <c r="E613">
        <v>48.669998168945298</v>
      </c>
      <c r="F613">
        <v>48.919998168945298</v>
      </c>
      <c r="G613" s="2">
        <v>38140700</v>
      </c>
      <c r="H613" s="3">
        <f t="shared" si="9"/>
        <v>2.0854589747597574E-2</v>
      </c>
      <c r="J613" s="3">
        <v>-9.8812894666293616E-3</v>
      </c>
      <c r="K613" s="3">
        <v>0.19239232945614587</v>
      </c>
    </row>
    <row r="614" spans="1:11" x14ac:dyDescent="0.2">
      <c r="A614" s="1">
        <v>42550</v>
      </c>
      <c r="B614">
        <v>44.599891662597599</v>
      </c>
      <c r="C614">
        <v>50.540000915527301</v>
      </c>
      <c r="D614">
        <v>50.720001220703097</v>
      </c>
      <c r="E614">
        <v>49.799999237060497</v>
      </c>
      <c r="F614">
        <v>49.909999847412102</v>
      </c>
      <c r="G614" s="2">
        <v>31304000</v>
      </c>
      <c r="H614" s="3">
        <f t="shared" si="9"/>
        <v>2.2249385225744378E-2</v>
      </c>
      <c r="J614" s="3">
        <v>-9.859753749242528E-3</v>
      </c>
      <c r="K614" s="3">
        <v>0.19270669600754481</v>
      </c>
    </row>
    <row r="615" spans="1:11" x14ac:dyDescent="0.2">
      <c r="A615" s="1">
        <v>42551</v>
      </c>
      <c r="B615">
        <v>45.1558418273925</v>
      </c>
      <c r="C615">
        <v>51.169998168945298</v>
      </c>
      <c r="D615">
        <v>51.299999237060497</v>
      </c>
      <c r="E615">
        <v>50.5</v>
      </c>
      <c r="F615">
        <v>50.720001220703097</v>
      </c>
      <c r="G615" s="2">
        <v>28527800</v>
      </c>
      <c r="H615" s="3">
        <f t="shared" si="9"/>
        <v>1.2465280611009488E-2</v>
      </c>
      <c r="J615" s="3">
        <v>-9.8504823634791849E-3</v>
      </c>
      <c r="K615" s="3">
        <v>0.19302106255894372</v>
      </c>
    </row>
    <row r="616" spans="1:11" x14ac:dyDescent="0.2">
      <c r="A616" s="1">
        <v>42552</v>
      </c>
      <c r="B616">
        <v>45.147018432617102</v>
      </c>
      <c r="C616">
        <v>51.159999847412102</v>
      </c>
      <c r="D616">
        <v>51.720001220703097</v>
      </c>
      <c r="E616">
        <v>51.069999694824197</v>
      </c>
      <c r="F616">
        <v>51.130001068115199</v>
      </c>
      <c r="G616" s="2">
        <v>21400400</v>
      </c>
      <c r="H616" s="3">
        <f t="shared" si="9"/>
        <v>-1.9539874395713142E-4</v>
      </c>
      <c r="J616" s="3">
        <v>-9.8114403270956885E-3</v>
      </c>
      <c r="K616" s="3">
        <v>0.19333542911034265</v>
      </c>
    </row>
    <row r="617" spans="1:11" x14ac:dyDescent="0.2">
      <c r="A617" s="1">
        <v>42556</v>
      </c>
      <c r="B617">
        <v>45.1558418273925</v>
      </c>
      <c r="C617">
        <v>51.169998168945298</v>
      </c>
      <c r="D617">
        <v>51.279998779296797</v>
      </c>
      <c r="E617">
        <v>50.740001678466797</v>
      </c>
      <c r="F617">
        <v>50.830001831054602</v>
      </c>
      <c r="G617" s="2">
        <v>24806400</v>
      </c>
      <c r="H617" s="3">
        <f t="shared" si="9"/>
        <v>1.9543693208823321E-4</v>
      </c>
      <c r="J617" s="3">
        <v>-9.7804836635521086E-3</v>
      </c>
      <c r="K617" s="3">
        <v>0.19364979566174159</v>
      </c>
    </row>
    <row r="618" spans="1:11" x14ac:dyDescent="0.2">
      <c r="A618" s="1">
        <v>42557</v>
      </c>
      <c r="B618">
        <v>45.341167449951101</v>
      </c>
      <c r="C618">
        <v>51.380001068115199</v>
      </c>
      <c r="D618">
        <v>51.540000915527301</v>
      </c>
      <c r="E618">
        <v>50.389999389648402</v>
      </c>
      <c r="F618">
        <v>50.779998779296797</v>
      </c>
      <c r="G618" s="2">
        <v>28167500</v>
      </c>
      <c r="H618" s="3">
        <f t="shared" si="9"/>
        <v>4.1041339294924928E-3</v>
      </c>
      <c r="J618" s="3">
        <v>-9.7414686999626188E-3</v>
      </c>
      <c r="K618" s="3">
        <v>0.19396416221314053</v>
      </c>
    </row>
    <row r="619" spans="1:11" x14ac:dyDescent="0.2">
      <c r="A619" s="1">
        <v>42558</v>
      </c>
      <c r="B619">
        <v>45.341167449951101</v>
      </c>
      <c r="C619">
        <v>51.380001068115199</v>
      </c>
      <c r="D619">
        <v>51.610000610351499</v>
      </c>
      <c r="E619">
        <v>51.069999694824197</v>
      </c>
      <c r="F619">
        <v>51.419998168945298</v>
      </c>
      <c r="G619" s="2">
        <v>19585200</v>
      </c>
      <c r="H619" s="3">
        <f t="shared" si="9"/>
        <v>0</v>
      </c>
      <c r="J619" s="3">
        <v>-9.7241164120391854E-3</v>
      </c>
      <c r="K619" s="3">
        <v>0.19427852876453947</v>
      </c>
    </row>
    <row r="620" spans="1:11" x14ac:dyDescent="0.2">
      <c r="A620" s="1">
        <v>42559</v>
      </c>
      <c r="B620">
        <v>46.153030395507798</v>
      </c>
      <c r="C620">
        <v>52.299999237060497</v>
      </c>
      <c r="D620">
        <v>52.360000610351499</v>
      </c>
      <c r="E620">
        <v>51.549999237060497</v>
      </c>
      <c r="F620">
        <v>51.7299995422363</v>
      </c>
      <c r="G620" s="2">
        <v>28391000</v>
      </c>
      <c r="H620" s="3">
        <f t="shared" si="9"/>
        <v>1.7905647146224446E-2</v>
      </c>
      <c r="J620" s="3">
        <v>-9.7200354265118971E-3</v>
      </c>
      <c r="K620" s="3">
        <v>0.19459289531593837</v>
      </c>
    </row>
    <row r="621" spans="1:11" x14ac:dyDescent="0.2">
      <c r="A621" s="1">
        <v>42562</v>
      </c>
      <c r="B621">
        <v>46.4089546203613</v>
      </c>
      <c r="C621">
        <v>52.590000152587798</v>
      </c>
      <c r="D621">
        <v>52.830001831054602</v>
      </c>
      <c r="E621">
        <v>52.470001220703097</v>
      </c>
      <c r="F621">
        <v>52.5</v>
      </c>
      <c r="G621" s="2">
        <v>22269200</v>
      </c>
      <c r="H621" s="3">
        <f t="shared" si="9"/>
        <v>5.5451228805640795E-3</v>
      </c>
      <c r="J621" s="3">
        <v>-9.6984706717430091E-3</v>
      </c>
      <c r="K621" s="3">
        <v>0.19490726186733731</v>
      </c>
    </row>
    <row r="622" spans="1:11" x14ac:dyDescent="0.2">
      <c r="A622" s="1">
        <v>42563</v>
      </c>
      <c r="B622">
        <v>46.956077575683501</v>
      </c>
      <c r="C622">
        <v>53.209999084472599</v>
      </c>
      <c r="D622">
        <v>53.400001525878899</v>
      </c>
      <c r="E622">
        <v>52.790000915527301</v>
      </c>
      <c r="F622">
        <v>52.939998626708899</v>
      </c>
      <c r="G622" s="2">
        <v>27317600</v>
      </c>
      <c r="H622" s="3">
        <f t="shared" si="9"/>
        <v>1.1789167840513315E-2</v>
      </c>
      <c r="J622" s="3">
        <v>-9.679933141339303E-3</v>
      </c>
      <c r="K622" s="3">
        <v>0.19522162841873625</v>
      </c>
    </row>
    <row r="623" spans="1:11" x14ac:dyDescent="0.2">
      <c r="A623" s="1">
        <v>42564</v>
      </c>
      <c r="B623">
        <v>47.220821380615199</v>
      </c>
      <c r="C623">
        <v>53.509998321533203</v>
      </c>
      <c r="D623">
        <v>53.860000610351499</v>
      </c>
      <c r="E623">
        <v>53.180000305175703</v>
      </c>
      <c r="F623">
        <v>53.560001373291001</v>
      </c>
      <c r="G623" s="2">
        <v>25356800</v>
      </c>
      <c r="H623" s="3">
        <f t="shared" si="9"/>
        <v>5.6381158435772072E-3</v>
      </c>
      <c r="J623" s="3">
        <v>-9.6707896130627802E-3</v>
      </c>
      <c r="K623" s="3">
        <v>0.19553599497013519</v>
      </c>
    </row>
    <row r="624" spans="1:11" x14ac:dyDescent="0.2">
      <c r="A624" s="1">
        <v>42565</v>
      </c>
      <c r="B624">
        <v>47.423778533935497</v>
      </c>
      <c r="C624">
        <v>53.740001678466797</v>
      </c>
      <c r="D624">
        <v>53.990001678466797</v>
      </c>
      <c r="E624">
        <v>53.580001831054602</v>
      </c>
      <c r="F624">
        <v>53.840000152587798</v>
      </c>
      <c r="G624" s="2">
        <v>24545500</v>
      </c>
      <c r="H624" s="3">
        <f t="shared" si="9"/>
        <v>4.2980436889141771E-3</v>
      </c>
      <c r="J624" s="3">
        <v>-9.6701514314988524E-3</v>
      </c>
      <c r="K624" s="3">
        <v>0.19585036152153412</v>
      </c>
    </row>
    <row r="625" spans="1:11" x14ac:dyDescent="0.2">
      <c r="A625" s="1">
        <v>42566</v>
      </c>
      <c r="B625">
        <v>47.3884887695312</v>
      </c>
      <c r="C625">
        <v>53.700000762939403</v>
      </c>
      <c r="D625">
        <v>54</v>
      </c>
      <c r="E625">
        <v>53.209999084472599</v>
      </c>
      <c r="F625">
        <v>53.950000762939403</v>
      </c>
      <c r="G625" s="2">
        <v>32024400</v>
      </c>
      <c r="H625" s="3">
        <f t="shared" si="9"/>
        <v>-7.4413649640014956E-4</v>
      </c>
      <c r="J625" s="3">
        <v>-9.6687456226322022E-3</v>
      </c>
      <c r="K625" s="3">
        <v>0.19616472807293303</v>
      </c>
    </row>
    <row r="626" spans="1:11" x14ac:dyDescent="0.2">
      <c r="A626" s="1">
        <v>42569</v>
      </c>
      <c r="B626">
        <v>47.617927551269503</v>
      </c>
      <c r="C626">
        <v>53.959999084472599</v>
      </c>
      <c r="D626">
        <v>54.340000152587798</v>
      </c>
      <c r="E626">
        <v>53.549999237060497</v>
      </c>
      <c r="F626">
        <v>53.700000762939403</v>
      </c>
      <c r="G626" s="2">
        <v>31433900</v>
      </c>
      <c r="H626" s="3">
        <f t="shared" si="9"/>
        <v>4.8416564380044935E-3</v>
      </c>
      <c r="J626" s="3">
        <v>-9.6685811271737254E-3</v>
      </c>
      <c r="K626" s="3">
        <v>0.19647909462433197</v>
      </c>
    </row>
    <row r="627" spans="1:11" x14ac:dyDescent="0.2">
      <c r="A627" s="1">
        <v>42570</v>
      </c>
      <c r="B627">
        <v>46.850173950195298</v>
      </c>
      <c r="C627">
        <v>53.090000152587798</v>
      </c>
      <c r="D627">
        <v>53.900001525878899</v>
      </c>
      <c r="E627">
        <v>52.930000305175703</v>
      </c>
      <c r="F627">
        <v>53.709999084472599</v>
      </c>
      <c r="G627" s="2">
        <v>53336500</v>
      </c>
      <c r="H627" s="3">
        <f t="shared" si="9"/>
        <v>-1.6123204863285445E-2</v>
      </c>
      <c r="J627" s="3">
        <v>-9.6538910950144663E-3</v>
      </c>
      <c r="K627" s="3">
        <v>0.1967934611757309</v>
      </c>
    </row>
    <row r="628" spans="1:11" x14ac:dyDescent="0.2">
      <c r="A628" s="1">
        <v>42571</v>
      </c>
      <c r="B628">
        <v>49.338733673095703</v>
      </c>
      <c r="C628">
        <v>55.909999847412102</v>
      </c>
      <c r="D628">
        <v>56.840000152587798</v>
      </c>
      <c r="E628">
        <v>55.529998779296797</v>
      </c>
      <c r="F628">
        <v>56.150001525878899</v>
      </c>
      <c r="G628" s="2">
        <v>89893300</v>
      </c>
      <c r="H628" s="3">
        <f t="shared" si="9"/>
        <v>5.3117406256504074E-2</v>
      </c>
      <c r="J628" s="3">
        <v>-9.6438216125249721E-3</v>
      </c>
      <c r="K628" s="3">
        <v>0.19710782772712984</v>
      </c>
    </row>
    <row r="629" spans="1:11" x14ac:dyDescent="0.2">
      <c r="A629" s="1">
        <v>42572</v>
      </c>
      <c r="B629">
        <v>49.241661071777301</v>
      </c>
      <c r="C629">
        <v>55.799999237060497</v>
      </c>
      <c r="D629">
        <v>56.2299995422363</v>
      </c>
      <c r="E629">
        <v>55.759998321533203</v>
      </c>
      <c r="F629">
        <v>55.9799995422363</v>
      </c>
      <c r="G629" s="2">
        <v>32776700</v>
      </c>
      <c r="H629" s="3">
        <f t="shared" si="9"/>
        <v>-1.9674724925365927E-3</v>
      </c>
      <c r="J629" s="3">
        <v>-9.6373655788539736E-3</v>
      </c>
      <c r="K629" s="3">
        <v>0.19742219427852875</v>
      </c>
    </row>
    <row r="630" spans="1:11" x14ac:dyDescent="0.2">
      <c r="A630" s="1">
        <v>42573</v>
      </c>
      <c r="B630">
        <v>49.921180725097599</v>
      </c>
      <c r="C630">
        <v>56.569999694824197</v>
      </c>
      <c r="D630">
        <v>56.630001068115199</v>
      </c>
      <c r="E630">
        <v>55.779998779296797</v>
      </c>
      <c r="F630">
        <v>56.080001831054602</v>
      </c>
      <c r="G630" s="2">
        <v>32157200</v>
      </c>
      <c r="H630" s="3">
        <f t="shared" si="9"/>
        <v>1.3799689907491031E-2</v>
      </c>
      <c r="J630" s="3">
        <v>-9.6311601549026182E-3</v>
      </c>
      <c r="K630" s="3">
        <v>0.19773656082992769</v>
      </c>
    </row>
    <row r="631" spans="1:11" x14ac:dyDescent="0.2">
      <c r="A631" s="1">
        <v>42576</v>
      </c>
      <c r="B631">
        <v>50.062355041503899</v>
      </c>
      <c r="C631">
        <v>56.7299995422363</v>
      </c>
      <c r="D631">
        <v>56.740001678466797</v>
      </c>
      <c r="E631">
        <v>56.259998321533203</v>
      </c>
      <c r="F631">
        <v>56.470001220703097</v>
      </c>
      <c r="G631" s="2">
        <v>25610600</v>
      </c>
      <c r="H631" s="3">
        <f t="shared" si="9"/>
        <v>2.8279442584442371E-3</v>
      </c>
      <c r="J631" s="3">
        <v>-9.6213103502983399E-3</v>
      </c>
      <c r="K631" s="3">
        <v>0.19805092738132662</v>
      </c>
    </row>
    <row r="632" spans="1:11" x14ac:dyDescent="0.2">
      <c r="A632" s="1">
        <v>42577</v>
      </c>
      <c r="B632">
        <v>50.088836669921797</v>
      </c>
      <c r="C632">
        <v>56.759998321533203</v>
      </c>
      <c r="D632">
        <v>57.290000915527301</v>
      </c>
      <c r="E632">
        <v>56.509998321533203</v>
      </c>
      <c r="F632">
        <v>56.520000457763601</v>
      </c>
      <c r="G632" s="2">
        <v>28079000</v>
      </c>
      <c r="H632" s="3">
        <f t="shared" si="9"/>
        <v>5.2897288583286795E-4</v>
      </c>
      <c r="J632" s="3">
        <v>-9.6151636840396959E-3</v>
      </c>
      <c r="K632" s="3">
        <v>0.19836529393272556</v>
      </c>
    </row>
    <row r="633" spans="1:11" x14ac:dyDescent="0.2">
      <c r="A633" s="1">
        <v>42578</v>
      </c>
      <c r="B633">
        <v>49.585826873779297</v>
      </c>
      <c r="C633">
        <v>56.189998626708899</v>
      </c>
      <c r="D633">
        <v>56.799999237060497</v>
      </c>
      <c r="E633">
        <v>56.110000610351499</v>
      </c>
      <c r="F633">
        <v>56.610000610351499</v>
      </c>
      <c r="G633" s="2">
        <v>32327500</v>
      </c>
      <c r="H633" s="3">
        <f t="shared" si="9"/>
        <v>-1.0042353338274967E-2</v>
      </c>
      <c r="J633" s="3">
        <v>-9.6033107380293359E-3</v>
      </c>
      <c r="K633" s="3">
        <v>0.1986796604841245</v>
      </c>
    </row>
    <row r="634" spans="1:11" x14ac:dyDescent="0.2">
      <c r="A634" s="1">
        <v>42579</v>
      </c>
      <c r="B634">
        <v>49.603481292724602</v>
      </c>
      <c r="C634">
        <v>56.209999084472599</v>
      </c>
      <c r="D634">
        <v>56.369998931884702</v>
      </c>
      <c r="E634">
        <v>55.720001220703097</v>
      </c>
      <c r="F634">
        <v>56</v>
      </c>
      <c r="G634" s="2">
        <v>37550400</v>
      </c>
      <c r="H634" s="3">
        <f t="shared" si="9"/>
        <v>3.5603760304825371E-4</v>
      </c>
      <c r="J634" s="3">
        <v>-9.5994812996033074E-3</v>
      </c>
      <c r="K634" s="3">
        <v>0.19899402703552341</v>
      </c>
    </row>
    <row r="635" spans="1:11" x14ac:dyDescent="0.2">
      <c r="A635" s="1">
        <v>42580</v>
      </c>
      <c r="B635">
        <v>50.018245697021399</v>
      </c>
      <c r="C635">
        <v>56.680000305175703</v>
      </c>
      <c r="D635">
        <v>56.759998321533203</v>
      </c>
      <c r="E635">
        <v>56.049999237060497</v>
      </c>
      <c r="F635">
        <v>56.259998321533203</v>
      </c>
      <c r="G635" s="2">
        <v>30558700</v>
      </c>
      <c r="H635" s="3">
        <f t="shared" si="9"/>
        <v>8.3615986920182461E-3</v>
      </c>
      <c r="J635" s="3">
        <v>-9.5728650564725903E-3</v>
      </c>
      <c r="K635" s="3">
        <v>0.19930839358692234</v>
      </c>
    </row>
    <row r="636" spans="1:11" x14ac:dyDescent="0.2">
      <c r="A636" s="1">
        <v>42583</v>
      </c>
      <c r="B636">
        <v>49.929988861083899</v>
      </c>
      <c r="C636">
        <v>56.580001831054602</v>
      </c>
      <c r="D636">
        <v>56.75</v>
      </c>
      <c r="E636">
        <v>56.139999389648402</v>
      </c>
      <c r="F636">
        <v>56.599998474121001</v>
      </c>
      <c r="G636" s="2">
        <v>26003400</v>
      </c>
      <c r="H636" s="3">
        <f t="shared" si="9"/>
        <v>-1.7644928307183338E-3</v>
      </c>
      <c r="J636" s="3">
        <v>-9.5619310333269203E-3</v>
      </c>
      <c r="K636" s="3">
        <v>0.19962276013832128</v>
      </c>
    </row>
    <row r="637" spans="1:11" x14ac:dyDescent="0.2">
      <c r="A637" s="1">
        <v>42584</v>
      </c>
      <c r="B637">
        <v>49.929988861083899</v>
      </c>
      <c r="C637">
        <v>56.580001831054602</v>
      </c>
      <c r="D637">
        <v>56.900001525878899</v>
      </c>
      <c r="E637">
        <v>56.310001373291001</v>
      </c>
      <c r="F637">
        <v>56.849998474121001</v>
      </c>
      <c r="G637" s="2">
        <v>35122000</v>
      </c>
      <c r="H637" s="3">
        <f t="shared" si="9"/>
        <v>0</v>
      </c>
      <c r="J637" s="3">
        <v>-9.5595912703257957E-3</v>
      </c>
      <c r="K637" s="3">
        <v>0.19993712668972022</v>
      </c>
    </row>
    <row r="638" spans="1:11" x14ac:dyDescent="0.2">
      <c r="A638" s="1">
        <v>42585</v>
      </c>
      <c r="B638">
        <v>50.274143218994098</v>
      </c>
      <c r="C638">
        <v>56.970001220703097</v>
      </c>
      <c r="D638">
        <v>57.110000610351499</v>
      </c>
      <c r="E638">
        <v>56.490001678466797</v>
      </c>
      <c r="F638">
        <v>56.680000305175703</v>
      </c>
      <c r="G638" s="2">
        <v>22075600</v>
      </c>
      <c r="H638" s="3">
        <f t="shared" si="9"/>
        <v>6.8927385276955633E-3</v>
      </c>
      <c r="J638" s="3">
        <v>-9.5563479333931056E-3</v>
      </c>
      <c r="K638" s="3">
        <v>0.20025149324111916</v>
      </c>
    </row>
    <row r="639" spans="1:11" x14ac:dyDescent="0.2">
      <c r="A639" s="1">
        <v>42586</v>
      </c>
      <c r="B639">
        <v>50.6447944641113</v>
      </c>
      <c r="C639">
        <v>57.389999389648402</v>
      </c>
      <c r="D639">
        <v>57.520000457763601</v>
      </c>
      <c r="E639">
        <v>56.669998168945298</v>
      </c>
      <c r="F639">
        <v>56.799999237060497</v>
      </c>
      <c r="G639" s="2">
        <v>26587700</v>
      </c>
      <c r="H639" s="3">
        <f t="shared" si="9"/>
        <v>7.372601925857758E-3</v>
      </c>
      <c r="J639" s="3">
        <v>-9.5491857598867247E-3</v>
      </c>
      <c r="K639" s="3">
        <v>0.20056585979251806</v>
      </c>
    </row>
    <row r="640" spans="1:11" x14ac:dyDescent="0.2">
      <c r="A640" s="1">
        <v>42587</v>
      </c>
      <c r="B640">
        <v>51.147796630859297</v>
      </c>
      <c r="C640">
        <v>57.959999084472599</v>
      </c>
      <c r="D640">
        <v>58.209999084472599</v>
      </c>
      <c r="E640">
        <v>57.450000762939403</v>
      </c>
      <c r="F640">
        <v>57.650001525878899</v>
      </c>
      <c r="G640" s="2">
        <v>29335200</v>
      </c>
      <c r="H640" s="3">
        <f t="shared" si="9"/>
        <v>9.9319618545286037E-3</v>
      </c>
      <c r="J640" s="3">
        <v>-9.4559541646123124E-3</v>
      </c>
      <c r="K640" s="3">
        <v>0.200880226343917</v>
      </c>
    </row>
    <row r="641" spans="1:11" x14ac:dyDescent="0.2">
      <c r="A641" s="1">
        <v>42590</v>
      </c>
      <c r="B641">
        <v>51.236049652099602</v>
      </c>
      <c r="C641">
        <v>58.060001373291001</v>
      </c>
      <c r="D641">
        <v>58.090000152587798</v>
      </c>
      <c r="E641">
        <v>57.779998779296797</v>
      </c>
      <c r="F641">
        <v>58.060001373291001</v>
      </c>
      <c r="G641" s="2">
        <v>19473500</v>
      </c>
      <c r="H641" s="3">
        <f t="shared" si="9"/>
        <v>1.7254510859430194E-3</v>
      </c>
      <c r="J641" s="3">
        <v>-9.4465376856527339E-3</v>
      </c>
      <c r="K641" s="3">
        <v>0.20119459289531594</v>
      </c>
    </row>
    <row r="642" spans="1:11" x14ac:dyDescent="0.2">
      <c r="A642" s="1">
        <v>42591</v>
      </c>
      <c r="B642">
        <v>51.359592437744098</v>
      </c>
      <c r="C642">
        <v>58.200000762939403</v>
      </c>
      <c r="D642">
        <v>58.5</v>
      </c>
      <c r="E642">
        <v>58.020000457763601</v>
      </c>
      <c r="F642">
        <v>58.169998168945298</v>
      </c>
      <c r="G642" s="2">
        <v>16920700</v>
      </c>
      <c r="H642" s="3">
        <f t="shared" ref="H642:H705" si="10">B642/B641-1</f>
        <v>2.4112472855220002E-3</v>
      </c>
      <c r="J642" s="3">
        <v>-9.4314841833544882E-3</v>
      </c>
      <c r="K642" s="3">
        <v>0.20150895944671487</v>
      </c>
    </row>
    <row r="643" spans="1:11" x14ac:dyDescent="0.2">
      <c r="A643" s="1">
        <v>42592</v>
      </c>
      <c r="B643">
        <v>51.200740814208899</v>
      </c>
      <c r="C643">
        <v>58.020000457763601</v>
      </c>
      <c r="D643">
        <v>58.319999694824197</v>
      </c>
      <c r="E643">
        <v>57.819999694824197</v>
      </c>
      <c r="F643">
        <v>58.159999847412102</v>
      </c>
      <c r="G643" s="2">
        <v>15756900</v>
      </c>
      <c r="H643" s="3">
        <f t="shared" si="10"/>
        <v>-3.092929986306836E-3</v>
      </c>
      <c r="J643" s="3">
        <v>-9.3910307324188702E-3</v>
      </c>
      <c r="K643" s="3">
        <v>0.20182332599811381</v>
      </c>
    </row>
    <row r="644" spans="1:11" x14ac:dyDescent="0.2">
      <c r="A644" s="1">
        <v>42593</v>
      </c>
      <c r="B644">
        <v>51.4478340148925</v>
      </c>
      <c r="C644">
        <v>58.299999237060497</v>
      </c>
      <c r="D644">
        <v>58.450000762939403</v>
      </c>
      <c r="E644">
        <v>58.029998779296797</v>
      </c>
      <c r="F644">
        <v>58.029998779296797</v>
      </c>
      <c r="G644" s="2">
        <v>18162300</v>
      </c>
      <c r="H644" s="3">
        <f t="shared" si="10"/>
        <v>4.8259692487697681E-3</v>
      </c>
      <c r="J644" s="3">
        <v>-9.3839177530503637E-3</v>
      </c>
      <c r="K644" s="3">
        <v>0.20213769254951272</v>
      </c>
    </row>
    <row r="645" spans="1:11" x14ac:dyDescent="0.2">
      <c r="A645" s="1">
        <v>42594</v>
      </c>
      <c r="B645">
        <v>51.1301460266113</v>
      </c>
      <c r="C645">
        <v>57.939998626708899</v>
      </c>
      <c r="D645">
        <v>58.189998626708899</v>
      </c>
      <c r="E645">
        <v>57.619998931884702</v>
      </c>
      <c r="F645">
        <v>58.029998779296797</v>
      </c>
      <c r="G645" s="2">
        <v>21655200</v>
      </c>
      <c r="H645" s="3">
        <f t="shared" si="10"/>
        <v>-6.1749536081390222E-3</v>
      </c>
      <c r="J645" s="3">
        <v>-9.3330924646420899E-3</v>
      </c>
      <c r="K645" s="3">
        <v>0.20245205910091166</v>
      </c>
    </row>
    <row r="646" spans="1:11" x14ac:dyDescent="0.2">
      <c r="A646" s="1">
        <v>42597</v>
      </c>
      <c r="B646">
        <v>51.288993835449197</v>
      </c>
      <c r="C646">
        <v>58.119998931884702</v>
      </c>
      <c r="D646">
        <v>58.5</v>
      </c>
      <c r="E646">
        <v>57.959999084472599</v>
      </c>
      <c r="F646">
        <v>58.009998321533203</v>
      </c>
      <c r="G646" s="2">
        <v>19283900</v>
      </c>
      <c r="H646" s="3">
        <f t="shared" si="10"/>
        <v>3.1067348948157214E-3</v>
      </c>
      <c r="J646" s="3">
        <v>-9.2284843739109945E-3</v>
      </c>
      <c r="K646" s="3">
        <v>0.20276642565231059</v>
      </c>
    </row>
    <row r="647" spans="1:11" x14ac:dyDescent="0.2">
      <c r="A647" s="1">
        <v>42598</v>
      </c>
      <c r="B647">
        <v>51.00484085083</v>
      </c>
      <c r="C647">
        <v>57.439998626708899</v>
      </c>
      <c r="D647">
        <v>57.619998931884702</v>
      </c>
      <c r="E647">
        <v>57.270000457763601</v>
      </c>
      <c r="F647">
        <v>57.610000610351499</v>
      </c>
      <c r="G647" s="2">
        <v>20523500</v>
      </c>
      <c r="H647" s="3">
        <f t="shared" si="10"/>
        <v>-5.5402331644650582E-3</v>
      </c>
      <c r="J647" s="3">
        <v>-9.2214218878787779E-3</v>
      </c>
      <c r="K647" s="3">
        <v>0.20308079220370953</v>
      </c>
    </row>
    <row r="648" spans="1:11" x14ac:dyDescent="0.2">
      <c r="A648" s="1">
        <v>42599</v>
      </c>
      <c r="B648">
        <v>51.1114082336425</v>
      </c>
      <c r="C648">
        <v>57.560001373291001</v>
      </c>
      <c r="D648">
        <v>57.680000305175703</v>
      </c>
      <c r="E648">
        <v>57.2299995422363</v>
      </c>
      <c r="F648">
        <v>57.540000915527301</v>
      </c>
      <c r="G648" s="2">
        <v>18856400</v>
      </c>
      <c r="H648" s="3">
        <f t="shared" si="10"/>
        <v>2.0893582066880967E-3</v>
      </c>
      <c r="J648" s="3">
        <v>-9.2102947705737792E-3</v>
      </c>
      <c r="K648" s="3">
        <v>0.20339515875510847</v>
      </c>
    </row>
    <row r="649" spans="1:11" x14ac:dyDescent="0.2">
      <c r="A649" s="1">
        <v>42600</v>
      </c>
      <c r="B649">
        <v>51.146926879882798</v>
      </c>
      <c r="C649">
        <v>57.599998474121001</v>
      </c>
      <c r="D649">
        <v>57.700000762939403</v>
      </c>
      <c r="E649">
        <v>57.270000457763601</v>
      </c>
      <c r="F649">
        <v>57.419998168945298</v>
      </c>
      <c r="G649" s="2">
        <v>14214300</v>
      </c>
      <c r="H649" s="3">
        <f t="shared" si="10"/>
        <v>6.9492599534592969E-4</v>
      </c>
      <c r="J649" s="3">
        <v>-9.1958949357034969E-3</v>
      </c>
      <c r="K649" s="3">
        <v>0.20370952530650738</v>
      </c>
    </row>
    <row r="650" spans="1:11" x14ac:dyDescent="0.2">
      <c r="A650" s="1">
        <v>42601</v>
      </c>
      <c r="B650">
        <v>51.164669036865199</v>
      </c>
      <c r="C650">
        <v>57.619998931884702</v>
      </c>
      <c r="D650">
        <v>57.7299995422363</v>
      </c>
      <c r="E650">
        <v>57.200000762939403</v>
      </c>
      <c r="F650">
        <v>57.430000305175703</v>
      </c>
      <c r="G650" s="2">
        <v>17271000</v>
      </c>
      <c r="H650" s="3">
        <f t="shared" si="10"/>
        <v>3.4688608025401635E-4</v>
      </c>
      <c r="J650" s="3">
        <v>-9.1788190262565017E-3</v>
      </c>
      <c r="K650" s="3">
        <v>0.20402389185790631</v>
      </c>
    </row>
    <row r="651" spans="1:11" x14ac:dyDescent="0.2">
      <c r="A651" s="1">
        <v>42604</v>
      </c>
      <c r="B651">
        <v>51.209075927734297</v>
      </c>
      <c r="C651">
        <v>57.669998168945298</v>
      </c>
      <c r="D651">
        <v>57.75</v>
      </c>
      <c r="E651">
        <v>57.259998321533203</v>
      </c>
      <c r="F651">
        <v>57.599998474121001</v>
      </c>
      <c r="G651" s="2">
        <v>15221900</v>
      </c>
      <c r="H651" s="3">
        <f t="shared" si="10"/>
        <v>8.6792100300892017E-4</v>
      </c>
      <c r="J651" s="3">
        <v>-9.1672305860623915E-3</v>
      </c>
      <c r="K651" s="3">
        <v>0.20433825840930525</v>
      </c>
    </row>
    <row r="652" spans="1:11" x14ac:dyDescent="0.2">
      <c r="A652" s="1">
        <v>42605</v>
      </c>
      <c r="B652">
        <v>51.404426574707003</v>
      </c>
      <c r="C652">
        <v>57.889999389648402</v>
      </c>
      <c r="D652">
        <v>58.180000305175703</v>
      </c>
      <c r="E652">
        <v>57.849998474121001</v>
      </c>
      <c r="F652">
        <v>57.900001525878899</v>
      </c>
      <c r="G652" s="2">
        <v>18732400</v>
      </c>
      <c r="H652" s="3">
        <f t="shared" si="10"/>
        <v>3.8147661021725732E-3</v>
      </c>
      <c r="J652" s="3">
        <v>-9.1550319165577543E-3</v>
      </c>
      <c r="K652" s="3">
        <v>0.20465262496070419</v>
      </c>
    </row>
    <row r="653" spans="1:11" x14ac:dyDescent="0.2">
      <c r="A653" s="1">
        <v>42606</v>
      </c>
      <c r="B653">
        <v>51.457710266113203</v>
      </c>
      <c r="C653">
        <v>57.950000762939403</v>
      </c>
      <c r="D653">
        <v>58.040000915527301</v>
      </c>
      <c r="E653">
        <v>57.720001220703097</v>
      </c>
      <c r="F653">
        <v>57.799999237060497</v>
      </c>
      <c r="G653" s="2">
        <v>18151500</v>
      </c>
      <c r="H653" s="3">
        <f t="shared" si="10"/>
        <v>1.0365584241809334E-3</v>
      </c>
      <c r="J653" s="3">
        <v>-9.1314712516614716E-3</v>
      </c>
      <c r="K653" s="3">
        <v>0.20496699151210312</v>
      </c>
    </row>
    <row r="654" spans="1:11" x14ac:dyDescent="0.2">
      <c r="A654" s="1">
        <v>42607</v>
      </c>
      <c r="B654">
        <v>51.653060913085902</v>
      </c>
      <c r="C654">
        <v>58.169998168945298</v>
      </c>
      <c r="D654">
        <v>58.290000915527301</v>
      </c>
      <c r="E654">
        <v>57.779998779296797</v>
      </c>
      <c r="F654">
        <v>57.880001068115199</v>
      </c>
      <c r="G654" s="2">
        <v>18552600</v>
      </c>
      <c r="H654" s="3">
        <f t="shared" si="10"/>
        <v>3.7963338431197258E-3</v>
      </c>
      <c r="J654" s="3">
        <v>-9.1179036601231056E-3</v>
      </c>
      <c r="K654" s="3">
        <v>0.20528135806350203</v>
      </c>
    </row>
    <row r="655" spans="1:11" x14ac:dyDescent="0.2">
      <c r="A655" s="1">
        <v>42608</v>
      </c>
      <c r="B655">
        <v>51.528743743896399</v>
      </c>
      <c r="C655">
        <v>58.029998779296797</v>
      </c>
      <c r="D655">
        <v>58.700000762939403</v>
      </c>
      <c r="E655">
        <v>57.689998626708899</v>
      </c>
      <c r="F655">
        <v>58.279998779296797</v>
      </c>
      <c r="G655" s="2">
        <v>20971200</v>
      </c>
      <c r="H655" s="3">
        <f t="shared" si="10"/>
        <v>-2.4067725511695004E-3</v>
      </c>
      <c r="J655" s="3">
        <v>-9.1151009376548853E-3</v>
      </c>
      <c r="K655" s="3">
        <v>0.20559572461490097</v>
      </c>
    </row>
    <row r="656" spans="1:11" x14ac:dyDescent="0.2">
      <c r="A656" s="1">
        <v>42611</v>
      </c>
      <c r="B656">
        <v>51.590896606445298</v>
      </c>
      <c r="C656">
        <v>58.099998474121001</v>
      </c>
      <c r="D656">
        <v>58.599998474121001</v>
      </c>
      <c r="E656">
        <v>58.099998474121001</v>
      </c>
      <c r="F656">
        <v>58.180000305175703</v>
      </c>
      <c r="G656" s="2">
        <v>16417200</v>
      </c>
      <c r="H656" s="3">
        <f t="shared" si="10"/>
        <v>1.2061784944303877E-3</v>
      </c>
      <c r="J656" s="3">
        <v>-9.0618873680176071E-3</v>
      </c>
      <c r="K656" s="3">
        <v>0.20591009116629991</v>
      </c>
    </row>
    <row r="657" spans="1:11" x14ac:dyDescent="0.2">
      <c r="A657" s="1">
        <v>42612</v>
      </c>
      <c r="B657">
        <v>51.404426574707003</v>
      </c>
      <c r="C657">
        <v>57.889999389648402</v>
      </c>
      <c r="D657">
        <v>58.189998626708899</v>
      </c>
      <c r="E657">
        <v>57.610000610351499</v>
      </c>
      <c r="F657">
        <v>57.9799995422363</v>
      </c>
      <c r="G657" s="2">
        <v>16930200</v>
      </c>
      <c r="H657" s="3">
        <f t="shared" si="10"/>
        <v>-3.6143979656092506E-3</v>
      </c>
      <c r="J657" s="3">
        <v>-9.0201076799288904E-3</v>
      </c>
      <c r="K657" s="3">
        <v>0.20622445771769884</v>
      </c>
    </row>
    <row r="658" spans="1:11" x14ac:dyDescent="0.2">
      <c r="A658" s="1">
        <v>42613</v>
      </c>
      <c r="B658">
        <v>51.022609710693303</v>
      </c>
      <c r="C658">
        <v>57.459999084472599</v>
      </c>
      <c r="D658">
        <v>57.799999237060497</v>
      </c>
      <c r="E658">
        <v>57.299999237060497</v>
      </c>
      <c r="F658">
        <v>57.650001525878899</v>
      </c>
      <c r="G658" s="2">
        <v>20860300</v>
      </c>
      <c r="H658" s="3">
        <f t="shared" si="10"/>
        <v>-7.4277039830178415E-3</v>
      </c>
      <c r="J658" s="3">
        <v>-9.0023560708271111E-3</v>
      </c>
      <c r="K658" s="3">
        <v>0.20653882426909778</v>
      </c>
    </row>
    <row r="659" spans="1:11" x14ac:dyDescent="0.2">
      <c r="A659" s="1">
        <v>42614</v>
      </c>
      <c r="B659">
        <v>51.138031005859297</v>
      </c>
      <c r="C659">
        <v>57.590000152587798</v>
      </c>
      <c r="D659">
        <v>57.819999694824197</v>
      </c>
      <c r="E659">
        <v>57.009998321533203</v>
      </c>
      <c r="F659">
        <v>57.009998321533203</v>
      </c>
      <c r="G659" s="2">
        <v>26075400</v>
      </c>
      <c r="H659" s="3">
        <f t="shared" si="10"/>
        <v>2.2621597723138098E-3</v>
      </c>
      <c r="J659" s="3">
        <v>-9.0020806949722143E-3</v>
      </c>
      <c r="K659" s="3">
        <v>0.20685319082049669</v>
      </c>
    </row>
    <row r="660" spans="1:11" x14ac:dyDescent="0.2">
      <c r="A660" s="1">
        <v>42615</v>
      </c>
      <c r="B660">
        <v>51.209075927734297</v>
      </c>
      <c r="C660">
        <v>57.669998168945298</v>
      </c>
      <c r="D660">
        <v>58.189998626708899</v>
      </c>
      <c r="E660">
        <v>57.419998168945298</v>
      </c>
      <c r="F660">
        <v>57.669998168945298</v>
      </c>
      <c r="G660" s="2">
        <v>18900500</v>
      </c>
      <c r="H660" s="3">
        <f t="shared" si="10"/>
        <v>1.3892776174126986E-3</v>
      </c>
      <c r="J660" s="3">
        <v>-8.9806934561198482E-3</v>
      </c>
      <c r="K660" s="3">
        <v>0.20716755737189563</v>
      </c>
    </row>
    <row r="661" spans="1:11" x14ac:dyDescent="0.2">
      <c r="A661" s="1">
        <v>42619</v>
      </c>
      <c r="B661">
        <v>51.155796051025298</v>
      </c>
      <c r="C661">
        <v>57.610000610351499</v>
      </c>
      <c r="D661">
        <v>57.799999237060497</v>
      </c>
      <c r="E661">
        <v>57.209999084472599</v>
      </c>
      <c r="F661">
        <v>57.779998779296797</v>
      </c>
      <c r="G661" s="2">
        <v>16278400</v>
      </c>
      <c r="H661" s="3">
        <f t="shared" si="10"/>
        <v>-1.0404381595204848E-3</v>
      </c>
      <c r="J661" s="3">
        <v>-8.9772414541875456E-3</v>
      </c>
      <c r="K661" s="3">
        <v>0.20748192392329456</v>
      </c>
    </row>
    <row r="662" spans="1:11" x14ac:dyDescent="0.2">
      <c r="A662" s="1">
        <v>42620</v>
      </c>
      <c r="B662">
        <v>51.2001953125</v>
      </c>
      <c r="C662">
        <v>57.659999847412102</v>
      </c>
      <c r="D662">
        <v>57.840000152587798</v>
      </c>
      <c r="E662">
        <v>57.409999847412102</v>
      </c>
      <c r="F662">
        <v>57.470001220703097</v>
      </c>
      <c r="G662" s="2">
        <v>17493400</v>
      </c>
      <c r="H662" s="3">
        <f t="shared" si="10"/>
        <v>8.6792240375688223E-4</v>
      </c>
      <c r="J662" s="3">
        <v>-8.97412932629571E-3</v>
      </c>
      <c r="K662" s="3">
        <v>0.2077962904746935</v>
      </c>
    </row>
    <row r="663" spans="1:11" x14ac:dyDescent="0.2">
      <c r="A663" s="1">
        <v>42621</v>
      </c>
      <c r="B663">
        <v>50.995956420898402</v>
      </c>
      <c r="C663">
        <v>57.430000305175703</v>
      </c>
      <c r="D663">
        <v>57.790000915527301</v>
      </c>
      <c r="E663">
        <v>57.180000305175703</v>
      </c>
      <c r="F663">
        <v>57.630001068115199</v>
      </c>
      <c r="G663" s="2">
        <v>20146100</v>
      </c>
      <c r="H663" s="3">
        <f t="shared" si="10"/>
        <v>-3.9890256346685193E-3</v>
      </c>
      <c r="J663" s="3">
        <v>-8.9666939660715261E-3</v>
      </c>
      <c r="K663" s="3">
        <v>0.20811065702609241</v>
      </c>
    </row>
    <row r="664" spans="1:11" x14ac:dyDescent="0.2">
      <c r="A664" s="1">
        <v>42622</v>
      </c>
      <c r="B664">
        <v>49.912635803222599</v>
      </c>
      <c r="C664">
        <v>56.209999084472599</v>
      </c>
      <c r="D664">
        <v>57.520000457763601</v>
      </c>
      <c r="E664">
        <v>56.209999084472599</v>
      </c>
      <c r="F664">
        <v>56.790000915527301</v>
      </c>
      <c r="G664" s="2">
        <v>35113900</v>
      </c>
      <c r="H664" s="3">
        <f t="shared" si="10"/>
        <v>-2.1243265029378899E-2</v>
      </c>
      <c r="J664" s="3">
        <v>-8.9368541648926492E-3</v>
      </c>
      <c r="K664" s="3">
        <v>0.20842502357749135</v>
      </c>
    </row>
    <row r="665" spans="1:11" x14ac:dyDescent="0.2">
      <c r="A665" s="1">
        <v>42625</v>
      </c>
      <c r="B665">
        <v>50.658535003662102</v>
      </c>
      <c r="C665">
        <v>57.049999237060497</v>
      </c>
      <c r="D665">
        <v>57.209999084472599</v>
      </c>
      <c r="E665">
        <v>55.610000610351499</v>
      </c>
      <c r="F665">
        <v>56</v>
      </c>
      <c r="G665" s="2">
        <v>29303000</v>
      </c>
      <c r="H665" s="3">
        <f t="shared" si="10"/>
        <v>1.4944095586940431E-2</v>
      </c>
      <c r="J665" s="3">
        <v>-8.9282582335052929E-3</v>
      </c>
      <c r="K665" s="3">
        <v>0.20873939012889028</v>
      </c>
    </row>
    <row r="666" spans="1:11" x14ac:dyDescent="0.2">
      <c r="A666" s="1">
        <v>42626</v>
      </c>
      <c r="B666">
        <v>50.19677734375</v>
      </c>
      <c r="C666">
        <v>56.529998779296797</v>
      </c>
      <c r="D666">
        <v>56.650001525878899</v>
      </c>
      <c r="E666">
        <v>56.049999237060497</v>
      </c>
      <c r="F666">
        <v>56.5</v>
      </c>
      <c r="G666" s="2">
        <v>30130200</v>
      </c>
      <c r="H666" s="3">
        <f t="shared" si="10"/>
        <v>-9.1151009376548853E-3</v>
      </c>
      <c r="J666" s="3">
        <v>-8.9230691067451184E-3</v>
      </c>
      <c r="K666" s="3">
        <v>0.20905375668028922</v>
      </c>
    </row>
    <row r="667" spans="1:11" x14ac:dyDescent="0.2">
      <c r="A667" s="1">
        <v>42627</v>
      </c>
      <c r="B667">
        <v>49.957042694091797</v>
      </c>
      <c r="C667">
        <v>56.259998321533203</v>
      </c>
      <c r="D667">
        <v>56.630001068115199</v>
      </c>
      <c r="E667">
        <v>56.029998779296797</v>
      </c>
      <c r="F667">
        <v>56.389999389648402</v>
      </c>
      <c r="G667" s="2">
        <v>24062500</v>
      </c>
      <c r="H667" s="3">
        <f t="shared" si="10"/>
        <v>-4.7758972257618826E-3</v>
      </c>
      <c r="J667" s="3">
        <v>-8.9219735452003013E-3</v>
      </c>
      <c r="K667" s="3">
        <v>0.20936812323168816</v>
      </c>
    </row>
    <row r="668" spans="1:11" x14ac:dyDescent="0.2">
      <c r="A668" s="1">
        <v>42628</v>
      </c>
      <c r="B668">
        <v>50.7828369140625</v>
      </c>
      <c r="C668">
        <v>57.189998626708899</v>
      </c>
      <c r="D668">
        <v>57.349998474121001</v>
      </c>
      <c r="E668">
        <v>55.9799995422363</v>
      </c>
      <c r="F668">
        <v>56.150001525878899</v>
      </c>
      <c r="G668" s="2">
        <v>26847000</v>
      </c>
      <c r="H668" s="3">
        <f t="shared" si="10"/>
        <v>1.6530086158770274E-2</v>
      </c>
      <c r="J668" s="3">
        <v>-8.9152334336222161E-3</v>
      </c>
      <c r="K668" s="3">
        <v>0.20968248978308707</v>
      </c>
    </row>
    <row r="669" spans="1:11" x14ac:dyDescent="0.2">
      <c r="A669" s="1">
        <v>42629</v>
      </c>
      <c r="B669">
        <v>50.836116790771399</v>
      </c>
      <c r="C669">
        <v>57.25</v>
      </c>
      <c r="D669">
        <v>57.630001068115199</v>
      </c>
      <c r="E669">
        <v>56.75</v>
      </c>
      <c r="F669">
        <v>57.630001068115199</v>
      </c>
      <c r="G669" s="2">
        <v>44607000</v>
      </c>
      <c r="H669" s="3">
        <f t="shared" si="10"/>
        <v>1.0491709393680715E-3</v>
      </c>
      <c r="J669" s="3">
        <v>-8.885436929102708E-3</v>
      </c>
      <c r="K669" s="3">
        <v>0.209996856334486</v>
      </c>
    </row>
    <row r="670" spans="1:11" x14ac:dyDescent="0.2">
      <c r="A670" s="1">
        <v>42632</v>
      </c>
      <c r="B670">
        <v>50.551967620849602</v>
      </c>
      <c r="C670">
        <v>56.930000305175703</v>
      </c>
      <c r="D670">
        <v>57.75</v>
      </c>
      <c r="E670">
        <v>56.849998474121001</v>
      </c>
      <c r="F670">
        <v>57.270000457763601</v>
      </c>
      <c r="G670" s="2">
        <v>20937100</v>
      </c>
      <c r="H670" s="3">
        <f t="shared" si="10"/>
        <v>-5.5895136737387219E-3</v>
      </c>
      <c r="J670" s="3">
        <v>-8.8411521363425116E-3</v>
      </c>
      <c r="K670" s="3">
        <v>0.21031122288588494</v>
      </c>
    </row>
    <row r="671" spans="1:11" x14ac:dyDescent="0.2">
      <c r="A671" s="1">
        <v>42633</v>
      </c>
      <c r="B671">
        <v>50.445423126220703</v>
      </c>
      <c r="C671">
        <v>56.810001373291001</v>
      </c>
      <c r="D671">
        <v>57.349998474121001</v>
      </c>
      <c r="E671">
        <v>56.75</v>
      </c>
      <c r="F671">
        <v>57.349998474121001</v>
      </c>
      <c r="G671" s="2">
        <v>17384000</v>
      </c>
      <c r="H671" s="3">
        <f t="shared" si="10"/>
        <v>-2.1076230984321542E-3</v>
      </c>
      <c r="J671" s="3">
        <v>-8.8087738047984976E-3</v>
      </c>
      <c r="K671" s="3">
        <v>0.21062558943728388</v>
      </c>
    </row>
    <row r="672" spans="1:11" x14ac:dyDescent="0.2">
      <c r="A672" s="1">
        <v>42634</v>
      </c>
      <c r="B672">
        <v>51.288982391357401</v>
      </c>
      <c r="C672">
        <v>57.759998321533203</v>
      </c>
      <c r="D672">
        <v>57.849998474121001</v>
      </c>
      <c r="E672">
        <v>57.080001831054602</v>
      </c>
      <c r="F672">
        <v>57.509998321533203</v>
      </c>
      <c r="G672" s="2">
        <v>33707300</v>
      </c>
      <c r="H672" s="3">
        <f t="shared" si="10"/>
        <v>1.672221606757085E-2</v>
      </c>
      <c r="J672" s="3">
        <v>-8.7419056101490922E-3</v>
      </c>
      <c r="K672" s="3">
        <v>0.21093995598868281</v>
      </c>
    </row>
    <row r="673" spans="1:11" x14ac:dyDescent="0.2">
      <c r="A673" s="1">
        <v>42635</v>
      </c>
      <c r="B673">
        <v>51.342258453369098</v>
      </c>
      <c r="C673">
        <v>57.819999694824197</v>
      </c>
      <c r="D673">
        <v>58</v>
      </c>
      <c r="E673">
        <v>57.630001068115199</v>
      </c>
      <c r="F673">
        <v>57.919998168945298</v>
      </c>
      <c r="G673" s="2">
        <v>19822200</v>
      </c>
      <c r="H673" s="3">
        <f t="shared" si="10"/>
        <v>1.0387428162481616E-3</v>
      </c>
      <c r="J673" s="3">
        <v>-8.6989070487272224E-3</v>
      </c>
      <c r="K673" s="3">
        <v>0.21125432254008172</v>
      </c>
    </row>
    <row r="674" spans="1:11" x14ac:dyDescent="0.2">
      <c r="A674" s="1">
        <v>42636</v>
      </c>
      <c r="B674">
        <v>50.995956420898402</v>
      </c>
      <c r="C674">
        <v>57.430000305175703</v>
      </c>
      <c r="D674">
        <v>57.909999847412102</v>
      </c>
      <c r="E674">
        <v>57.380001068115199</v>
      </c>
      <c r="F674">
        <v>57.869998931884702</v>
      </c>
      <c r="G674" s="2">
        <v>19955300</v>
      </c>
      <c r="H674" s="3">
        <f t="shared" si="10"/>
        <v>-6.7449707687716742E-3</v>
      </c>
      <c r="J674" s="3">
        <v>-8.6838226562460097E-3</v>
      </c>
      <c r="K674" s="3">
        <v>0.21156868909148066</v>
      </c>
    </row>
    <row r="675" spans="1:11" x14ac:dyDescent="0.2">
      <c r="A675" s="1">
        <v>42639</v>
      </c>
      <c r="B675">
        <v>50.525341033935497</v>
      </c>
      <c r="C675">
        <v>56.900001525878899</v>
      </c>
      <c r="D675">
        <v>57.139999389648402</v>
      </c>
      <c r="E675">
        <v>56.830001831054602</v>
      </c>
      <c r="F675">
        <v>57.080001831054602</v>
      </c>
      <c r="G675" s="2">
        <v>21688700</v>
      </c>
      <c r="H675" s="3">
        <f t="shared" si="10"/>
        <v>-9.2284843739109945E-3</v>
      </c>
      <c r="J675" s="3">
        <v>-8.6835624914717302E-3</v>
      </c>
      <c r="K675" s="3">
        <v>0.2118830556428796</v>
      </c>
    </row>
    <row r="676" spans="1:11" x14ac:dyDescent="0.2">
      <c r="A676" s="1">
        <v>42640</v>
      </c>
      <c r="B676">
        <v>51.457710266113203</v>
      </c>
      <c r="C676">
        <v>57.950000762939403</v>
      </c>
      <c r="D676">
        <v>58.060001373291001</v>
      </c>
      <c r="E676">
        <v>56.680000305175703</v>
      </c>
      <c r="F676">
        <v>56.930000305175703</v>
      </c>
      <c r="G676" s="2">
        <v>28065100</v>
      </c>
      <c r="H676" s="3">
        <f t="shared" si="10"/>
        <v>1.845349705905952E-2</v>
      </c>
      <c r="J676" s="3">
        <v>-8.6683496261191761E-3</v>
      </c>
      <c r="K676" s="3">
        <v>0.21219742219427853</v>
      </c>
    </row>
    <row r="677" spans="1:11" x14ac:dyDescent="0.2">
      <c r="A677" s="1">
        <v>42641</v>
      </c>
      <c r="B677">
        <v>51.528743743896399</v>
      </c>
      <c r="C677">
        <v>58.029998779296797</v>
      </c>
      <c r="D677">
        <v>58.060001373291001</v>
      </c>
      <c r="E677">
        <v>57.669998168945298</v>
      </c>
      <c r="F677">
        <v>57.880001068115199</v>
      </c>
      <c r="G677" s="2">
        <v>20536400</v>
      </c>
      <c r="H677" s="3">
        <f t="shared" si="10"/>
        <v>1.3804243798616334E-3</v>
      </c>
      <c r="J677" s="3">
        <v>-8.6313895008822694E-3</v>
      </c>
      <c r="K677" s="3">
        <v>0.21251178874567747</v>
      </c>
    </row>
    <row r="678" spans="1:11" x14ac:dyDescent="0.2">
      <c r="A678" s="1">
        <v>42642</v>
      </c>
      <c r="B678">
        <v>50.969322204589801</v>
      </c>
      <c r="C678">
        <v>57.400001525878899</v>
      </c>
      <c r="D678">
        <v>58.169998168945298</v>
      </c>
      <c r="E678">
        <v>57.209999084472599</v>
      </c>
      <c r="F678">
        <v>57.810001373291001</v>
      </c>
      <c r="G678" s="2">
        <v>25463500</v>
      </c>
      <c r="H678" s="3">
        <f t="shared" si="10"/>
        <v>-1.0856494815534079E-2</v>
      </c>
      <c r="J678" s="3">
        <v>-8.63028079240169E-3</v>
      </c>
      <c r="K678" s="3">
        <v>0.21282615529707638</v>
      </c>
    </row>
    <row r="679" spans="1:11" x14ac:dyDescent="0.2">
      <c r="A679" s="1">
        <v>42643</v>
      </c>
      <c r="B679">
        <v>51.146926879882798</v>
      </c>
      <c r="C679">
        <v>57.599998474121001</v>
      </c>
      <c r="D679">
        <v>57.770000457763601</v>
      </c>
      <c r="E679">
        <v>57.340000152587798</v>
      </c>
      <c r="F679">
        <v>57.569999694824197</v>
      </c>
      <c r="G679" s="2">
        <v>29910800</v>
      </c>
      <c r="H679" s="3">
        <f t="shared" si="10"/>
        <v>3.4845406532990619E-3</v>
      </c>
      <c r="J679" s="3">
        <v>-8.6281588763289507E-3</v>
      </c>
      <c r="K679" s="3">
        <v>0.21314052184847532</v>
      </c>
    </row>
    <row r="680" spans="1:11" x14ac:dyDescent="0.2">
      <c r="A680" s="1">
        <v>42646</v>
      </c>
      <c r="B680">
        <v>50.987083435058501</v>
      </c>
      <c r="C680">
        <v>57.419998168945298</v>
      </c>
      <c r="D680">
        <v>57.549999237060497</v>
      </c>
      <c r="E680">
        <v>57.060001373291001</v>
      </c>
      <c r="F680">
        <v>57.409999847412102</v>
      </c>
      <c r="G680" s="2">
        <v>19189500</v>
      </c>
      <c r="H680" s="3">
        <f t="shared" si="10"/>
        <v>-3.1251817963507955E-3</v>
      </c>
      <c r="J680" s="3">
        <v>-8.6204847205304524E-3</v>
      </c>
      <c r="K680" s="3">
        <v>0.21345488839987425</v>
      </c>
    </row>
    <row r="681" spans="1:11" x14ac:dyDescent="0.2">
      <c r="A681" s="1">
        <v>42647</v>
      </c>
      <c r="B681">
        <v>50.827251434326101</v>
      </c>
      <c r="C681">
        <v>57.240001678466797</v>
      </c>
      <c r="D681">
        <v>57.599998474121001</v>
      </c>
      <c r="E681">
        <v>56.970001220703097</v>
      </c>
      <c r="F681">
        <v>57.270000457763601</v>
      </c>
      <c r="G681" s="2">
        <v>20085900</v>
      </c>
      <c r="H681" s="3">
        <f t="shared" si="10"/>
        <v>-3.1347547253997021E-3</v>
      </c>
      <c r="J681" s="3">
        <v>-8.6185092586620327E-3</v>
      </c>
      <c r="K681" s="3">
        <v>0.21376925495127319</v>
      </c>
    </row>
    <row r="682" spans="1:11" x14ac:dyDescent="0.2">
      <c r="A682" s="1">
        <v>42648</v>
      </c>
      <c r="B682">
        <v>51.182426452636697</v>
      </c>
      <c r="C682">
        <v>57.639999389648402</v>
      </c>
      <c r="D682">
        <v>57.959999084472599</v>
      </c>
      <c r="E682">
        <v>57.259998321533203</v>
      </c>
      <c r="F682">
        <v>57.290000915527301</v>
      </c>
      <c r="G682" s="2">
        <v>16726400</v>
      </c>
      <c r="H682" s="3">
        <f t="shared" si="10"/>
        <v>6.9878855985261445E-3</v>
      </c>
      <c r="J682" s="3">
        <v>-8.5997345969268668E-3</v>
      </c>
      <c r="K682" s="3">
        <v>0.21408362150267213</v>
      </c>
    </row>
    <row r="683" spans="1:11" x14ac:dyDescent="0.2">
      <c r="A683" s="1">
        <v>42649</v>
      </c>
      <c r="B683">
        <v>51.271236419677699</v>
      </c>
      <c r="C683">
        <v>57.740001678466797</v>
      </c>
      <c r="D683">
        <v>57.860000610351499</v>
      </c>
      <c r="E683">
        <v>57.279998779296797</v>
      </c>
      <c r="F683">
        <v>57.740001678466797</v>
      </c>
      <c r="G683" s="2">
        <v>16212600</v>
      </c>
      <c r="H683" s="3">
        <f t="shared" si="10"/>
        <v>1.7351652353407854E-3</v>
      </c>
      <c r="J683" s="3">
        <v>-8.5750300824605219E-3</v>
      </c>
      <c r="K683" s="3">
        <v>0.21439798805407104</v>
      </c>
    </row>
    <row r="684" spans="1:11" x14ac:dyDescent="0.2">
      <c r="A684" s="1">
        <v>42650</v>
      </c>
      <c r="B684">
        <v>51.324512481689403</v>
      </c>
      <c r="C684">
        <v>57.799999237060497</v>
      </c>
      <c r="D684">
        <v>57.9799995422363</v>
      </c>
      <c r="E684">
        <v>57.419998168945298</v>
      </c>
      <c r="F684">
        <v>57.849998474121001</v>
      </c>
      <c r="G684" s="2">
        <v>20089000</v>
      </c>
      <c r="H684" s="3">
        <f t="shared" si="10"/>
        <v>1.039102345330889E-3</v>
      </c>
      <c r="J684" s="3">
        <v>-8.5650742728445861E-3</v>
      </c>
      <c r="K684" s="3">
        <v>0.21471235460546997</v>
      </c>
    </row>
    <row r="685" spans="1:11" x14ac:dyDescent="0.2">
      <c r="A685" s="1">
        <v>42653</v>
      </c>
      <c r="B685">
        <v>51.5376167297363</v>
      </c>
      <c r="C685">
        <v>58.040000915527301</v>
      </c>
      <c r="D685">
        <v>58.389999389648402</v>
      </c>
      <c r="E685">
        <v>57.869998931884702</v>
      </c>
      <c r="F685">
        <v>57.909999847412102</v>
      </c>
      <c r="G685" s="2">
        <v>18196500</v>
      </c>
      <c r="H685" s="3">
        <f t="shared" si="10"/>
        <v>4.1520949297457754E-3</v>
      </c>
      <c r="J685" s="3">
        <v>-8.5611990144929262E-3</v>
      </c>
      <c r="K685" s="3">
        <v>0.21502672115686891</v>
      </c>
    </row>
    <row r="686" spans="1:11" x14ac:dyDescent="0.2">
      <c r="A686" s="1">
        <v>42654</v>
      </c>
      <c r="B686">
        <v>50.7828369140625</v>
      </c>
      <c r="C686">
        <v>57.189998626708899</v>
      </c>
      <c r="D686">
        <v>58.020000457763601</v>
      </c>
      <c r="E686">
        <v>56.889999389648402</v>
      </c>
      <c r="F686">
        <v>57.889999389648402</v>
      </c>
      <c r="G686" s="2">
        <v>26497400</v>
      </c>
      <c r="H686" s="3">
        <f t="shared" si="10"/>
        <v>-1.4645221559853483E-2</v>
      </c>
      <c r="J686" s="3">
        <v>-8.5433334679688722E-3</v>
      </c>
      <c r="K686" s="3">
        <v>0.21534108770826785</v>
      </c>
    </row>
    <row r="687" spans="1:11" x14ac:dyDescent="0.2">
      <c r="A687" s="1">
        <v>42655</v>
      </c>
      <c r="B687">
        <v>50.7118110656738</v>
      </c>
      <c r="C687">
        <v>57.110000610351499</v>
      </c>
      <c r="D687">
        <v>57.270000457763601</v>
      </c>
      <c r="E687">
        <v>56.400001525878899</v>
      </c>
      <c r="F687">
        <v>57.110000610351499</v>
      </c>
      <c r="G687" s="2">
        <v>22177500</v>
      </c>
      <c r="H687" s="3">
        <f t="shared" si="10"/>
        <v>-1.3986191537289638E-3</v>
      </c>
      <c r="J687" s="3">
        <v>-8.520907393978594E-3</v>
      </c>
      <c r="K687" s="3">
        <v>0.21565545425966678</v>
      </c>
    </row>
    <row r="688" spans="1:11" x14ac:dyDescent="0.2">
      <c r="A688" s="1">
        <v>42656</v>
      </c>
      <c r="B688">
        <v>50.543094635009702</v>
      </c>
      <c r="C688">
        <v>56.919998168945298</v>
      </c>
      <c r="D688">
        <v>57.299999237060497</v>
      </c>
      <c r="E688">
        <v>56.319999694824197</v>
      </c>
      <c r="F688">
        <v>56.700000762939403</v>
      </c>
      <c r="G688" s="2">
        <v>25313700</v>
      </c>
      <c r="H688" s="3">
        <f t="shared" si="10"/>
        <v>-3.3269652003869998E-3</v>
      </c>
      <c r="J688" s="3">
        <v>-8.5142139178780996E-3</v>
      </c>
      <c r="K688" s="3">
        <v>0.21596982081106569</v>
      </c>
    </row>
    <row r="689" spans="1:11" x14ac:dyDescent="0.2">
      <c r="A689" s="1">
        <v>42657</v>
      </c>
      <c r="B689">
        <v>50.987083435058501</v>
      </c>
      <c r="C689">
        <v>57.419998168945298</v>
      </c>
      <c r="D689">
        <v>57.740001678466797</v>
      </c>
      <c r="E689">
        <v>57.119998931884702</v>
      </c>
      <c r="F689">
        <v>57.119998931884702</v>
      </c>
      <c r="G689" s="2">
        <v>27402500</v>
      </c>
      <c r="H689" s="3">
        <f t="shared" si="10"/>
        <v>8.7843612120508396E-3</v>
      </c>
      <c r="J689" s="3">
        <v>-8.4958033265974953E-3</v>
      </c>
      <c r="K689" s="3">
        <v>0.21628418736246463</v>
      </c>
    </row>
    <row r="690" spans="1:11" x14ac:dyDescent="0.2">
      <c r="A690" s="1">
        <v>42660</v>
      </c>
      <c r="B690">
        <v>50.809486389160099</v>
      </c>
      <c r="C690">
        <v>57.220001220703097</v>
      </c>
      <c r="D690">
        <v>57.459999084472599</v>
      </c>
      <c r="E690">
        <v>56.869998931884702</v>
      </c>
      <c r="F690">
        <v>57.360000610351499</v>
      </c>
      <c r="G690" s="2">
        <v>23830000</v>
      </c>
      <c r="H690" s="3">
        <f t="shared" si="10"/>
        <v>-3.4831771878971463E-3</v>
      </c>
      <c r="J690" s="3">
        <v>-8.4694455264311408E-3</v>
      </c>
      <c r="K690" s="3">
        <v>0.21659855391386357</v>
      </c>
    </row>
    <row r="691" spans="1:11" x14ac:dyDescent="0.2">
      <c r="A691" s="1">
        <v>42661</v>
      </c>
      <c r="B691">
        <v>51.2001953125</v>
      </c>
      <c r="C691">
        <v>57.659999847412102</v>
      </c>
      <c r="D691">
        <v>57.950000762939403</v>
      </c>
      <c r="E691">
        <v>57.409999847412102</v>
      </c>
      <c r="F691">
        <v>57.529998779296797</v>
      </c>
      <c r="G691" s="2">
        <v>19149500</v>
      </c>
      <c r="H691" s="3">
        <f t="shared" si="10"/>
        <v>7.6896845669207625E-3</v>
      </c>
      <c r="J691" s="3">
        <v>-8.4654657872912376E-3</v>
      </c>
      <c r="K691" s="3">
        <v>0.2169129204652625</v>
      </c>
    </row>
    <row r="692" spans="1:11" x14ac:dyDescent="0.2">
      <c r="A692" s="1">
        <v>42662</v>
      </c>
      <c r="B692">
        <v>51.084766387939403</v>
      </c>
      <c r="C692">
        <v>57.529998779296797</v>
      </c>
      <c r="D692">
        <v>57.840000152587798</v>
      </c>
      <c r="E692">
        <v>57.400001525878899</v>
      </c>
      <c r="F692">
        <v>57.470001220703097</v>
      </c>
      <c r="G692" s="2">
        <v>22878400</v>
      </c>
      <c r="H692" s="3">
        <f t="shared" si="10"/>
        <v>-2.2544625827318754E-3</v>
      </c>
      <c r="J692" s="3">
        <v>-8.4631581642382603E-3</v>
      </c>
      <c r="K692" s="3">
        <v>0.21722728701666141</v>
      </c>
    </row>
    <row r="693" spans="1:11" x14ac:dyDescent="0.2">
      <c r="A693" s="1">
        <v>42663</v>
      </c>
      <c r="B693">
        <v>50.836116790771399</v>
      </c>
      <c r="C693">
        <v>57.25</v>
      </c>
      <c r="D693">
        <v>57.520000457763601</v>
      </c>
      <c r="E693">
        <v>56.659999847412102</v>
      </c>
      <c r="F693">
        <v>57.5</v>
      </c>
      <c r="G693" s="2">
        <v>49455600</v>
      </c>
      <c r="H693" s="3">
        <f t="shared" si="10"/>
        <v>-4.8673922726738539E-3</v>
      </c>
      <c r="J693" s="3">
        <v>-8.4623647269541635E-3</v>
      </c>
      <c r="K693" s="3">
        <v>0.21754165356806035</v>
      </c>
    </row>
    <row r="694" spans="1:11" x14ac:dyDescent="0.2">
      <c r="A694" s="1">
        <v>42664</v>
      </c>
      <c r="B694">
        <v>52.9761352539062</v>
      </c>
      <c r="C694">
        <v>59.659999847412102</v>
      </c>
      <c r="D694">
        <v>60.450000762939403</v>
      </c>
      <c r="E694">
        <v>59.490001678466797</v>
      </c>
      <c r="F694">
        <v>60.279998779296797</v>
      </c>
      <c r="G694" s="2">
        <v>80032200</v>
      </c>
      <c r="H694" s="3">
        <f t="shared" si="10"/>
        <v>4.2096418810716241E-2</v>
      </c>
      <c r="J694" s="3">
        <v>-8.4443287754449869E-3</v>
      </c>
      <c r="K694" s="3">
        <v>0.21785602011945929</v>
      </c>
    </row>
    <row r="695" spans="1:11" x14ac:dyDescent="0.2">
      <c r="A695" s="1">
        <v>42667</v>
      </c>
      <c r="B695">
        <v>54.166007995605398</v>
      </c>
      <c r="C695">
        <v>61</v>
      </c>
      <c r="D695">
        <v>61</v>
      </c>
      <c r="E695">
        <v>59.930000305175703</v>
      </c>
      <c r="F695">
        <v>59.939998626708899</v>
      </c>
      <c r="G695" s="2">
        <v>54067000</v>
      </c>
      <c r="H695" s="3">
        <f t="shared" si="10"/>
        <v>2.2460542581981935E-2</v>
      </c>
      <c r="J695" s="3">
        <v>-8.4329155152161883E-3</v>
      </c>
      <c r="K695" s="3">
        <v>0.21817038667085822</v>
      </c>
    </row>
    <row r="696" spans="1:11" x14ac:dyDescent="0.2">
      <c r="A696" s="1">
        <v>42668</v>
      </c>
      <c r="B696">
        <v>54.157127380371001</v>
      </c>
      <c r="C696">
        <v>60.990001678466797</v>
      </c>
      <c r="D696">
        <v>61.369998931884702</v>
      </c>
      <c r="E696">
        <v>60.799999237060497</v>
      </c>
      <c r="F696">
        <v>60.849998474121001</v>
      </c>
      <c r="G696" s="2">
        <v>35137200</v>
      </c>
      <c r="H696" s="3">
        <f t="shared" si="10"/>
        <v>-1.6395181337924836E-4</v>
      </c>
      <c r="J696" s="3">
        <v>-8.4051577904712405E-3</v>
      </c>
      <c r="K696" s="3">
        <v>0.21848475322225716</v>
      </c>
    </row>
    <row r="697" spans="1:11" x14ac:dyDescent="0.2">
      <c r="A697" s="1">
        <v>42669</v>
      </c>
      <c r="B697">
        <v>53.837471008300703</v>
      </c>
      <c r="C697">
        <v>60.630001068115199</v>
      </c>
      <c r="D697">
        <v>61.200000762939403</v>
      </c>
      <c r="E697">
        <v>60.470001220703097</v>
      </c>
      <c r="F697">
        <v>60.810001373291001</v>
      </c>
      <c r="G697" s="2">
        <v>29911600</v>
      </c>
      <c r="H697" s="3">
        <f t="shared" si="10"/>
        <v>-5.9023878763952986E-3</v>
      </c>
      <c r="J697" s="3">
        <v>-8.4022940113007705E-3</v>
      </c>
      <c r="K697" s="3">
        <v>0.21879911977365607</v>
      </c>
    </row>
    <row r="698" spans="1:11" x14ac:dyDescent="0.2">
      <c r="A698" s="1">
        <v>42670</v>
      </c>
      <c r="B698">
        <v>53.366828918457003</v>
      </c>
      <c r="C698">
        <v>60.099998474121001</v>
      </c>
      <c r="D698">
        <v>60.830001831054602</v>
      </c>
      <c r="E698">
        <v>60.090000152587798</v>
      </c>
      <c r="F698">
        <v>60.610000610351499</v>
      </c>
      <c r="G698" s="2">
        <v>28479900</v>
      </c>
      <c r="H698" s="3">
        <f t="shared" si="10"/>
        <v>-8.7419056101490922E-3</v>
      </c>
      <c r="J698" s="3">
        <v>-8.382877562416291E-3</v>
      </c>
      <c r="K698" s="3">
        <v>0.21911348632505501</v>
      </c>
    </row>
    <row r="699" spans="1:11" x14ac:dyDescent="0.2">
      <c r="A699" s="1">
        <v>42671</v>
      </c>
      <c r="B699">
        <v>53.162609100341797</v>
      </c>
      <c r="C699">
        <v>59.869998931884702</v>
      </c>
      <c r="D699">
        <v>60.520000457763601</v>
      </c>
      <c r="E699">
        <v>59.580001831054602</v>
      </c>
      <c r="F699">
        <v>60.009998321533203</v>
      </c>
      <c r="G699" s="2">
        <v>33574700</v>
      </c>
      <c r="H699" s="3">
        <f t="shared" si="10"/>
        <v>-3.8267182490315799E-3</v>
      </c>
      <c r="J699" s="3">
        <v>-8.3828625235516929E-3</v>
      </c>
      <c r="K699" s="3">
        <v>0.21942785287645394</v>
      </c>
    </row>
    <row r="700" spans="1:11" x14ac:dyDescent="0.2">
      <c r="A700" s="1">
        <v>42674</v>
      </c>
      <c r="B700">
        <v>53.206996917724602</v>
      </c>
      <c r="C700">
        <v>59.919998168945298</v>
      </c>
      <c r="D700">
        <v>60.419998168945298</v>
      </c>
      <c r="E700">
        <v>59.919998168945298</v>
      </c>
      <c r="F700">
        <v>60.159999847412102</v>
      </c>
      <c r="G700" s="2">
        <v>26434700</v>
      </c>
      <c r="H700" s="3">
        <f t="shared" si="10"/>
        <v>8.349442988966338E-4</v>
      </c>
      <c r="J700" s="3">
        <v>-8.3695146322529945E-3</v>
      </c>
      <c r="K700" s="3">
        <v>0.21974221942785288</v>
      </c>
    </row>
    <row r="701" spans="1:11" x14ac:dyDescent="0.2">
      <c r="A701" s="1">
        <v>42675</v>
      </c>
      <c r="B701">
        <v>53.100444793701101</v>
      </c>
      <c r="C701">
        <v>59.799999237060497</v>
      </c>
      <c r="D701">
        <v>60.020000457763601</v>
      </c>
      <c r="E701">
        <v>59.25</v>
      </c>
      <c r="F701">
        <v>59.970001220703097</v>
      </c>
      <c r="G701" s="2">
        <v>24533000</v>
      </c>
      <c r="H701" s="3">
        <f t="shared" si="10"/>
        <v>-2.0025960906657758E-3</v>
      </c>
      <c r="J701" s="3">
        <v>-8.3476862889138026E-3</v>
      </c>
      <c r="K701" s="3">
        <v>0.22005658597925182</v>
      </c>
    </row>
    <row r="702" spans="1:11" x14ac:dyDescent="0.2">
      <c r="A702" s="1">
        <v>42676</v>
      </c>
      <c r="B702">
        <v>52.771892547607401</v>
      </c>
      <c r="C702">
        <v>59.430000305175703</v>
      </c>
      <c r="D702">
        <v>59.930000305175703</v>
      </c>
      <c r="E702">
        <v>59.299999237060497</v>
      </c>
      <c r="F702">
        <v>59.819999694824197</v>
      </c>
      <c r="G702" s="2">
        <v>22147000</v>
      </c>
      <c r="H702" s="3">
        <f t="shared" si="10"/>
        <v>-6.1873727681593937E-3</v>
      </c>
      <c r="J702" s="3">
        <v>-8.3417991687874116E-3</v>
      </c>
      <c r="K702" s="3">
        <v>0.22037095253065073</v>
      </c>
    </row>
    <row r="703" spans="1:11" x14ac:dyDescent="0.2">
      <c r="A703" s="1">
        <v>42677</v>
      </c>
      <c r="B703">
        <v>52.576534271240199</v>
      </c>
      <c r="C703">
        <v>59.209999084472599</v>
      </c>
      <c r="D703">
        <v>59.639999389648402</v>
      </c>
      <c r="E703">
        <v>59.110000610351499</v>
      </c>
      <c r="F703">
        <v>59.529998779296797</v>
      </c>
      <c r="G703" s="2">
        <v>21600400</v>
      </c>
      <c r="H703" s="3">
        <f t="shared" si="10"/>
        <v>-3.7019380381508871E-3</v>
      </c>
      <c r="J703" s="3">
        <v>-8.3326755555018783E-3</v>
      </c>
      <c r="K703" s="3">
        <v>0.22068531908204966</v>
      </c>
    </row>
    <row r="704" spans="1:11" x14ac:dyDescent="0.2">
      <c r="A704" s="1">
        <v>42678</v>
      </c>
      <c r="B704">
        <v>52.132560729980398</v>
      </c>
      <c r="C704">
        <v>58.709999084472599</v>
      </c>
      <c r="D704">
        <v>59.279998779296797</v>
      </c>
      <c r="E704">
        <v>58.520000457763601</v>
      </c>
      <c r="F704">
        <v>58.650001525878899</v>
      </c>
      <c r="G704" s="2">
        <v>28697000</v>
      </c>
      <c r="H704" s="3">
        <f t="shared" si="10"/>
        <v>-8.4443287754449869E-3</v>
      </c>
      <c r="J704" s="3">
        <v>-8.3277675304292975E-3</v>
      </c>
      <c r="K704" s="3">
        <v>0.2209996856334486</v>
      </c>
    </row>
    <row r="705" spans="1:11" x14ac:dyDescent="0.2">
      <c r="A705" s="1">
        <v>42681</v>
      </c>
      <c r="B705">
        <v>53.650989532470703</v>
      </c>
      <c r="C705">
        <v>60.419998168945298</v>
      </c>
      <c r="D705">
        <v>60.520000457763601</v>
      </c>
      <c r="E705">
        <v>59.779998779296797</v>
      </c>
      <c r="F705">
        <v>59.779998779296797</v>
      </c>
      <c r="G705" s="2">
        <v>31664800</v>
      </c>
      <c r="H705" s="3">
        <f t="shared" si="10"/>
        <v>2.9126303815286914E-2</v>
      </c>
      <c r="J705" s="3">
        <v>-8.3092632950286793E-3</v>
      </c>
      <c r="K705" s="3">
        <v>0.22131405218484754</v>
      </c>
    </row>
    <row r="706" spans="1:11" x14ac:dyDescent="0.2">
      <c r="A706" s="1">
        <v>42682</v>
      </c>
      <c r="B706">
        <v>53.695377349853501</v>
      </c>
      <c r="C706">
        <v>60.470001220703097</v>
      </c>
      <c r="D706">
        <v>60.779998779296797</v>
      </c>
      <c r="E706">
        <v>60.150001525878899</v>
      </c>
      <c r="F706">
        <v>60.549999237060497</v>
      </c>
      <c r="G706" s="2">
        <v>22935400</v>
      </c>
      <c r="H706" s="3">
        <f t="shared" ref="H706:H769" si="11">B706/B705-1</f>
        <v>8.2734387137328724E-4</v>
      </c>
      <c r="J706" s="3">
        <v>-8.2378985855885434E-3</v>
      </c>
      <c r="K706" s="3">
        <v>0.22162841873624647</v>
      </c>
    </row>
    <row r="707" spans="1:11" x14ac:dyDescent="0.2">
      <c r="A707" s="1">
        <v>42683</v>
      </c>
      <c r="B707">
        <v>53.428989410400298</v>
      </c>
      <c r="C707">
        <v>60.169998168945298</v>
      </c>
      <c r="D707">
        <v>60.590000152587798</v>
      </c>
      <c r="E707">
        <v>59.200000762939403</v>
      </c>
      <c r="F707">
        <v>60</v>
      </c>
      <c r="G707" s="2">
        <v>49632500</v>
      </c>
      <c r="H707" s="3">
        <f t="shared" si="11"/>
        <v>-4.9610963289734578E-3</v>
      </c>
      <c r="J707" s="3">
        <v>-8.222170417090835E-3</v>
      </c>
      <c r="K707" s="3">
        <v>0.22194278528764538</v>
      </c>
    </row>
    <row r="708" spans="1:11" x14ac:dyDescent="0.2">
      <c r="A708" s="1">
        <v>42684</v>
      </c>
      <c r="B708">
        <v>52.123687744140597</v>
      </c>
      <c r="C708">
        <v>58.700000762939403</v>
      </c>
      <c r="D708">
        <v>60.490001678466797</v>
      </c>
      <c r="E708">
        <v>57.630001068115199</v>
      </c>
      <c r="F708">
        <v>60.4799995422363</v>
      </c>
      <c r="G708" s="2">
        <v>57822400</v>
      </c>
      <c r="H708" s="3">
        <f t="shared" si="11"/>
        <v>-2.4430588724659974E-2</v>
      </c>
      <c r="J708" s="3">
        <v>-8.1940604782085869E-3</v>
      </c>
      <c r="K708" s="3">
        <v>0.22225715183904432</v>
      </c>
    </row>
    <row r="709" spans="1:11" x14ac:dyDescent="0.2">
      <c r="A709" s="1">
        <v>42685</v>
      </c>
      <c r="B709">
        <v>52.407821655273402</v>
      </c>
      <c r="C709">
        <v>59.020000457763601</v>
      </c>
      <c r="D709">
        <v>59.119998931884702</v>
      </c>
      <c r="E709">
        <v>58.009998321533203</v>
      </c>
      <c r="F709">
        <v>58.2299995422363</v>
      </c>
      <c r="G709" s="2">
        <v>38767800</v>
      </c>
      <c r="H709" s="3">
        <f t="shared" si="11"/>
        <v>5.4511475190999192E-3</v>
      </c>
      <c r="J709" s="3">
        <v>-8.1869492139823308E-3</v>
      </c>
      <c r="K709" s="3">
        <v>0.22257151839044326</v>
      </c>
    </row>
    <row r="710" spans="1:11" x14ac:dyDescent="0.2">
      <c r="A710" s="1">
        <v>42688</v>
      </c>
      <c r="B710">
        <v>51.608669281005803</v>
      </c>
      <c r="C710">
        <v>58.119998931884702</v>
      </c>
      <c r="D710">
        <v>59.080001831054602</v>
      </c>
      <c r="E710">
        <v>57.279998779296797</v>
      </c>
      <c r="F710">
        <v>59.020000457763601</v>
      </c>
      <c r="G710" s="2">
        <v>41328400</v>
      </c>
      <c r="H710" s="3">
        <f t="shared" si="11"/>
        <v>-1.5248723358971872E-2</v>
      </c>
      <c r="J710" s="3">
        <v>-8.1761356529429507E-3</v>
      </c>
      <c r="K710" s="3">
        <v>0.22288588494184219</v>
      </c>
    </row>
    <row r="711" spans="1:11" x14ac:dyDescent="0.2">
      <c r="A711" s="1">
        <v>42689</v>
      </c>
      <c r="B711">
        <v>52.627773284912102</v>
      </c>
      <c r="C711">
        <v>58.869998931884702</v>
      </c>
      <c r="D711">
        <v>59.490001678466797</v>
      </c>
      <c r="E711">
        <v>58.319999694824197</v>
      </c>
      <c r="F711">
        <v>58.330001831054602</v>
      </c>
      <c r="G711" s="2">
        <v>35904100</v>
      </c>
      <c r="H711" s="3">
        <f t="shared" si="11"/>
        <v>1.9746759955335147E-2</v>
      </c>
      <c r="J711" s="3">
        <v>-8.1650063946399065E-3</v>
      </c>
      <c r="K711" s="3">
        <v>0.22320025149324113</v>
      </c>
    </row>
    <row r="712" spans="1:11" x14ac:dyDescent="0.2">
      <c r="A712" s="1">
        <v>42690</v>
      </c>
      <c r="B712">
        <v>53.325069427490199</v>
      </c>
      <c r="C712">
        <v>59.650001525878899</v>
      </c>
      <c r="D712">
        <v>59.659999847412102</v>
      </c>
      <c r="E712">
        <v>58.810001373291001</v>
      </c>
      <c r="F712">
        <v>58.939998626708899</v>
      </c>
      <c r="G712" s="2">
        <v>27332500</v>
      </c>
      <c r="H712" s="3">
        <f t="shared" si="11"/>
        <v>1.3249584754481791E-2</v>
      </c>
      <c r="J712" s="3">
        <v>-8.1279926290215299E-3</v>
      </c>
      <c r="K712" s="3">
        <v>0.22351461804464004</v>
      </c>
    </row>
    <row r="713" spans="1:11" x14ac:dyDescent="0.2">
      <c r="A713" s="1">
        <v>42691</v>
      </c>
      <c r="B713">
        <v>54.2101020812988</v>
      </c>
      <c r="C713">
        <v>60.639999389648402</v>
      </c>
      <c r="D713">
        <v>60.950000762939403</v>
      </c>
      <c r="E713">
        <v>59.970001220703097</v>
      </c>
      <c r="F713">
        <v>60.409999847412102</v>
      </c>
      <c r="G713" s="2">
        <v>32132700</v>
      </c>
      <c r="H713" s="3">
        <f t="shared" si="11"/>
        <v>1.6596933924521995E-2</v>
      </c>
      <c r="J713" s="3">
        <v>-8.1122227055241414E-3</v>
      </c>
      <c r="K713" s="3">
        <v>0.22382898459603898</v>
      </c>
    </row>
    <row r="714" spans="1:11" x14ac:dyDescent="0.2">
      <c r="A714" s="1">
        <v>42692</v>
      </c>
      <c r="B714">
        <v>53.950843811035099</v>
      </c>
      <c r="C714">
        <v>60.349998474121001</v>
      </c>
      <c r="D714">
        <v>61.139999389648402</v>
      </c>
      <c r="E714">
        <v>60.299999237060497</v>
      </c>
      <c r="F714">
        <v>60.779998779296797</v>
      </c>
      <c r="G714" s="2">
        <v>27686300</v>
      </c>
      <c r="H714" s="3">
        <f t="shared" si="11"/>
        <v>-4.7824715377752236E-3</v>
      </c>
      <c r="J714" s="3">
        <v>-8.0955398283374391E-3</v>
      </c>
      <c r="K714" s="3">
        <v>0.22414335114743791</v>
      </c>
    </row>
    <row r="715" spans="1:11" x14ac:dyDescent="0.2">
      <c r="A715" s="1">
        <v>42695</v>
      </c>
      <c r="B715">
        <v>54.406780242919901</v>
      </c>
      <c r="C715">
        <v>60.860000610351499</v>
      </c>
      <c r="D715">
        <v>60.970001220703097</v>
      </c>
      <c r="E715">
        <v>60.419998168945298</v>
      </c>
      <c r="F715">
        <v>60.5</v>
      </c>
      <c r="G715" s="2">
        <v>19652600</v>
      </c>
      <c r="H715" s="3">
        <f t="shared" si="11"/>
        <v>8.4509601644366938E-3</v>
      </c>
      <c r="J715" s="3">
        <v>-8.0882890304054822E-3</v>
      </c>
      <c r="K715" s="3">
        <v>0.22445771769883685</v>
      </c>
    </row>
    <row r="716" spans="1:11" x14ac:dyDescent="0.2">
      <c r="A716" s="1">
        <v>42696</v>
      </c>
      <c r="B716">
        <v>54.639213562011697</v>
      </c>
      <c r="C716">
        <v>61.119998931884702</v>
      </c>
      <c r="D716">
        <v>61.259998321533203</v>
      </c>
      <c r="E716">
        <v>60.810001373291001</v>
      </c>
      <c r="F716">
        <v>60.9799995422363</v>
      </c>
      <c r="G716" s="2">
        <v>23206700</v>
      </c>
      <c r="H716" s="3">
        <f t="shared" si="11"/>
        <v>4.2721388410416061E-3</v>
      </c>
      <c r="J716" s="3">
        <v>-8.0762962436005115E-3</v>
      </c>
      <c r="K716" s="3">
        <v>0.22477208425023579</v>
      </c>
    </row>
    <row r="717" spans="1:11" x14ac:dyDescent="0.2">
      <c r="A717" s="1">
        <v>42697</v>
      </c>
      <c r="B717">
        <v>53.995555877685497</v>
      </c>
      <c r="C717">
        <v>60.400001525878899</v>
      </c>
      <c r="D717">
        <v>61.099998474121001</v>
      </c>
      <c r="E717">
        <v>60.25</v>
      </c>
      <c r="F717">
        <v>61.009998321533203</v>
      </c>
      <c r="G717" s="2">
        <v>21848900</v>
      </c>
      <c r="H717" s="3">
        <f t="shared" si="11"/>
        <v>-1.1780141813272915E-2</v>
      </c>
      <c r="J717" s="3">
        <v>-8.0710401718742109E-3</v>
      </c>
      <c r="K717" s="3">
        <v>0.2250864508016347</v>
      </c>
    </row>
    <row r="718" spans="1:11" x14ac:dyDescent="0.2">
      <c r="A718" s="1">
        <v>42699</v>
      </c>
      <c r="B718">
        <v>54.1117553710937</v>
      </c>
      <c r="C718">
        <v>60.529998779296797</v>
      </c>
      <c r="D718">
        <v>60.529998779296797</v>
      </c>
      <c r="E718">
        <v>60.130001068115199</v>
      </c>
      <c r="F718">
        <v>60.299999237060497</v>
      </c>
      <c r="G718" s="2">
        <v>8409600</v>
      </c>
      <c r="H718" s="3">
        <f t="shared" si="11"/>
        <v>2.1520195786377538E-3</v>
      </c>
      <c r="J718" s="3">
        <v>-8.0530882255828162E-3</v>
      </c>
      <c r="K718" s="3">
        <v>0.22540081735303363</v>
      </c>
    </row>
    <row r="719" spans="1:11" x14ac:dyDescent="0.2">
      <c r="A719" s="1">
        <v>42702</v>
      </c>
      <c r="B719">
        <v>54.183284759521399</v>
      </c>
      <c r="C719">
        <v>60.610000610351499</v>
      </c>
      <c r="D719">
        <v>61.020000457763601</v>
      </c>
      <c r="E719">
        <v>60.209999084472599</v>
      </c>
      <c r="F719">
        <v>60.340000152587798</v>
      </c>
      <c r="G719" s="2">
        <v>20732600</v>
      </c>
      <c r="H719" s="3">
        <f t="shared" si="11"/>
        <v>1.321882610112235E-3</v>
      </c>
      <c r="J719" s="3">
        <v>-8.0033397772805159E-3</v>
      </c>
      <c r="K719" s="3">
        <v>0.22571518390443257</v>
      </c>
    </row>
    <row r="720" spans="1:11" x14ac:dyDescent="0.2">
      <c r="A720" s="1">
        <v>42703</v>
      </c>
      <c r="B720">
        <v>54.6123847961425</v>
      </c>
      <c r="C720">
        <v>61.090000152587798</v>
      </c>
      <c r="D720">
        <v>61.409999847412102</v>
      </c>
      <c r="E720">
        <v>60.520000457763601</v>
      </c>
      <c r="F720">
        <v>60.650001525878899</v>
      </c>
      <c r="G720" s="2">
        <v>22366700</v>
      </c>
      <c r="H720" s="3">
        <f t="shared" si="11"/>
        <v>7.9194171878937958E-3</v>
      </c>
      <c r="J720" s="3">
        <v>-7.992786850700706E-3</v>
      </c>
      <c r="K720" s="3">
        <v>0.22602955045583151</v>
      </c>
    </row>
    <row r="721" spans="1:11" x14ac:dyDescent="0.2">
      <c r="A721" s="1">
        <v>42704</v>
      </c>
      <c r="B721">
        <v>53.8703804016113</v>
      </c>
      <c r="C721">
        <v>60.259998321533203</v>
      </c>
      <c r="D721">
        <v>61.180000305175703</v>
      </c>
      <c r="E721">
        <v>60.220001220703097</v>
      </c>
      <c r="F721">
        <v>60.860000610351499</v>
      </c>
      <c r="G721" s="2">
        <v>34655400</v>
      </c>
      <c r="H721" s="3">
        <f t="shared" si="11"/>
        <v>-1.358674222524725E-2</v>
      </c>
      <c r="J721" s="3">
        <v>-7.9758939642470272E-3</v>
      </c>
      <c r="K721" s="3">
        <v>0.22634391700723044</v>
      </c>
    </row>
    <row r="722" spans="1:11" x14ac:dyDescent="0.2">
      <c r="A722" s="1">
        <v>42705</v>
      </c>
      <c r="B722">
        <v>52.9227905273437</v>
      </c>
      <c r="C722">
        <v>59.200000762939403</v>
      </c>
      <c r="D722">
        <v>60.150001525878899</v>
      </c>
      <c r="E722">
        <v>58.939998626708899</v>
      </c>
      <c r="F722">
        <v>60.110000610351499</v>
      </c>
      <c r="G722" s="2">
        <v>34542100</v>
      </c>
      <c r="H722" s="3">
        <f t="shared" si="11"/>
        <v>-1.7590183458946917E-2</v>
      </c>
      <c r="J722" s="3">
        <v>-7.9582763395533718E-3</v>
      </c>
      <c r="K722" s="3">
        <v>0.22665828355862935</v>
      </c>
    </row>
    <row r="723" spans="1:11" x14ac:dyDescent="0.2">
      <c r="A723" s="1">
        <v>42706</v>
      </c>
      <c r="B723">
        <v>52.967491149902301</v>
      </c>
      <c r="C723">
        <v>59.25</v>
      </c>
      <c r="D723">
        <v>59.470001220703097</v>
      </c>
      <c r="E723">
        <v>58.799999237060497</v>
      </c>
      <c r="F723">
        <v>59.080001831054602</v>
      </c>
      <c r="G723" s="2">
        <v>25515700</v>
      </c>
      <c r="H723" s="3">
        <f t="shared" si="11"/>
        <v>8.4463842728599303E-4</v>
      </c>
      <c r="J723" s="3">
        <v>-7.944676371573034E-3</v>
      </c>
      <c r="K723" s="3">
        <v>0.22697265011002829</v>
      </c>
    </row>
    <row r="724" spans="1:11" x14ac:dyDescent="0.2">
      <c r="A724" s="1">
        <v>42709</v>
      </c>
      <c r="B724">
        <v>53.834632873535099</v>
      </c>
      <c r="C724">
        <v>60.220001220703097</v>
      </c>
      <c r="D724">
        <v>60.590000152587798</v>
      </c>
      <c r="E724">
        <v>59.560001373291001</v>
      </c>
      <c r="F724">
        <v>59.700000762939403</v>
      </c>
      <c r="G724" s="2">
        <v>23552700</v>
      </c>
      <c r="H724" s="3">
        <f t="shared" si="11"/>
        <v>1.6371206277803863E-2</v>
      </c>
      <c r="J724" s="3">
        <v>-7.9183299687193287E-3</v>
      </c>
      <c r="K724" s="3">
        <v>0.22728701666142723</v>
      </c>
    </row>
    <row r="725" spans="1:11" x14ac:dyDescent="0.2">
      <c r="A725" s="1">
        <v>42710</v>
      </c>
      <c r="B725">
        <v>53.593269348144503</v>
      </c>
      <c r="C725">
        <v>59.950000762939403</v>
      </c>
      <c r="D725">
        <v>60.459999084472599</v>
      </c>
      <c r="E725">
        <v>59.799999237060497</v>
      </c>
      <c r="F725">
        <v>60.430000305175703</v>
      </c>
      <c r="G725" s="2">
        <v>19907000</v>
      </c>
      <c r="H725" s="3">
        <f t="shared" si="11"/>
        <v>-4.4834247492240298E-3</v>
      </c>
      <c r="J725" s="3">
        <v>-7.9178215581634515E-3</v>
      </c>
      <c r="K725" s="3">
        <v>0.22760138321282616</v>
      </c>
    </row>
    <row r="726" spans="1:11" x14ac:dyDescent="0.2">
      <c r="A726" s="1">
        <v>42711</v>
      </c>
      <c r="B726">
        <v>54.862686157226499</v>
      </c>
      <c r="C726">
        <v>61.369998931884702</v>
      </c>
      <c r="D726">
        <v>61.380001068115199</v>
      </c>
      <c r="E726">
        <v>59.799999237060497</v>
      </c>
      <c r="F726">
        <v>60.009998321533203</v>
      </c>
      <c r="G726" s="2">
        <v>30809000</v>
      </c>
      <c r="H726" s="3">
        <f t="shared" si="11"/>
        <v>2.368612373385548E-2</v>
      </c>
      <c r="J726" s="3">
        <v>-7.9019204781762831E-3</v>
      </c>
      <c r="K726" s="3">
        <v>0.22791574976422507</v>
      </c>
    </row>
    <row r="727" spans="1:11" x14ac:dyDescent="0.2">
      <c r="A727" s="1">
        <v>42712</v>
      </c>
      <c r="B727">
        <v>54.540855407714801</v>
      </c>
      <c r="C727">
        <v>61.009998321533203</v>
      </c>
      <c r="D727">
        <v>61.580001831054602</v>
      </c>
      <c r="E727">
        <v>60.840000152587798</v>
      </c>
      <c r="F727">
        <v>61.299999237060497</v>
      </c>
      <c r="G727" s="2">
        <v>21220800</v>
      </c>
      <c r="H727" s="3">
        <f t="shared" si="11"/>
        <v>-5.8661136020461413E-3</v>
      </c>
      <c r="J727" s="3">
        <v>-7.8937573937248873E-3</v>
      </c>
      <c r="K727" s="3">
        <v>0.22823011631562401</v>
      </c>
    </row>
    <row r="728" spans="1:11" x14ac:dyDescent="0.2">
      <c r="A728" s="1">
        <v>42713</v>
      </c>
      <c r="B728">
        <v>55.399070739746001</v>
      </c>
      <c r="C728">
        <v>61.970001220703097</v>
      </c>
      <c r="D728">
        <v>61.990001678466797</v>
      </c>
      <c r="E728">
        <v>61.130001068115199</v>
      </c>
      <c r="F728">
        <v>61.180000305175703</v>
      </c>
      <c r="G728" s="2">
        <v>27349400</v>
      </c>
      <c r="H728" s="3">
        <f t="shared" si="11"/>
        <v>1.5735274513311026E-2</v>
      </c>
      <c r="J728" s="3">
        <v>-7.8922739955826771E-3</v>
      </c>
      <c r="K728" s="3">
        <v>0.22854448286702295</v>
      </c>
    </row>
    <row r="729" spans="1:11" x14ac:dyDescent="0.2">
      <c r="A729" s="1">
        <v>42716</v>
      </c>
      <c r="B729">
        <v>55.577865600585902</v>
      </c>
      <c r="C729">
        <v>62.169998168945298</v>
      </c>
      <c r="D729">
        <v>62.299999237060497</v>
      </c>
      <c r="E729">
        <v>61.720001220703097</v>
      </c>
      <c r="F729">
        <v>61.819999694824197</v>
      </c>
      <c r="G729" s="2">
        <v>20198100</v>
      </c>
      <c r="H729" s="3">
        <f t="shared" si="11"/>
        <v>3.2273981937323004E-3</v>
      </c>
      <c r="J729" s="3">
        <v>-7.8864300894048167E-3</v>
      </c>
      <c r="K729" s="3">
        <v>0.22885884941842188</v>
      </c>
    </row>
    <row r="730" spans="1:11" x14ac:dyDescent="0.2">
      <c r="A730" s="1">
        <v>42717</v>
      </c>
      <c r="B730">
        <v>56.301990509033203</v>
      </c>
      <c r="C730">
        <v>62.9799995422363</v>
      </c>
      <c r="D730">
        <v>63.419998168945298</v>
      </c>
      <c r="E730">
        <v>62.240001678466797</v>
      </c>
      <c r="F730">
        <v>62.5</v>
      </c>
      <c r="G730" s="2">
        <v>35718900</v>
      </c>
      <c r="H730" s="3">
        <f t="shared" si="11"/>
        <v>1.3029016149185502E-2</v>
      </c>
      <c r="J730" s="3">
        <v>-7.8415391449638827E-3</v>
      </c>
      <c r="K730" s="3">
        <v>0.22917321596982082</v>
      </c>
    </row>
    <row r="731" spans="1:11" x14ac:dyDescent="0.2">
      <c r="A731" s="1">
        <v>42718</v>
      </c>
      <c r="B731">
        <v>56.033790588378899</v>
      </c>
      <c r="C731">
        <v>62.680000305175703</v>
      </c>
      <c r="D731">
        <v>63.450000762939403</v>
      </c>
      <c r="E731">
        <v>62.529998779296797</v>
      </c>
      <c r="F731">
        <v>63</v>
      </c>
      <c r="G731" s="2">
        <v>30352700</v>
      </c>
      <c r="H731" s="3">
        <f t="shared" si="11"/>
        <v>-4.7635957135702123E-3</v>
      </c>
      <c r="J731" s="3">
        <v>-7.838462823520409E-3</v>
      </c>
      <c r="K731" s="3">
        <v>0.22948758252121973</v>
      </c>
    </row>
    <row r="732" spans="1:11" x14ac:dyDescent="0.2">
      <c r="A732" s="1">
        <v>42719</v>
      </c>
      <c r="B732">
        <v>55.944400787353501</v>
      </c>
      <c r="C732">
        <v>62.580001831054602</v>
      </c>
      <c r="D732">
        <v>63.150001525878899</v>
      </c>
      <c r="E732">
        <v>62.299999237060497</v>
      </c>
      <c r="F732">
        <v>62.700000762939403</v>
      </c>
      <c r="G732" s="2">
        <v>27669900</v>
      </c>
      <c r="H732" s="3">
        <f t="shared" si="11"/>
        <v>-1.5952838472422792E-3</v>
      </c>
      <c r="J732" s="3">
        <v>-7.8339664801152509E-3</v>
      </c>
      <c r="K732" s="3">
        <v>0.22980194907261867</v>
      </c>
    </row>
    <row r="733" spans="1:11" x14ac:dyDescent="0.2">
      <c r="A733" s="1">
        <v>42720</v>
      </c>
      <c r="B733">
        <v>55.694084167480398</v>
      </c>
      <c r="C733">
        <v>62.299999237060497</v>
      </c>
      <c r="D733">
        <v>62.950000762939403</v>
      </c>
      <c r="E733">
        <v>62.119998931884702</v>
      </c>
      <c r="F733">
        <v>62.950000762939403</v>
      </c>
      <c r="G733" s="2">
        <v>42453100</v>
      </c>
      <c r="H733" s="3">
        <f t="shared" si="11"/>
        <v>-4.4743819998102063E-3</v>
      </c>
      <c r="J733" s="3">
        <v>-7.829377000538873E-3</v>
      </c>
      <c r="K733" s="3">
        <v>0.2301163156240176</v>
      </c>
    </row>
    <row r="734" spans="1:11" x14ac:dyDescent="0.2">
      <c r="A734" s="1">
        <v>42723</v>
      </c>
      <c r="B734">
        <v>56.874114990234297</v>
      </c>
      <c r="C734">
        <v>63.619998931884702</v>
      </c>
      <c r="D734">
        <v>63.770000457763601</v>
      </c>
      <c r="E734">
        <v>62.419998168945298</v>
      </c>
      <c r="F734">
        <v>62.560001373291001</v>
      </c>
      <c r="G734" s="2">
        <v>34338200</v>
      </c>
      <c r="H734" s="3">
        <f t="shared" si="11"/>
        <v>2.1187722904381978E-2</v>
      </c>
      <c r="J734" s="3">
        <v>-7.8289439236666203E-3</v>
      </c>
      <c r="K734" s="3">
        <v>0.23043068217541654</v>
      </c>
    </row>
    <row r="735" spans="1:11" x14ac:dyDescent="0.2">
      <c r="A735" s="1">
        <v>42724</v>
      </c>
      <c r="B735">
        <v>56.802597045898402</v>
      </c>
      <c r="C735">
        <v>63.540000915527301</v>
      </c>
      <c r="D735">
        <v>63.799999237060497</v>
      </c>
      <c r="E735">
        <v>63.029998779296797</v>
      </c>
      <c r="F735">
        <v>63.689998626708899</v>
      </c>
      <c r="G735" s="2">
        <v>26028400</v>
      </c>
      <c r="H735" s="3">
        <f t="shared" si="11"/>
        <v>-1.257477929075046E-3</v>
      </c>
      <c r="J735" s="3">
        <v>-7.8103139683748379E-3</v>
      </c>
      <c r="K735" s="3">
        <v>0.23074504872681548</v>
      </c>
    </row>
    <row r="736" spans="1:11" x14ac:dyDescent="0.2">
      <c r="A736" s="1">
        <v>42725</v>
      </c>
      <c r="B736">
        <v>56.802597045898402</v>
      </c>
      <c r="C736">
        <v>63.540000915527301</v>
      </c>
      <c r="D736">
        <v>63.700000762939403</v>
      </c>
      <c r="E736">
        <v>63.119998931884702</v>
      </c>
      <c r="F736">
        <v>63.430000305175703</v>
      </c>
      <c r="G736" s="2">
        <v>17096300</v>
      </c>
      <c r="H736" s="3">
        <f t="shared" si="11"/>
        <v>0</v>
      </c>
      <c r="J736" s="3">
        <v>-7.8102240617942131E-3</v>
      </c>
      <c r="K736" s="3">
        <v>0.23105941527821439</v>
      </c>
    </row>
    <row r="737" spans="1:11" x14ac:dyDescent="0.2">
      <c r="A737" s="1">
        <v>42726</v>
      </c>
      <c r="B737">
        <v>56.811527252197202</v>
      </c>
      <c r="C737">
        <v>63.549999237060497</v>
      </c>
      <c r="D737">
        <v>64.099998474121094</v>
      </c>
      <c r="E737">
        <v>63.409999847412102</v>
      </c>
      <c r="F737">
        <v>63.840000152587798</v>
      </c>
      <c r="G737" s="2">
        <v>22176600</v>
      </c>
      <c r="H737" s="3">
        <f t="shared" si="11"/>
        <v>1.5721475360686021E-4</v>
      </c>
      <c r="J737" s="3">
        <v>-7.8077441441710693E-3</v>
      </c>
      <c r="K737" s="3">
        <v>0.23137378182961332</v>
      </c>
    </row>
    <row r="738" spans="1:11" x14ac:dyDescent="0.2">
      <c r="A738" s="1">
        <v>42727</v>
      </c>
      <c r="B738">
        <v>56.534404754638601</v>
      </c>
      <c r="C738">
        <v>63.240001678466797</v>
      </c>
      <c r="D738">
        <v>63.540000915527301</v>
      </c>
      <c r="E738">
        <v>62.799999237060497</v>
      </c>
      <c r="F738">
        <v>63.450000762939403</v>
      </c>
      <c r="G738" s="2">
        <v>12403800</v>
      </c>
      <c r="H738" s="3">
        <f t="shared" si="11"/>
        <v>-4.877927261634829E-3</v>
      </c>
      <c r="J738" s="3">
        <v>-7.7960242078484177E-3</v>
      </c>
      <c r="K738" s="3">
        <v>0.23168814838101226</v>
      </c>
    </row>
    <row r="739" spans="1:11" x14ac:dyDescent="0.2">
      <c r="A739" s="1">
        <v>42731</v>
      </c>
      <c r="B739">
        <v>56.570163726806598</v>
      </c>
      <c r="C739">
        <v>63.279998779296797</v>
      </c>
      <c r="D739">
        <v>64.069999694824205</v>
      </c>
      <c r="E739">
        <v>63.209999084472599</v>
      </c>
      <c r="F739">
        <v>63.209999084472599</v>
      </c>
      <c r="G739" s="2">
        <v>11763200</v>
      </c>
      <c r="H739" s="3">
        <f t="shared" si="11"/>
        <v>6.3251700134081545E-4</v>
      </c>
      <c r="J739" s="3">
        <v>-7.7720652046540106E-3</v>
      </c>
      <c r="K739" s="3">
        <v>0.2320025149324112</v>
      </c>
    </row>
    <row r="740" spans="1:11" x14ac:dyDescent="0.2">
      <c r="A740" s="1">
        <v>42732</v>
      </c>
      <c r="B740">
        <v>56.310920715332003</v>
      </c>
      <c r="C740">
        <v>62.990001678466797</v>
      </c>
      <c r="D740">
        <v>63.400001525878899</v>
      </c>
      <c r="E740">
        <v>62.830001831054602</v>
      </c>
      <c r="F740">
        <v>63.400001525878899</v>
      </c>
      <c r="G740" s="2">
        <v>14653300</v>
      </c>
      <c r="H740" s="3">
        <f t="shared" si="11"/>
        <v>-4.5826809469131646E-3</v>
      </c>
      <c r="J740" s="3">
        <v>-7.7528533943004296E-3</v>
      </c>
      <c r="K740" s="3">
        <v>0.23231688148381013</v>
      </c>
    </row>
    <row r="741" spans="1:11" x14ac:dyDescent="0.2">
      <c r="A741" s="1">
        <v>42733</v>
      </c>
      <c r="B741">
        <v>56.230464935302699</v>
      </c>
      <c r="C741">
        <v>62.900001525878899</v>
      </c>
      <c r="D741">
        <v>63.200000762939403</v>
      </c>
      <c r="E741">
        <v>62.7299995422363</v>
      </c>
      <c r="F741">
        <v>62.860000610351499</v>
      </c>
      <c r="G741" s="2">
        <v>10250600</v>
      </c>
      <c r="H741" s="3">
        <f t="shared" si="11"/>
        <v>-1.4287775622784382E-3</v>
      </c>
      <c r="J741" s="3">
        <v>-7.7499443447411887E-3</v>
      </c>
      <c r="K741" s="3">
        <v>0.23263124803520904</v>
      </c>
    </row>
    <row r="742" spans="1:11" x14ac:dyDescent="0.2">
      <c r="A742" s="1">
        <v>42734</v>
      </c>
      <c r="B742">
        <v>55.551052093505803</v>
      </c>
      <c r="C742">
        <v>62.139999389648402</v>
      </c>
      <c r="D742">
        <v>62.990001678466797</v>
      </c>
      <c r="E742">
        <v>62.029998779296797</v>
      </c>
      <c r="F742">
        <v>62.959999084472599</v>
      </c>
      <c r="G742" s="2">
        <v>25579900</v>
      </c>
      <c r="H742" s="3">
        <f t="shared" si="11"/>
        <v>-1.2082646703679423E-2</v>
      </c>
      <c r="J742" s="3">
        <v>-7.7327122385474345E-3</v>
      </c>
      <c r="K742" s="3">
        <v>0.23294561458660798</v>
      </c>
    </row>
    <row r="743" spans="1:11" x14ac:dyDescent="0.2">
      <c r="A743" s="1">
        <v>42738</v>
      </c>
      <c r="B743">
        <v>55.944400787353501</v>
      </c>
      <c r="C743">
        <v>62.580001831054602</v>
      </c>
      <c r="D743">
        <v>62.840000152587798</v>
      </c>
      <c r="E743">
        <v>62.130001068115199</v>
      </c>
      <c r="F743">
        <v>62.790000915527301</v>
      </c>
      <c r="G743" s="2">
        <v>20694100</v>
      </c>
      <c r="H743" s="3">
        <f t="shared" si="11"/>
        <v>7.0808504794039884E-3</v>
      </c>
      <c r="J743" s="3">
        <v>-7.7218361572565231E-3</v>
      </c>
      <c r="K743" s="3">
        <v>0.23325998113800692</v>
      </c>
    </row>
    <row r="744" spans="1:11" x14ac:dyDescent="0.2">
      <c r="A744" s="1">
        <v>42739</v>
      </c>
      <c r="B744">
        <v>55.694084167480398</v>
      </c>
      <c r="C744">
        <v>62.299999237060497</v>
      </c>
      <c r="D744">
        <v>62.75</v>
      </c>
      <c r="E744">
        <v>62.119998931884702</v>
      </c>
      <c r="F744">
        <v>62.4799995422363</v>
      </c>
      <c r="G744" s="2">
        <v>21340000</v>
      </c>
      <c r="H744" s="3">
        <f t="shared" si="11"/>
        <v>-4.4743819998102063E-3</v>
      </c>
      <c r="J744" s="3">
        <v>-7.6910481838957656E-3</v>
      </c>
      <c r="K744" s="3">
        <v>0.23357434768940585</v>
      </c>
    </row>
    <row r="745" spans="1:11" x14ac:dyDescent="0.2">
      <c r="A745" s="1">
        <v>42740</v>
      </c>
      <c r="B745">
        <v>55.694084167480398</v>
      </c>
      <c r="C745">
        <v>62.299999237060497</v>
      </c>
      <c r="D745">
        <v>62.659999847412102</v>
      </c>
      <c r="E745">
        <v>62.029998779296797</v>
      </c>
      <c r="F745">
        <v>62.189998626708899</v>
      </c>
      <c r="G745" s="2">
        <v>24876000</v>
      </c>
      <c r="H745" s="3">
        <f t="shared" si="11"/>
        <v>0</v>
      </c>
      <c r="J745" s="3">
        <v>-7.6787746393771616E-3</v>
      </c>
      <c r="K745" s="3">
        <v>0.23388871424080479</v>
      </c>
    </row>
    <row r="746" spans="1:11" x14ac:dyDescent="0.2">
      <c r="A746" s="1">
        <v>42741</v>
      </c>
      <c r="B746">
        <v>56.176826477050703</v>
      </c>
      <c r="C746">
        <v>62.840000152587798</v>
      </c>
      <c r="D746">
        <v>63.150001525878899</v>
      </c>
      <c r="E746">
        <v>62.040000915527301</v>
      </c>
      <c r="F746">
        <v>62.299999237060497</v>
      </c>
      <c r="G746" s="2">
        <v>19922900</v>
      </c>
      <c r="H746" s="3">
        <f t="shared" si="11"/>
        <v>8.6677484114583425E-3</v>
      </c>
      <c r="J746" s="3">
        <v>-7.67049262572983E-3</v>
      </c>
      <c r="K746" s="3">
        <v>0.2342030807922037</v>
      </c>
    </row>
    <row r="747" spans="1:11" x14ac:dyDescent="0.2">
      <c r="A747" s="1">
        <v>42744</v>
      </c>
      <c r="B747">
        <v>55.998016357421797</v>
      </c>
      <c r="C747">
        <v>62.639999389648402</v>
      </c>
      <c r="D747">
        <v>63.080001831054602</v>
      </c>
      <c r="E747">
        <v>62.540000915527301</v>
      </c>
      <c r="F747">
        <v>62.759998321533203</v>
      </c>
      <c r="G747" s="2">
        <v>20382700</v>
      </c>
      <c r="H747" s="3">
        <f t="shared" si="11"/>
        <v>-3.1829872002818727E-3</v>
      </c>
      <c r="J747" s="3">
        <v>-7.6698261492148534E-3</v>
      </c>
      <c r="K747" s="3">
        <v>0.23451744734360264</v>
      </c>
    </row>
    <row r="748" spans="1:11" x14ac:dyDescent="0.2">
      <c r="A748" s="1">
        <v>42745</v>
      </c>
      <c r="B748">
        <v>55.980148315429602</v>
      </c>
      <c r="C748">
        <v>62.619998931884702</v>
      </c>
      <c r="D748">
        <v>63.069999694824197</v>
      </c>
      <c r="E748">
        <v>62.279998779296797</v>
      </c>
      <c r="F748">
        <v>62.7299995422363</v>
      </c>
      <c r="G748" s="2">
        <v>18593000</v>
      </c>
      <c r="H748" s="3">
        <f t="shared" si="11"/>
        <v>-3.1908348106735041E-4</v>
      </c>
      <c r="J748" s="3">
        <v>-7.6607655126056384E-3</v>
      </c>
      <c r="K748" s="3">
        <v>0.23483181389500157</v>
      </c>
    </row>
    <row r="749" spans="1:11" x14ac:dyDescent="0.2">
      <c r="A749" s="1">
        <v>42746</v>
      </c>
      <c r="B749">
        <v>56.489719390869098</v>
      </c>
      <c r="C749">
        <v>63.189998626708899</v>
      </c>
      <c r="D749">
        <v>63.2299995422363</v>
      </c>
      <c r="E749">
        <v>62.430000305175703</v>
      </c>
      <c r="F749">
        <v>62.610000610351499</v>
      </c>
      <c r="G749" s="2">
        <v>21517300</v>
      </c>
      <c r="H749" s="3">
        <f t="shared" si="11"/>
        <v>9.1027103495373574E-3</v>
      </c>
      <c r="J749" s="3">
        <v>-7.6387949855076798E-3</v>
      </c>
      <c r="K749" s="3">
        <v>0.23514618044640051</v>
      </c>
    </row>
    <row r="750" spans="1:11" x14ac:dyDescent="0.2">
      <c r="A750" s="1">
        <v>42747</v>
      </c>
      <c r="B750">
        <v>55.9712104797363</v>
      </c>
      <c r="C750">
        <v>62.610000610351499</v>
      </c>
      <c r="D750">
        <v>63.400001525878899</v>
      </c>
      <c r="E750">
        <v>61.950000762939403</v>
      </c>
      <c r="F750">
        <v>63.060001373291001</v>
      </c>
      <c r="G750" s="2">
        <v>20968200</v>
      </c>
      <c r="H750" s="3">
        <f t="shared" si="11"/>
        <v>-9.1788190262565017E-3</v>
      </c>
      <c r="J750" s="3">
        <v>-7.6358917018715111E-3</v>
      </c>
      <c r="K750" s="3">
        <v>0.23546054699779945</v>
      </c>
    </row>
    <row r="751" spans="1:11" x14ac:dyDescent="0.2">
      <c r="A751" s="1">
        <v>42748</v>
      </c>
      <c r="B751">
        <v>56.051662445068303</v>
      </c>
      <c r="C751">
        <v>62.700000762939403</v>
      </c>
      <c r="D751">
        <v>62.869998931884702</v>
      </c>
      <c r="E751">
        <v>62.349998474121001</v>
      </c>
      <c r="F751">
        <v>62.619998931884702</v>
      </c>
      <c r="G751" s="2">
        <v>19422300</v>
      </c>
      <c r="H751" s="3">
        <f t="shared" si="11"/>
        <v>1.4373811936965186E-3</v>
      </c>
      <c r="J751" s="3">
        <v>-7.6279822197039548E-3</v>
      </c>
      <c r="K751" s="3">
        <v>0.23577491354919836</v>
      </c>
    </row>
    <row r="752" spans="1:11" x14ac:dyDescent="0.2">
      <c r="A752" s="1">
        <v>42752</v>
      </c>
      <c r="B752">
        <v>55.899688720703097</v>
      </c>
      <c r="C752">
        <v>62.529998779296797</v>
      </c>
      <c r="D752">
        <v>62.700000762939403</v>
      </c>
      <c r="E752">
        <v>62.029998779296797</v>
      </c>
      <c r="F752">
        <v>62.680000305175703</v>
      </c>
      <c r="G752" s="2">
        <v>20664000</v>
      </c>
      <c r="H752" s="3">
        <f t="shared" si="11"/>
        <v>-2.711315199868336E-3</v>
      </c>
      <c r="J752" s="3">
        <v>-7.5788273449202137E-3</v>
      </c>
      <c r="K752" s="3">
        <v>0.23608928010059729</v>
      </c>
    </row>
    <row r="753" spans="1:11" x14ac:dyDescent="0.2">
      <c r="A753" s="1">
        <v>42753</v>
      </c>
      <c r="B753">
        <v>55.8728828430175</v>
      </c>
      <c r="C753">
        <v>62.5</v>
      </c>
      <c r="D753">
        <v>62.700000762939403</v>
      </c>
      <c r="E753">
        <v>62.119998931884702</v>
      </c>
      <c r="F753">
        <v>62.669998168945298</v>
      </c>
      <c r="G753" s="2">
        <v>19670100</v>
      </c>
      <c r="H753" s="3">
        <f t="shared" si="11"/>
        <v>-4.7953536592182378E-4</v>
      </c>
      <c r="J753" s="3">
        <v>-7.501759077118697E-3</v>
      </c>
      <c r="K753" s="3">
        <v>0.23640364665199623</v>
      </c>
    </row>
    <row r="754" spans="1:11" x14ac:dyDescent="0.2">
      <c r="A754" s="1">
        <v>42754</v>
      </c>
      <c r="B754">
        <v>55.694084167480398</v>
      </c>
      <c r="C754">
        <v>62.299999237060497</v>
      </c>
      <c r="D754">
        <v>62.9799995422363</v>
      </c>
      <c r="E754">
        <v>62.200000762939403</v>
      </c>
      <c r="F754">
        <v>62.240001678466797</v>
      </c>
      <c r="G754" s="2">
        <v>18451700</v>
      </c>
      <c r="H754" s="3">
        <f t="shared" si="11"/>
        <v>-3.2000975507109342E-3</v>
      </c>
      <c r="J754" s="3">
        <v>-7.4883255702951068E-3</v>
      </c>
      <c r="K754" s="3">
        <v>0.23671801320339517</v>
      </c>
    </row>
    <row r="755" spans="1:11" x14ac:dyDescent="0.2">
      <c r="A755" s="1">
        <v>42755</v>
      </c>
      <c r="B755">
        <v>56.0874214172363</v>
      </c>
      <c r="C755">
        <v>62.740001678466797</v>
      </c>
      <c r="D755">
        <v>62.819999694824197</v>
      </c>
      <c r="E755">
        <v>62.369998931884702</v>
      </c>
      <c r="F755">
        <v>62.669998168945298</v>
      </c>
      <c r="G755" s="2">
        <v>30213500</v>
      </c>
      <c r="H755" s="3">
        <f t="shared" si="11"/>
        <v>7.0624601451938496E-3</v>
      </c>
      <c r="J755" s="3">
        <v>-7.4838591254802189E-3</v>
      </c>
      <c r="K755" s="3">
        <v>0.2370323797547941</v>
      </c>
    </row>
    <row r="756" spans="1:11" x14ac:dyDescent="0.2">
      <c r="A756" s="1">
        <v>42758</v>
      </c>
      <c r="B756">
        <v>56.284095764160099</v>
      </c>
      <c r="C756">
        <v>62.959999084472599</v>
      </c>
      <c r="D756">
        <v>63.119998931884702</v>
      </c>
      <c r="E756">
        <v>62.569999694824197</v>
      </c>
      <c r="F756">
        <v>62.700000762939403</v>
      </c>
      <c r="G756" s="2">
        <v>23097600</v>
      </c>
      <c r="H756" s="3">
        <f t="shared" si="11"/>
        <v>3.5065678177774728E-3</v>
      </c>
      <c r="J756" s="3">
        <v>-7.4590042350434205E-3</v>
      </c>
      <c r="K756" s="3">
        <v>0.23734674630619301</v>
      </c>
    </row>
    <row r="757" spans="1:11" x14ac:dyDescent="0.2">
      <c r="A757" s="1">
        <v>42759</v>
      </c>
      <c r="B757">
        <v>56.784713745117102</v>
      </c>
      <c r="C757">
        <v>63.520000457763601</v>
      </c>
      <c r="D757">
        <v>63.740001678466797</v>
      </c>
      <c r="E757">
        <v>62.939998626708899</v>
      </c>
      <c r="F757">
        <v>63.200000762939403</v>
      </c>
      <c r="G757" s="2">
        <v>24672900</v>
      </c>
      <c r="H757" s="3">
        <f t="shared" si="11"/>
        <v>8.8944838530351511E-3</v>
      </c>
      <c r="J757" s="3">
        <v>-7.4277039830178415E-3</v>
      </c>
      <c r="K757" s="3">
        <v>0.23766111285759195</v>
      </c>
    </row>
    <row r="758" spans="1:11" x14ac:dyDescent="0.2">
      <c r="A758" s="1">
        <v>42760</v>
      </c>
      <c r="B758">
        <v>56.927749633788999</v>
      </c>
      <c r="C758">
        <v>63.680000305175703</v>
      </c>
      <c r="D758">
        <v>64.099998474121094</v>
      </c>
      <c r="E758">
        <v>63.450000762939403</v>
      </c>
      <c r="F758">
        <v>63.950000762939403</v>
      </c>
      <c r="G758" s="2">
        <v>23672700</v>
      </c>
      <c r="H758" s="3">
        <f t="shared" si="11"/>
        <v>2.5189153777180895E-3</v>
      </c>
      <c r="J758" s="3">
        <v>-7.4141768281340559E-3</v>
      </c>
      <c r="K758" s="3">
        <v>0.23797547940899089</v>
      </c>
    </row>
    <row r="759" spans="1:11" x14ac:dyDescent="0.2">
      <c r="A759" s="1">
        <v>42761</v>
      </c>
      <c r="B759">
        <v>57.455177307128899</v>
      </c>
      <c r="C759">
        <v>64.269996643066406</v>
      </c>
      <c r="D759">
        <v>64.540000915527301</v>
      </c>
      <c r="E759">
        <v>63.549999237060497</v>
      </c>
      <c r="F759">
        <v>64.120002746582003</v>
      </c>
      <c r="G759" s="2">
        <v>43554600</v>
      </c>
      <c r="H759" s="3">
        <f t="shared" si="11"/>
        <v>9.2648607530210203E-3</v>
      </c>
      <c r="J759" s="3">
        <v>-7.4049026529803275E-3</v>
      </c>
      <c r="K759" s="3">
        <v>0.23828984596038982</v>
      </c>
    </row>
    <row r="760" spans="1:11" x14ac:dyDescent="0.2">
      <c r="A760" s="1">
        <v>42762</v>
      </c>
      <c r="B760">
        <v>58.8050727844238</v>
      </c>
      <c r="C760">
        <v>65.779998779296804</v>
      </c>
      <c r="D760">
        <v>65.910003662109304</v>
      </c>
      <c r="E760">
        <v>64.889999389648395</v>
      </c>
      <c r="F760">
        <v>65.389999389648395</v>
      </c>
      <c r="G760" s="2">
        <v>44818000</v>
      </c>
      <c r="H760" s="3">
        <f t="shared" si="11"/>
        <v>2.3494757836686864E-2</v>
      </c>
      <c r="J760" s="3">
        <v>-7.4029906742418827E-3</v>
      </c>
      <c r="K760" s="3">
        <v>0.23860421251178873</v>
      </c>
    </row>
    <row r="761" spans="1:11" x14ac:dyDescent="0.2">
      <c r="A761" s="1">
        <v>42765</v>
      </c>
      <c r="B761">
        <v>58.224002838134702</v>
      </c>
      <c r="C761">
        <v>65.129997253417898</v>
      </c>
      <c r="D761">
        <v>65.790000915527301</v>
      </c>
      <c r="E761">
        <v>64.800003051757798</v>
      </c>
      <c r="F761">
        <v>65.690002441406193</v>
      </c>
      <c r="G761" s="2">
        <v>31651400</v>
      </c>
      <c r="H761" s="3">
        <f t="shared" si="11"/>
        <v>-9.8812894666293616E-3</v>
      </c>
      <c r="J761" s="3">
        <v>-7.4008170843031795E-3</v>
      </c>
      <c r="K761" s="3">
        <v>0.23891857906318767</v>
      </c>
    </row>
    <row r="762" spans="1:11" x14ac:dyDescent="0.2">
      <c r="A762" s="1">
        <v>42766</v>
      </c>
      <c r="B762">
        <v>57.794914245605398</v>
      </c>
      <c r="C762">
        <v>64.650001525878906</v>
      </c>
      <c r="D762">
        <v>65.150001525878906</v>
      </c>
      <c r="E762">
        <v>64.260002136230398</v>
      </c>
      <c r="F762">
        <v>64.860000610351506</v>
      </c>
      <c r="G762" s="2">
        <v>25270500</v>
      </c>
      <c r="H762" s="3">
        <f t="shared" si="11"/>
        <v>-7.3696168523862404E-3</v>
      </c>
      <c r="J762" s="3">
        <v>-7.3833422943266891E-3</v>
      </c>
      <c r="K762" s="3">
        <v>0.23923294561458661</v>
      </c>
    </row>
    <row r="763" spans="1:11" x14ac:dyDescent="0.2">
      <c r="A763" s="1">
        <v>42767</v>
      </c>
      <c r="B763">
        <v>56.838367462158203</v>
      </c>
      <c r="C763">
        <v>63.580001831054602</v>
      </c>
      <c r="D763">
        <v>64.620002746582003</v>
      </c>
      <c r="E763">
        <v>63.470001220703097</v>
      </c>
      <c r="F763">
        <v>64.360000610351506</v>
      </c>
      <c r="G763" s="2">
        <v>39671500</v>
      </c>
      <c r="H763" s="3">
        <f t="shared" si="11"/>
        <v>-1.6550708586265062E-2</v>
      </c>
      <c r="J763" s="3">
        <v>-7.3753922195076704E-3</v>
      </c>
      <c r="K763" s="3">
        <v>0.23954731216598554</v>
      </c>
    </row>
    <row r="764" spans="1:11" x14ac:dyDescent="0.2">
      <c r="A764" s="1">
        <v>42768</v>
      </c>
      <c r="B764">
        <v>56.471836090087798</v>
      </c>
      <c r="C764">
        <v>63.169998168945298</v>
      </c>
      <c r="D764">
        <v>63.409999847412102</v>
      </c>
      <c r="E764">
        <v>62.75</v>
      </c>
      <c r="F764">
        <v>63.25</v>
      </c>
      <c r="G764" s="2">
        <v>45827000</v>
      </c>
      <c r="H764" s="3">
        <f t="shared" si="11"/>
        <v>-6.4486611497847068E-3</v>
      </c>
      <c r="J764" s="3">
        <v>-7.372112479363091E-3</v>
      </c>
      <c r="K764" s="3">
        <v>0.23986167871738448</v>
      </c>
    </row>
    <row r="765" spans="1:11" x14ac:dyDescent="0.2">
      <c r="A765" s="1">
        <v>42769</v>
      </c>
      <c r="B765">
        <v>56.927749633788999</v>
      </c>
      <c r="C765">
        <v>63.680000305175703</v>
      </c>
      <c r="D765">
        <v>63.700000762939403</v>
      </c>
      <c r="E765">
        <v>63.069999694824197</v>
      </c>
      <c r="F765">
        <v>63.5</v>
      </c>
      <c r="G765" s="2">
        <v>30301800</v>
      </c>
      <c r="H765" s="3">
        <f t="shared" si="11"/>
        <v>8.0732906040790198E-3</v>
      </c>
      <c r="J765" s="3">
        <v>-7.3696168523862404E-3</v>
      </c>
      <c r="K765" s="3">
        <v>0.24017604526878339</v>
      </c>
    </row>
    <row r="766" spans="1:11" x14ac:dyDescent="0.2">
      <c r="A766" s="1">
        <v>42772</v>
      </c>
      <c r="B766">
        <v>56.891994476318303</v>
      </c>
      <c r="C766">
        <v>63.639999389648402</v>
      </c>
      <c r="D766">
        <v>63.650001525878899</v>
      </c>
      <c r="E766">
        <v>63.139999389648402</v>
      </c>
      <c r="F766">
        <v>63.5</v>
      </c>
      <c r="G766" s="2">
        <v>19796400</v>
      </c>
      <c r="H766" s="3">
        <f t="shared" si="11"/>
        <v>-6.2807958685717757E-4</v>
      </c>
      <c r="J766" s="3">
        <v>-7.3241043244290926E-3</v>
      </c>
      <c r="K766" s="3">
        <v>0.24049041182018233</v>
      </c>
    </row>
    <row r="767" spans="1:11" x14ac:dyDescent="0.2">
      <c r="A767" s="1">
        <v>42773</v>
      </c>
      <c r="B767">
        <v>56.704257965087798</v>
      </c>
      <c r="C767">
        <v>63.430000305175703</v>
      </c>
      <c r="D767">
        <v>63.779998779296797</v>
      </c>
      <c r="E767">
        <v>63.2299995422363</v>
      </c>
      <c r="F767">
        <v>63.740001678466797</v>
      </c>
      <c r="G767" s="2">
        <v>20277200</v>
      </c>
      <c r="H767" s="3">
        <f t="shared" si="11"/>
        <v>-3.2998757199248496E-3</v>
      </c>
      <c r="J767" s="3">
        <v>-7.3239666039772722E-3</v>
      </c>
      <c r="K767" s="3">
        <v>0.24080477837158126</v>
      </c>
    </row>
    <row r="768" spans="1:11" x14ac:dyDescent="0.2">
      <c r="A768" s="1">
        <v>42774</v>
      </c>
      <c r="B768">
        <v>56.623809814453097</v>
      </c>
      <c r="C768">
        <v>63.340000152587798</v>
      </c>
      <c r="D768">
        <v>63.810001373291001</v>
      </c>
      <c r="E768">
        <v>63.220001220703097</v>
      </c>
      <c r="F768">
        <v>63.569999694824197</v>
      </c>
      <c r="G768" s="2">
        <v>18096400</v>
      </c>
      <c r="H768" s="3">
        <f t="shared" si="11"/>
        <v>-1.4187320938796599E-3</v>
      </c>
      <c r="J768" s="3">
        <v>-7.2957211255741949E-3</v>
      </c>
      <c r="K768" s="3">
        <v>0.2411191449229802</v>
      </c>
    </row>
    <row r="769" spans="1:11" x14ac:dyDescent="0.2">
      <c r="A769" s="1">
        <v>42775</v>
      </c>
      <c r="B769">
        <v>57.267459869384702</v>
      </c>
      <c r="C769">
        <v>64.059997558593693</v>
      </c>
      <c r="D769">
        <v>64.440002441406193</v>
      </c>
      <c r="E769">
        <v>63.319999694824197</v>
      </c>
      <c r="F769">
        <v>63.520000457763601</v>
      </c>
      <c r="G769" s="2">
        <v>22644400</v>
      </c>
      <c r="H769" s="3">
        <f t="shared" si="11"/>
        <v>1.1367127309884983E-2</v>
      </c>
      <c r="J769" s="3">
        <v>-7.28598793938251E-3</v>
      </c>
      <c r="K769" s="3">
        <v>0.24143351147437914</v>
      </c>
    </row>
    <row r="770" spans="1:11" x14ac:dyDescent="0.2">
      <c r="A770" s="1">
        <v>42776</v>
      </c>
      <c r="B770">
        <v>57.213821411132798</v>
      </c>
      <c r="C770">
        <v>64</v>
      </c>
      <c r="D770">
        <v>64.300003051757798</v>
      </c>
      <c r="E770">
        <v>63.9799995422363</v>
      </c>
      <c r="F770">
        <v>64.25</v>
      </c>
      <c r="G770" s="2">
        <v>18170700</v>
      </c>
      <c r="H770" s="3">
        <f t="shared" ref="H770:H833" si="12">B770/B769-1</f>
        <v>-9.366306515818934E-4</v>
      </c>
      <c r="J770" s="3">
        <v>-7.2770096048165867E-3</v>
      </c>
      <c r="K770" s="3">
        <v>0.24174787802577805</v>
      </c>
    </row>
    <row r="771" spans="1:11" x14ac:dyDescent="0.2">
      <c r="A771" s="1">
        <v>42779</v>
      </c>
      <c r="B771">
        <v>57.857490539550703</v>
      </c>
      <c r="C771">
        <v>64.720001220703097</v>
      </c>
      <c r="D771">
        <v>64.860000610351506</v>
      </c>
      <c r="E771">
        <v>64.129997253417898</v>
      </c>
      <c r="F771">
        <v>64.239997863769503</v>
      </c>
      <c r="G771" s="2">
        <v>22920100</v>
      </c>
      <c r="H771" s="3">
        <f t="shared" si="12"/>
        <v>1.1250238360982046E-2</v>
      </c>
      <c r="J771" s="3">
        <v>-7.2698157137932595E-3</v>
      </c>
      <c r="K771" s="3">
        <v>0.24206224457717698</v>
      </c>
    </row>
    <row r="772" spans="1:11" x14ac:dyDescent="0.2">
      <c r="A772" s="1">
        <v>42780</v>
      </c>
      <c r="B772">
        <v>58.073333740234297</v>
      </c>
      <c r="C772">
        <v>64.569999694824205</v>
      </c>
      <c r="D772">
        <v>64.720001220703097</v>
      </c>
      <c r="E772">
        <v>64.019996643066406</v>
      </c>
      <c r="F772">
        <v>64.410003662109304</v>
      </c>
      <c r="G772" s="2">
        <v>23108400</v>
      </c>
      <c r="H772" s="3">
        <f t="shared" si="12"/>
        <v>3.7306008032969018E-3</v>
      </c>
      <c r="J772" s="3">
        <v>-7.2477853504222534E-3</v>
      </c>
      <c r="K772" s="3">
        <v>0.24237661112857592</v>
      </c>
    </row>
    <row r="773" spans="1:11" x14ac:dyDescent="0.2">
      <c r="A773" s="1">
        <v>42781</v>
      </c>
      <c r="B773">
        <v>58.037357330322202</v>
      </c>
      <c r="C773">
        <v>64.529998779296804</v>
      </c>
      <c r="D773">
        <v>64.569999694824205</v>
      </c>
      <c r="E773">
        <v>64.160003662109304</v>
      </c>
      <c r="F773">
        <v>64.5</v>
      </c>
      <c r="G773" s="2">
        <v>17005200</v>
      </c>
      <c r="H773" s="3">
        <f t="shared" si="12"/>
        <v>-6.1949964975349658E-4</v>
      </c>
      <c r="J773" s="3">
        <v>-7.2428832800115472E-3</v>
      </c>
      <c r="K773" s="3">
        <v>0.24269097767997486</v>
      </c>
    </row>
    <row r="774" spans="1:11" x14ac:dyDescent="0.2">
      <c r="A774" s="1">
        <v>42782</v>
      </c>
      <c r="B774">
        <v>58.028373718261697</v>
      </c>
      <c r="C774">
        <v>64.519996643066406</v>
      </c>
      <c r="D774">
        <v>65.239997863769503</v>
      </c>
      <c r="E774">
        <v>64.440002441406193</v>
      </c>
      <c r="F774">
        <v>64.739997863769503</v>
      </c>
      <c r="G774" s="2">
        <v>20546300</v>
      </c>
      <c r="H774" s="3">
        <f t="shared" si="12"/>
        <v>-1.5479016402097923E-4</v>
      </c>
      <c r="J774" s="3">
        <v>-7.2410018876035709E-3</v>
      </c>
      <c r="K774" s="3">
        <v>0.24300534423137379</v>
      </c>
    </row>
    <row r="775" spans="1:11" x14ac:dyDescent="0.2">
      <c r="A775" s="1">
        <v>42783</v>
      </c>
      <c r="B775">
        <v>58.118289947509702</v>
      </c>
      <c r="C775">
        <v>64.620002746582003</v>
      </c>
      <c r="D775">
        <v>64.690002441406193</v>
      </c>
      <c r="E775">
        <v>64.300003051757798</v>
      </c>
      <c r="F775">
        <v>64.470001220703097</v>
      </c>
      <c r="G775" s="2">
        <v>21248800</v>
      </c>
      <c r="H775" s="3">
        <f t="shared" si="12"/>
        <v>1.5495217854037957E-3</v>
      </c>
      <c r="J775" s="3">
        <v>-7.2400536644872115E-3</v>
      </c>
      <c r="K775" s="3">
        <v>0.2433197107827727</v>
      </c>
    </row>
    <row r="776" spans="1:11" x14ac:dyDescent="0.2">
      <c r="A776" s="1">
        <v>42787</v>
      </c>
      <c r="B776">
        <v>58.001384735107401</v>
      </c>
      <c r="C776">
        <v>64.489997863769503</v>
      </c>
      <c r="D776">
        <v>64.949996948242102</v>
      </c>
      <c r="E776">
        <v>64.449996948242102</v>
      </c>
      <c r="F776">
        <v>64.610000610351506</v>
      </c>
      <c r="G776" s="2">
        <v>20655900</v>
      </c>
      <c r="H776" s="3">
        <f t="shared" si="12"/>
        <v>-2.0115046830848637E-3</v>
      </c>
      <c r="J776" s="3">
        <v>-7.2283308288940695E-3</v>
      </c>
      <c r="K776" s="3">
        <v>0.24363407733417164</v>
      </c>
    </row>
    <row r="777" spans="1:11" x14ac:dyDescent="0.2">
      <c r="A777" s="1">
        <v>42788</v>
      </c>
      <c r="B777">
        <v>57.8844604492187</v>
      </c>
      <c r="C777">
        <v>64.360000610351506</v>
      </c>
      <c r="D777">
        <v>64.389999389648395</v>
      </c>
      <c r="E777">
        <v>64.050003051757798</v>
      </c>
      <c r="F777">
        <v>64.330001831054602</v>
      </c>
      <c r="G777" s="2">
        <v>19292700</v>
      </c>
      <c r="H777" s="3">
        <f t="shared" si="12"/>
        <v>-2.0158878347938947E-3</v>
      </c>
      <c r="J777" s="3">
        <v>-7.2175163910653817E-3</v>
      </c>
      <c r="K777" s="3">
        <v>0.24394844388557058</v>
      </c>
    </row>
    <row r="778" spans="1:11" x14ac:dyDescent="0.2">
      <c r="A778" s="1">
        <v>42789</v>
      </c>
      <c r="B778">
        <v>58.118289947509702</v>
      </c>
      <c r="C778">
        <v>64.620002746582003</v>
      </c>
      <c r="D778">
        <v>64.730003356933594</v>
      </c>
      <c r="E778">
        <v>64.190002441406193</v>
      </c>
      <c r="F778">
        <v>64.419998168945298</v>
      </c>
      <c r="G778" s="2">
        <v>20273100</v>
      </c>
      <c r="H778" s="3">
        <f t="shared" si="12"/>
        <v>4.0395901849363813E-3</v>
      </c>
      <c r="J778" s="3">
        <v>-7.2095536512487568E-3</v>
      </c>
      <c r="K778" s="3">
        <v>0.24426281043696951</v>
      </c>
    </row>
    <row r="779" spans="1:11" x14ac:dyDescent="0.2">
      <c r="A779" s="1">
        <v>42790</v>
      </c>
      <c r="B779">
        <v>58.118289947509702</v>
      </c>
      <c r="C779">
        <v>64.620002746582003</v>
      </c>
      <c r="D779">
        <v>64.800003051757798</v>
      </c>
      <c r="E779">
        <v>64.139999389648395</v>
      </c>
      <c r="F779">
        <v>64.529998779296804</v>
      </c>
      <c r="G779" s="2">
        <v>21796800</v>
      </c>
      <c r="H779" s="3">
        <f t="shared" si="12"/>
        <v>0</v>
      </c>
      <c r="J779" s="3">
        <v>-7.1774685016464668E-3</v>
      </c>
      <c r="K779" s="3">
        <v>0.24457717698836845</v>
      </c>
    </row>
    <row r="780" spans="1:11" x14ac:dyDescent="0.2">
      <c r="A780" s="1">
        <v>42793</v>
      </c>
      <c r="B780">
        <v>57.767551422119098</v>
      </c>
      <c r="C780">
        <v>64.230003356933594</v>
      </c>
      <c r="D780">
        <v>64.540000915527301</v>
      </c>
      <c r="E780">
        <v>64.050003051757798</v>
      </c>
      <c r="F780">
        <v>64.540000915527301</v>
      </c>
      <c r="G780" s="2">
        <v>15871500</v>
      </c>
      <c r="H780" s="3">
        <f t="shared" si="12"/>
        <v>-6.0349078699214465E-3</v>
      </c>
      <c r="J780" s="3">
        <v>-7.1681206423006572E-3</v>
      </c>
      <c r="K780" s="3">
        <v>0.24489154353976736</v>
      </c>
    </row>
    <row r="781" spans="1:11" x14ac:dyDescent="0.2">
      <c r="A781" s="1">
        <v>42794</v>
      </c>
      <c r="B781">
        <v>57.542694091796797</v>
      </c>
      <c r="C781">
        <v>63.9799995422363</v>
      </c>
      <c r="D781">
        <v>64.199996948242102</v>
      </c>
      <c r="E781">
        <v>63.759998321533203</v>
      </c>
      <c r="F781">
        <v>64.080001831054602</v>
      </c>
      <c r="G781" s="2">
        <v>23239800</v>
      </c>
      <c r="H781" s="3">
        <f t="shared" si="12"/>
        <v>-3.8924504291211193E-3</v>
      </c>
      <c r="J781" s="3">
        <v>-7.1662002814956161E-3</v>
      </c>
      <c r="K781" s="3">
        <v>0.2452059100911663</v>
      </c>
    </row>
    <row r="782" spans="1:11" x14ac:dyDescent="0.2">
      <c r="A782" s="1">
        <v>42795</v>
      </c>
      <c r="B782">
        <v>58.406105041503899</v>
      </c>
      <c r="C782">
        <v>64.940002441406193</v>
      </c>
      <c r="D782">
        <v>64.989997863769503</v>
      </c>
      <c r="E782">
        <v>64.019996643066406</v>
      </c>
      <c r="F782">
        <v>64.129997253417898</v>
      </c>
      <c r="G782" s="2">
        <v>26937500</v>
      </c>
      <c r="H782" s="3">
        <f t="shared" si="12"/>
        <v>1.5004701523528174E-2</v>
      </c>
      <c r="J782" s="3">
        <v>-7.1657115206235078E-3</v>
      </c>
      <c r="K782" s="3">
        <v>0.24552027664256523</v>
      </c>
    </row>
    <row r="783" spans="1:11" x14ac:dyDescent="0.2">
      <c r="A783" s="1">
        <v>42796</v>
      </c>
      <c r="B783">
        <v>57.569667816162102</v>
      </c>
      <c r="C783">
        <v>64.010002136230398</v>
      </c>
      <c r="D783">
        <v>64.75</v>
      </c>
      <c r="E783">
        <v>63.880001068115199</v>
      </c>
      <c r="F783">
        <v>64.690002441406193</v>
      </c>
      <c r="G783" s="2">
        <v>24539600</v>
      </c>
      <c r="H783" s="3">
        <f t="shared" si="12"/>
        <v>-1.4321058128211384E-2</v>
      </c>
      <c r="J783" s="3">
        <v>-7.1549970787073702E-3</v>
      </c>
      <c r="K783" s="3">
        <v>0.24583464319396417</v>
      </c>
    </row>
    <row r="784" spans="1:11" x14ac:dyDescent="0.2">
      <c r="A784" s="1">
        <v>42797</v>
      </c>
      <c r="B784">
        <v>57.785530090332003</v>
      </c>
      <c r="C784">
        <v>64.25</v>
      </c>
      <c r="D784">
        <v>64.279998779296804</v>
      </c>
      <c r="E784">
        <v>63.619998931884702</v>
      </c>
      <c r="F784">
        <v>63.990001678466797</v>
      </c>
      <c r="G784" s="2">
        <v>18135900</v>
      </c>
      <c r="H784" s="3">
        <f t="shared" si="12"/>
        <v>3.7495834587619736E-3</v>
      </c>
      <c r="J784" s="3">
        <v>-7.1437599192974988E-3</v>
      </c>
      <c r="K784" s="3">
        <v>0.24614900974536311</v>
      </c>
    </row>
    <row r="785" spans="1:11" x14ac:dyDescent="0.2">
      <c r="A785" s="1">
        <v>42800</v>
      </c>
      <c r="B785">
        <v>57.803508758544901</v>
      </c>
      <c r="C785">
        <v>64.269996643066406</v>
      </c>
      <c r="D785">
        <v>64.559997558593693</v>
      </c>
      <c r="E785">
        <v>63.810001373291001</v>
      </c>
      <c r="F785">
        <v>63.970001220703097</v>
      </c>
      <c r="G785" s="2">
        <v>18750300</v>
      </c>
      <c r="H785" s="3">
        <f t="shared" si="12"/>
        <v>3.1112751210882195E-4</v>
      </c>
      <c r="J785" s="3">
        <v>-7.1387184151544547E-3</v>
      </c>
      <c r="K785" s="3">
        <v>0.24646337629676202</v>
      </c>
    </row>
    <row r="786" spans="1:11" x14ac:dyDescent="0.2">
      <c r="A786" s="1">
        <v>42801</v>
      </c>
      <c r="B786">
        <v>57.920436859130803</v>
      </c>
      <c r="C786">
        <v>64.400001525878906</v>
      </c>
      <c r="D786">
        <v>64.779998779296804</v>
      </c>
      <c r="E786">
        <v>64.190002441406193</v>
      </c>
      <c r="F786">
        <v>64.190002441406193</v>
      </c>
      <c r="G786" s="2">
        <v>18521000</v>
      </c>
      <c r="H786" s="3">
        <f t="shared" si="12"/>
        <v>2.0228547210572323E-3</v>
      </c>
      <c r="J786" s="3">
        <v>-7.1369356953394636E-3</v>
      </c>
      <c r="K786" s="3">
        <v>0.24677774284816095</v>
      </c>
    </row>
    <row r="787" spans="1:11" x14ac:dyDescent="0.2">
      <c r="A787" s="1">
        <v>42802</v>
      </c>
      <c r="B787">
        <v>58.451076507568303</v>
      </c>
      <c r="C787">
        <v>64.989997863769503</v>
      </c>
      <c r="D787">
        <v>65.080001831054602</v>
      </c>
      <c r="E787">
        <v>64.25</v>
      </c>
      <c r="F787">
        <v>64.260002136230398</v>
      </c>
      <c r="G787" s="2">
        <v>21510900</v>
      </c>
      <c r="H787" s="3">
        <f t="shared" si="12"/>
        <v>9.1615270397231718E-3</v>
      </c>
      <c r="J787" s="3">
        <v>-7.1226395848958957E-3</v>
      </c>
      <c r="K787" s="3">
        <v>0.24709210939955989</v>
      </c>
    </row>
    <row r="788" spans="1:11" x14ac:dyDescent="0.2">
      <c r="A788" s="1">
        <v>42803</v>
      </c>
      <c r="B788">
        <v>58.217250823974602</v>
      </c>
      <c r="C788">
        <v>64.730003356933594</v>
      </c>
      <c r="D788">
        <v>65.199996948242102</v>
      </c>
      <c r="E788">
        <v>64.480003356933594</v>
      </c>
      <c r="F788">
        <v>65.190002441406193</v>
      </c>
      <c r="G788" s="2">
        <v>19846800</v>
      </c>
      <c r="H788" s="3">
        <f t="shared" si="12"/>
        <v>-4.0003657342978505E-3</v>
      </c>
      <c r="J788" s="3">
        <v>-7.1021901745667027E-3</v>
      </c>
      <c r="K788" s="3">
        <v>0.24740647595095883</v>
      </c>
    </row>
    <row r="789" spans="1:11" x14ac:dyDescent="0.2">
      <c r="A789" s="1">
        <v>42804</v>
      </c>
      <c r="B789">
        <v>58.3970947265625</v>
      </c>
      <c r="C789">
        <v>64.930000305175696</v>
      </c>
      <c r="D789">
        <v>65.260002136230398</v>
      </c>
      <c r="E789">
        <v>64.75</v>
      </c>
      <c r="F789">
        <v>65.110000610351506</v>
      </c>
      <c r="G789" s="2">
        <v>19538200</v>
      </c>
      <c r="H789" s="3">
        <f t="shared" si="12"/>
        <v>3.089185766117275E-3</v>
      </c>
      <c r="J789" s="3">
        <v>-7.0894094825002529E-3</v>
      </c>
      <c r="K789" s="3">
        <v>0.24772084250235774</v>
      </c>
    </row>
    <row r="790" spans="1:11" x14ac:dyDescent="0.2">
      <c r="A790" s="1">
        <v>42807</v>
      </c>
      <c r="B790">
        <v>58.199245452880803</v>
      </c>
      <c r="C790">
        <v>64.709999084472599</v>
      </c>
      <c r="D790">
        <v>65.190002441406193</v>
      </c>
      <c r="E790">
        <v>64.569999694824205</v>
      </c>
      <c r="F790">
        <v>65.010002136230398</v>
      </c>
      <c r="G790" s="2">
        <v>20100000</v>
      </c>
      <c r="H790" s="3">
        <f t="shared" si="12"/>
        <v>-3.3879985743828778E-3</v>
      </c>
      <c r="J790" s="3">
        <v>-7.0845414895970293E-3</v>
      </c>
      <c r="K790" s="3">
        <v>0.24803520905375667</v>
      </c>
    </row>
    <row r="791" spans="1:11" x14ac:dyDescent="0.2">
      <c r="A791" s="1">
        <v>42808</v>
      </c>
      <c r="B791">
        <v>57.929439544677699</v>
      </c>
      <c r="C791">
        <v>64.410003662109304</v>
      </c>
      <c r="D791">
        <v>64.550003051757798</v>
      </c>
      <c r="E791">
        <v>64.150001525878906</v>
      </c>
      <c r="F791">
        <v>64.529998779296804</v>
      </c>
      <c r="G791" s="2">
        <v>14280200</v>
      </c>
      <c r="H791" s="3">
        <f t="shared" si="12"/>
        <v>-4.635900450316699E-3</v>
      </c>
      <c r="J791" s="3">
        <v>-7.0797524768986264E-3</v>
      </c>
      <c r="K791" s="3">
        <v>0.24834957560515561</v>
      </c>
    </row>
    <row r="792" spans="1:11" x14ac:dyDescent="0.2">
      <c r="A792" s="1">
        <v>42809</v>
      </c>
      <c r="B792">
        <v>58.235218048095703</v>
      </c>
      <c r="C792">
        <v>64.75</v>
      </c>
      <c r="D792">
        <v>64.919998168945298</v>
      </c>
      <c r="E792">
        <v>64.25</v>
      </c>
      <c r="F792">
        <v>64.550003051757798</v>
      </c>
      <c r="G792" s="2">
        <v>24833800</v>
      </c>
      <c r="H792" s="3">
        <f t="shared" si="12"/>
        <v>5.2784647291843623E-3</v>
      </c>
      <c r="J792" s="3">
        <v>-7.0726264214120427E-3</v>
      </c>
      <c r="K792" s="3">
        <v>0.24866394215655455</v>
      </c>
    </row>
    <row r="793" spans="1:11" x14ac:dyDescent="0.2">
      <c r="A793" s="1">
        <v>42810</v>
      </c>
      <c r="B793">
        <v>58.136295318603501</v>
      </c>
      <c r="C793">
        <v>64.639999389648395</v>
      </c>
      <c r="D793">
        <v>64.760002136230398</v>
      </c>
      <c r="E793">
        <v>64.300003051757798</v>
      </c>
      <c r="F793">
        <v>64.75</v>
      </c>
      <c r="G793" s="2">
        <v>20674300</v>
      </c>
      <c r="H793" s="3">
        <f t="shared" si="12"/>
        <v>-1.6986753515803032E-3</v>
      </c>
      <c r="J793" s="3">
        <v>-7.0701909746154756E-3</v>
      </c>
      <c r="K793" s="3">
        <v>0.24897830870795348</v>
      </c>
    </row>
    <row r="794" spans="1:11" x14ac:dyDescent="0.2">
      <c r="A794" s="1">
        <v>42811</v>
      </c>
      <c r="B794">
        <v>58.343147277832003</v>
      </c>
      <c r="C794">
        <v>64.870002746582003</v>
      </c>
      <c r="D794">
        <v>65.239997863769503</v>
      </c>
      <c r="E794">
        <v>64.680000305175696</v>
      </c>
      <c r="F794">
        <v>64.910003662109304</v>
      </c>
      <c r="G794" s="2">
        <v>49219700</v>
      </c>
      <c r="H794" s="3">
        <f t="shared" si="12"/>
        <v>3.5580519552353973E-3</v>
      </c>
      <c r="J794" s="3">
        <v>-7.0629390828771399E-3</v>
      </c>
      <c r="K794" s="3">
        <v>0.24929267525935239</v>
      </c>
    </row>
    <row r="795" spans="1:11" x14ac:dyDescent="0.2">
      <c r="A795" s="1">
        <v>42814</v>
      </c>
      <c r="B795">
        <v>58.3970947265625</v>
      </c>
      <c r="C795">
        <v>64.930000305175696</v>
      </c>
      <c r="D795">
        <v>65.180000305175696</v>
      </c>
      <c r="E795">
        <v>64.720001220703097</v>
      </c>
      <c r="F795">
        <v>64.910003662109304</v>
      </c>
      <c r="G795" s="2">
        <v>14598100</v>
      </c>
      <c r="H795" s="3">
        <f t="shared" si="12"/>
        <v>9.246578432526853E-4</v>
      </c>
      <c r="J795" s="3">
        <v>-7.0441186440252102E-3</v>
      </c>
      <c r="K795" s="3">
        <v>0.24960704181075133</v>
      </c>
    </row>
    <row r="796" spans="1:11" x14ac:dyDescent="0.2">
      <c r="A796" s="1">
        <v>42815</v>
      </c>
      <c r="B796">
        <v>57.749549865722599</v>
      </c>
      <c r="C796">
        <v>64.209999084472599</v>
      </c>
      <c r="D796">
        <v>65.5</v>
      </c>
      <c r="E796">
        <v>64.129997253417898</v>
      </c>
      <c r="F796">
        <v>65.190002441406193</v>
      </c>
      <c r="G796" s="2">
        <v>26640500</v>
      </c>
      <c r="H796" s="3">
        <f t="shared" si="12"/>
        <v>-1.1088648568425397E-2</v>
      </c>
      <c r="J796" s="3">
        <v>-7.04263576410602E-3</v>
      </c>
      <c r="K796" s="3">
        <v>0.24992140836215027</v>
      </c>
    </row>
    <row r="797" spans="1:11" x14ac:dyDescent="0.2">
      <c r="A797" s="1">
        <v>42816</v>
      </c>
      <c r="B797">
        <v>58.487052917480398</v>
      </c>
      <c r="C797">
        <v>65.029998779296804</v>
      </c>
      <c r="D797">
        <v>65.139999389648395</v>
      </c>
      <c r="E797">
        <v>64.120002746582003</v>
      </c>
      <c r="F797">
        <v>64.120002746582003</v>
      </c>
      <c r="G797" s="2">
        <v>20680000</v>
      </c>
      <c r="H797" s="3">
        <f t="shared" si="12"/>
        <v>1.2770715156613655E-2</v>
      </c>
      <c r="J797" s="3">
        <v>-7.0011594167349589E-3</v>
      </c>
      <c r="K797" s="3">
        <v>0.2502357749135492</v>
      </c>
    </row>
    <row r="798" spans="1:11" x14ac:dyDescent="0.2">
      <c r="A798" s="1">
        <v>42817</v>
      </c>
      <c r="B798">
        <v>58.343147277832003</v>
      </c>
      <c r="C798">
        <v>64.870002746582003</v>
      </c>
      <c r="D798">
        <v>65.239997863769503</v>
      </c>
      <c r="E798">
        <v>64.769996643066406</v>
      </c>
      <c r="F798">
        <v>64.940002441406193</v>
      </c>
      <c r="G798" s="2">
        <v>19269200</v>
      </c>
      <c r="H798" s="3">
        <f t="shared" si="12"/>
        <v>-2.4604700095153254E-3</v>
      </c>
      <c r="J798" s="3">
        <v>-6.9790090849168873E-3</v>
      </c>
      <c r="K798" s="3">
        <v>0.25055014146494814</v>
      </c>
    </row>
    <row r="799" spans="1:11" x14ac:dyDescent="0.2">
      <c r="A799" s="1">
        <v>42818</v>
      </c>
      <c r="B799">
        <v>58.442073822021399</v>
      </c>
      <c r="C799">
        <v>64.980003356933594</v>
      </c>
      <c r="D799">
        <v>65.449996948242102</v>
      </c>
      <c r="E799">
        <v>64.760002136230398</v>
      </c>
      <c r="F799">
        <v>65.360000610351506</v>
      </c>
      <c r="G799" s="2">
        <v>22617100</v>
      </c>
      <c r="H799" s="3">
        <f t="shared" si="12"/>
        <v>1.6955983488224913E-3</v>
      </c>
      <c r="J799" s="3">
        <v>-6.9508956231904007E-3</v>
      </c>
      <c r="K799" s="3">
        <v>0.25086450801634708</v>
      </c>
    </row>
    <row r="800" spans="1:11" x14ac:dyDescent="0.2">
      <c r="A800" s="1">
        <v>42821</v>
      </c>
      <c r="B800">
        <v>58.550006866455</v>
      </c>
      <c r="C800">
        <v>65.099998474121094</v>
      </c>
      <c r="D800">
        <v>65.220001220703097</v>
      </c>
      <c r="E800">
        <v>64.349998474121094</v>
      </c>
      <c r="F800">
        <v>64.629997253417898</v>
      </c>
      <c r="G800" s="2">
        <v>18614700</v>
      </c>
      <c r="H800" s="3">
        <f t="shared" si="12"/>
        <v>1.8468380290934672E-3</v>
      </c>
      <c r="J800" s="3">
        <v>-6.9276309444314954E-3</v>
      </c>
      <c r="K800" s="3">
        <v>0.25117887456774601</v>
      </c>
    </row>
    <row r="801" spans="1:11" x14ac:dyDescent="0.2">
      <c r="A801" s="1">
        <v>42822</v>
      </c>
      <c r="B801">
        <v>58.720890045166001</v>
      </c>
      <c r="C801">
        <v>65.290000915527301</v>
      </c>
      <c r="D801">
        <v>65.470001220703097</v>
      </c>
      <c r="E801">
        <v>64.650001525878906</v>
      </c>
      <c r="F801">
        <v>64.959999084472599</v>
      </c>
      <c r="G801" s="2">
        <v>20080400</v>
      </c>
      <c r="H801" s="3">
        <f t="shared" si="12"/>
        <v>2.9185851182009781E-3</v>
      </c>
      <c r="J801" s="3">
        <v>-6.9223453163754778E-3</v>
      </c>
      <c r="K801" s="3">
        <v>0.25149324111914495</v>
      </c>
    </row>
    <row r="802" spans="1:11" x14ac:dyDescent="0.2">
      <c r="A802" s="1">
        <v>42823</v>
      </c>
      <c r="B802">
        <v>58.882766723632798</v>
      </c>
      <c r="C802">
        <v>65.470001220703097</v>
      </c>
      <c r="D802">
        <v>65.5</v>
      </c>
      <c r="E802">
        <v>64.949996948242102</v>
      </c>
      <c r="F802">
        <v>65.120002746582003</v>
      </c>
      <c r="G802" s="2">
        <v>13618400</v>
      </c>
      <c r="H802" s="3">
        <f t="shared" si="12"/>
        <v>2.7567136387456337E-3</v>
      </c>
      <c r="J802" s="3">
        <v>-6.9221161741512827E-3</v>
      </c>
      <c r="K802" s="3">
        <v>0.25180760767054383</v>
      </c>
    </row>
    <row r="803" spans="1:11" x14ac:dyDescent="0.2">
      <c r="A803" s="1">
        <v>42824</v>
      </c>
      <c r="B803">
        <v>59.098628997802699</v>
      </c>
      <c r="C803">
        <v>65.709999084472599</v>
      </c>
      <c r="D803">
        <v>65.980003356933594</v>
      </c>
      <c r="E803">
        <v>65.360000610351506</v>
      </c>
      <c r="F803">
        <v>65.419998168945298</v>
      </c>
      <c r="G803" s="2">
        <v>15122800</v>
      </c>
      <c r="H803" s="3">
        <f t="shared" si="12"/>
        <v>3.6659669064644795E-3</v>
      </c>
      <c r="J803" s="3">
        <v>-6.9106728206100865E-3</v>
      </c>
      <c r="K803" s="3">
        <v>0.25212197422194277</v>
      </c>
    </row>
    <row r="804" spans="1:11" x14ac:dyDescent="0.2">
      <c r="A804" s="1">
        <v>42825</v>
      </c>
      <c r="B804">
        <v>59.233531951904297</v>
      </c>
      <c r="C804">
        <v>65.860000610351506</v>
      </c>
      <c r="D804">
        <v>66.190002441406193</v>
      </c>
      <c r="E804">
        <v>65.449996948242102</v>
      </c>
      <c r="F804">
        <v>65.650001525878906</v>
      </c>
      <c r="G804" s="2">
        <v>21040300</v>
      </c>
      <c r="H804" s="3">
        <f t="shared" si="12"/>
        <v>2.2826748503186334E-3</v>
      </c>
      <c r="J804" s="3">
        <v>-6.8977383411602533E-3</v>
      </c>
      <c r="K804" s="3">
        <v>0.25243634077334171</v>
      </c>
    </row>
    <row r="805" spans="1:11" x14ac:dyDescent="0.2">
      <c r="A805" s="1">
        <v>42828</v>
      </c>
      <c r="B805">
        <v>58.954723358154297</v>
      </c>
      <c r="C805">
        <v>65.550003051757798</v>
      </c>
      <c r="D805">
        <v>65.940002441406193</v>
      </c>
      <c r="E805">
        <v>65.190002441406193</v>
      </c>
      <c r="F805">
        <v>65.809997558593693</v>
      </c>
      <c r="G805" s="2">
        <v>20400900</v>
      </c>
      <c r="H805" s="3">
        <f t="shared" si="12"/>
        <v>-4.7069385289464361E-3</v>
      </c>
      <c r="J805" s="3">
        <v>-6.8524232870537105E-3</v>
      </c>
      <c r="K805" s="3">
        <v>0.25275070732474064</v>
      </c>
    </row>
    <row r="806" spans="1:11" x14ac:dyDescent="0.2">
      <c r="A806" s="1">
        <v>42829</v>
      </c>
      <c r="B806">
        <v>59.116630554199197</v>
      </c>
      <c r="C806">
        <v>65.730003356933594</v>
      </c>
      <c r="D806">
        <v>65.809997558593693</v>
      </c>
      <c r="E806">
        <v>65.279998779296804</v>
      </c>
      <c r="F806">
        <v>65.389999389648395</v>
      </c>
      <c r="G806" s="2">
        <v>12997400</v>
      </c>
      <c r="H806" s="3">
        <f t="shared" si="12"/>
        <v>2.7462972739487057E-3</v>
      </c>
      <c r="J806" s="3">
        <v>-6.8493366303752357E-3</v>
      </c>
      <c r="K806" s="3">
        <v>0.25306507387613958</v>
      </c>
    </row>
    <row r="807" spans="1:11" x14ac:dyDescent="0.2">
      <c r="A807" s="1">
        <v>42830</v>
      </c>
      <c r="B807">
        <v>58.963718414306598</v>
      </c>
      <c r="C807">
        <v>65.559997558593693</v>
      </c>
      <c r="D807">
        <v>66.349998474121094</v>
      </c>
      <c r="E807">
        <v>65.440002441406193</v>
      </c>
      <c r="F807">
        <v>66.300003051757798</v>
      </c>
      <c r="G807" s="2">
        <v>21448600</v>
      </c>
      <c r="H807" s="3">
        <f t="shared" si="12"/>
        <v>-2.586617986497175E-3</v>
      </c>
      <c r="J807" s="3">
        <v>-6.8235553150920447E-3</v>
      </c>
      <c r="K807" s="3">
        <v>0.25337944042753852</v>
      </c>
    </row>
    <row r="808" spans="1:11" x14ac:dyDescent="0.2">
      <c r="A808" s="1">
        <v>42831</v>
      </c>
      <c r="B808">
        <v>59.116630554199197</v>
      </c>
      <c r="C808">
        <v>65.730003356933594</v>
      </c>
      <c r="D808">
        <v>66.059997558593693</v>
      </c>
      <c r="E808">
        <v>65.480003356933594</v>
      </c>
      <c r="F808">
        <v>65.599998474121094</v>
      </c>
      <c r="G808" s="2">
        <v>18103500</v>
      </c>
      <c r="H808" s="3">
        <f t="shared" si="12"/>
        <v>2.5933259299926181E-3</v>
      </c>
      <c r="J808" s="3">
        <v>-6.8069317251104877E-3</v>
      </c>
      <c r="K808" s="3">
        <v>0.25369380697893745</v>
      </c>
    </row>
    <row r="809" spans="1:11" x14ac:dyDescent="0.2">
      <c r="A809" s="1">
        <v>42832</v>
      </c>
      <c r="B809">
        <v>59.071643829345703</v>
      </c>
      <c r="C809">
        <v>65.680000305175696</v>
      </c>
      <c r="D809">
        <v>65.959999084472599</v>
      </c>
      <c r="E809">
        <v>65.440002441406193</v>
      </c>
      <c r="F809">
        <v>65.849998474121094</v>
      </c>
      <c r="G809" s="2">
        <v>14108500</v>
      </c>
      <c r="H809" s="3">
        <f t="shared" si="12"/>
        <v>-7.6098255992873565E-4</v>
      </c>
      <c r="J809" s="3">
        <v>-6.7931403615235642E-3</v>
      </c>
      <c r="K809" s="3">
        <v>0.25400817353033639</v>
      </c>
    </row>
    <row r="810" spans="1:11" x14ac:dyDescent="0.2">
      <c r="A810" s="1">
        <v>42835</v>
      </c>
      <c r="B810">
        <v>58.936748504638601</v>
      </c>
      <c r="C810">
        <v>65.529998779296804</v>
      </c>
      <c r="D810">
        <v>65.819999694824205</v>
      </c>
      <c r="E810">
        <v>65.360000610351506</v>
      </c>
      <c r="F810">
        <v>65.610000610351506</v>
      </c>
      <c r="G810" s="2">
        <v>17952700</v>
      </c>
      <c r="H810" s="3">
        <f t="shared" si="12"/>
        <v>-2.2835884692290476E-3</v>
      </c>
      <c r="J810" s="3">
        <v>-6.7847053447078753E-3</v>
      </c>
      <c r="K810" s="3">
        <v>0.25432254008173533</v>
      </c>
    </row>
    <row r="811" spans="1:11" x14ac:dyDescent="0.2">
      <c r="A811" s="1">
        <v>42836</v>
      </c>
      <c r="B811">
        <v>58.891792297363203</v>
      </c>
      <c r="C811">
        <v>65.480003356933594</v>
      </c>
      <c r="D811">
        <v>65.610000610351506</v>
      </c>
      <c r="E811">
        <v>64.849998474121094</v>
      </c>
      <c r="F811">
        <v>65.599998474121094</v>
      </c>
      <c r="G811" s="2">
        <v>18791500</v>
      </c>
      <c r="H811" s="3">
        <f t="shared" si="12"/>
        <v>-7.6278736808599312E-4</v>
      </c>
      <c r="J811" s="3">
        <v>-6.7836284956191983E-3</v>
      </c>
      <c r="K811" s="3">
        <v>0.25463690663313421</v>
      </c>
    </row>
    <row r="812" spans="1:11" x14ac:dyDescent="0.2">
      <c r="A812" s="1">
        <v>42837</v>
      </c>
      <c r="B812">
        <v>58.666923522949197</v>
      </c>
      <c r="C812">
        <v>65.230003356933594</v>
      </c>
      <c r="D812">
        <v>65.510002136230398</v>
      </c>
      <c r="E812">
        <v>65.110000610351506</v>
      </c>
      <c r="F812">
        <v>65.419998168945298</v>
      </c>
      <c r="G812" s="2">
        <v>17108500</v>
      </c>
      <c r="H812" s="3">
        <f t="shared" si="12"/>
        <v>-3.8183381018287443E-3</v>
      </c>
      <c r="J812" s="3">
        <v>-6.7449707687716742E-3</v>
      </c>
      <c r="K812" s="3">
        <v>0.25495127318453314</v>
      </c>
    </row>
    <row r="813" spans="1:11" x14ac:dyDescent="0.2">
      <c r="A813" s="1">
        <v>42838</v>
      </c>
      <c r="B813">
        <v>58.415092468261697</v>
      </c>
      <c r="C813">
        <v>64.949996948242102</v>
      </c>
      <c r="D813">
        <v>65.860000610351506</v>
      </c>
      <c r="E813">
        <v>64.949996948242102</v>
      </c>
      <c r="F813">
        <v>65.290000915527301</v>
      </c>
      <c r="G813" s="2">
        <v>17896500</v>
      </c>
      <c r="H813" s="3">
        <f t="shared" si="12"/>
        <v>-4.2925560020031783E-3</v>
      </c>
      <c r="J813" s="3">
        <v>-6.7277606913070942E-3</v>
      </c>
      <c r="K813" s="3">
        <v>0.25526563973593208</v>
      </c>
    </row>
    <row r="814" spans="1:11" x14ac:dyDescent="0.2">
      <c r="A814" s="1">
        <v>42842</v>
      </c>
      <c r="B814">
        <v>58.891792297363203</v>
      </c>
      <c r="C814">
        <v>65.480003356933594</v>
      </c>
      <c r="D814">
        <v>65.489997863769503</v>
      </c>
      <c r="E814">
        <v>65.010002136230398</v>
      </c>
      <c r="F814">
        <v>65.040000915527301</v>
      </c>
      <c r="G814" s="2">
        <v>16689300</v>
      </c>
      <c r="H814" s="3">
        <f t="shared" si="12"/>
        <v>8.1605593513440766E-3</v>
      </c>
      <c r="J814" s="3">
        <v>-6.7273922010585574E-3</v>
      </c>
      <c r="K814" s="3">
        <v>0.25558000628733102</v>
      </c>
    </row>
    <row r="815" spans="1:11" x14ac:dyDescent="0.2">
      <c r="A815" s="1">
        <v>42843</v>
      </c>
      <c r="B815">
        <v>58.810840606689403</v>
      </c>
      <c r="C815">
        <v>65.389999389648395</v>
      </c>
      <c r="D815">
        <v>65.709999084472599</v>
      </c>
      <c r="E815">
        <v>65.160003662109304</v>
      </c>
      <c r="F815">
        <v>65.330001831054602</v>
      </c>
      <c r="G815" s="2">
        <v>15155600</v>
      </c>
      <c r="H815" s="3">
        <f t="shared" si="12"/>
        <v>-1.3745835797465134E-3</v>
      </c>
      <c r="J815" s="3">
        <v>-6.7190501724174734E-3</v>
      </c>
      <c r="K815" s="3">
        <v>0.25589437283872996</v>
      </c>
    </row>
    <row r="816" spans="1:11" x14ac:dyDescent="0.2">
      <c r="A816" s="1">
        <v>42844</v>
      </c>
      <c r="B816">
        <v>58.496044158935497</v>
      </c>
      <c r="C816">
        <v>65.040000915527301</v>
      </c>
      <c r="D816">
        <v>65.75</v>
      </c>
      <c r="E816">
        <v>64.889999389648395</v>
      </c>
      <c r="F816">
        <v>65.650001525878906</v>
      </c>
      <c r="G816" s="2">
        <v>26992800</v>
      </c>
      <c r="H816" s="3">
        <f t="shared" si="12"/>
        <v>-5.3526942398116617E-3</v>
      </c>
      <c r="J816" s="3">
        <v>-6.6867501550954556E-3</v>
      </c>
      <c r="K816" s="3">
        <v>0.25620873939012889</v>
      </c>
    </row>
    <row r="817" spans="1:11" x14ac:dyDescent="0.2">
      <c r="A817" s="1">
        <v>42845</v>
      </c>
      <c r="B817">
        <v>58.909763336181598</v>
      </c>
      <c r="C817">
        <v>65.5</v>
      </c>
      <c r="D817">
        <v>65.75</v>
      </c>
      <c r="E817">
        <v>65.139999389648395</v>
      </c>
      <c r="F817">
        <v>65.459999084472599</v>
      </c>
      <c r="G817" s="2">
        <v>22299500</v>
      </c>
      <c r="H817" s="3">
        <f t="shared" si="12"/>
        <v>7.0726009458350614E-3</v>
      </c>
      <c r="J817" s="3">
        <v>-6.6703991739122115E-3</v>
      </c>
      <c r="K817" s="3">
        <v>0.25652310594152783</v>
      </c>
    </row>
    <row r="818" spans="1:11" x14ac:dyDescent="0.2">
      <c r="A818" s="1">
        <v>42846</v>
      </c>
      <c r="B818">
        <v>59.719207763671797</v>
      </c>
      <c r="C818">
        <v>66.400001525878906</v>
      </c>
      <c r="D818">
        <v>66.699996948242102</v>
      </c>
      <c r="E818">
        <v>65.449996948242102</v>
      </c>
      <c r="F818">
        <v>65.669998168945298</v>
      </c>
      <c r="G818" s="2">
        <v>32522600</v>
      </c>
      <c r="H818" s="3">
        <f t="shared" si="12"/>
        <v>1.3740412143075975E-2</v>
      </c>
      <c r="J818" s="3">
        <v>-6.6633697738107678E-3</v>
      </c>
      <c r="K818" s="3">
        <v>0.25683747249292677</v>
      </c>
    </row>
    <row r="819" spans="1:11" x14ac:dyDescent="0.2">
      <c r="A819" s="1">
        <v>42849</v>
      </c>
      <c r="B819">
        <v>60.735504150390597</v>
      </c>
      <c r="C819">
        <v>67.529998779296804</v>
      </c>
      <c r="D819">
        <v>67.660003662109304</v>
      </c>
      <c r="E819">
        <v>67.099998474121094</v>
      </c>
      <c r="F819">
        <v>67.480003356933594</v>
      </c>
      <c r="G819" s="2">
        <v>29770000</v>
      </c>
      <c r="H819" s="3">
        <f t="shared" si="12"/>
        <v>1.701791475098946E-2</v>
      </c>
      <c r="J819" s="3">
        <v>-6.6274688135962156E-3</v>
      </c>
      <c r="K819" s="3">
        <v>0.2571518390443257</v>
      </c>
    </row>
    <row r="820" spans="1:11" x14ac:dyDescent="0.2">
      <c r="A820" s="1">
        <v>42850</v>
      </c>
      <c r="B820">
        <v>61.086257934570298</v>
      </c>
      <c r="C820">
        <v>67.919998168945298</v>
      </c>
      <c r="D820">
        <v>68.040000915527301</v>
      </c>
      <c r="E820">
        <v>67.599998474121094</v>
      </c>
      <c r="F820">
        <v>67.900001525878906</v>
      </c>
      <c r="G820" s="2">
        <v>30242700</v>
      </c>
      <c r="H820" s="3">
        <f t="shared" si="12"/>
        <v>5.7751028675283589E-3</v>
      </c>
      <c r="J820" s="3">
        <v>-6.6102717213001316E-3</v>
      </c>
      <c r="K820" s="3">
        <v>0.25746620559572464</v>
      </c>
    </row>
    <row r="821" spans="1:11" x14ac:dyDescent="0.2">
      <c r="A821" s="1">
        <v>42851</v>
      </c>
      <c r="B821">
        <v>61.00532913208</v>
      </c>
      <c r="C821">
        <v>67.830001831054602</v>
      </c>
      <c r="D821">
        <v>68.309997558593693</v>
      </c>
      <c r="E821">
        <v>67.620002746582003</v>
      </c>
      <c r="F821">
        <v>68.080001831054602</v>
      </c>
      <c r="G821" s="2">
        <v>26190800</v>
      </c>
      <c r="H821" s="3">
        <f t="shared" si="12"/>
        <v>-1.3248282875173434E-3</v>
      </c>
      <c r="J821" s="3">
        <v>-6.6090852521724086E-3</v>
      </c>
      <c r="K821" s="3">
        <v>0.25778057214712352</v>
      </c>
    </row>
    <row r="822" spans="1:11" x14ac:dyDescent="0.2">
      <c r="A822" s="1">
        <v>42852</v>
      </c>
      <c r="B822">
        <v>61.401073455810497</v>
      </c>
      <c r="C822">
        <v>68.269996643066406</v>
      </c>
      <c r="D822">
        <v>68.379997253417898</v>
      </c>
      <c r="E822">
        <v>67.580001831054602</v>
      </c>
      <c r="F822">
        <v>68.150001525878906</v>
      </c>
      <c r="G822" s="2">
        <v>34971000</v>
      </c>
      <c r="H822" s="3">
        <f t="shared" si="12"/>
        <v>6.4870451378713501E-3</v>
      </c>
      <c r="J822" s="3">
        <v>-6.5995696249265823E-3</v>
      </c>
      <c r="K822" s="3">
        <v>0.25809493869852246</v>
      </c>
    </row>
    <row r="823" spans="1:11" x14ac:dyDescent="0.2">
      <c r="A823" s="1">
        <v>42853</v>
      </c>
      <c r="B823">
        <v>61.571922302246001</v>
      </c>
      <c r="C823">
        <v>68.459999084472599</v>
      </c>
      <c r="D823">
        <v>69.139999389648395</v>
      </c>
      <c r="E823">
        <v>67.690002441406193</v>
      </c>
      <c r="F823">
        <v>68.910003662109304</v>
      </c>
      <c r="G823" s="2">
        <v>39548800</v>
      </c>
      <c r="H823" s="3">
        <f t="shared" si="12"/>
        <v>2.782505855674744E-3</v>
      </c>
      <c r="J823" s="3">
        <v>-6.5638980808000458E-3</v>
      </c>
      <c r="K823" s="3">
        <v>0.25840930524992139</v>
      </c>
    </row>
    <row r="824" spans="1:11" x14ac:dyDescent="0.2">
      <c r="A824" s="1">
        <v>42856</v>
      </c>
      <c r="B824">
        <v>62.4263496398925</v>
      </c>
      <c r="C824">
        <v>69.410003662109304</v>
      </c>
      <c r="D824">
        <v>69.550003051757798</v>
      </c>
      <c r="E824">
        <v>68.5</v>
      </c>
      <c r="F824">
        <v>68.680000305175696</v>
      </c>
      <c r="G824" s="2">
        <v>31954400</v>
      </c>
      <c r="H824" s="3">
        <f t="shared" si="12"/>
        <v>1.3876898847696495E-2</v>
      </c>
      <c r="J824" s="3">
        <v>-6.5571398496430122E-3</v>
      </c>
      <c r="K824" s="3">
        <v>0.25872367180132033</v>
      </c>
    </row>
    <row r="825" spans="1:11" x14ac:dyDescent="0.2">
      <c r="A825" s="1">
        <v>42857</v>
      </c>
      <c r="B825">
        <v>62.327419281005803</v>
      </c>
      <c r="C825">
        <v>69.300003051757798</v>
      </c>
      <c r="D825">
        <v>69.709999084472599</v>
      </c>
      <c r="E825">
        <v>69.129997253417898</v>
      </c>
      <c r="F825">
        <v>69.709999084472599</v>
      </c>
      <c r="G825" s="2">
        <v>23906100</v>
      </c>
      <c r="H825" s="3">
        <f t="shared" si="12"/>
        <v>-1.5847532245177876E-3</v>
      </c>
      <c r="J825" s="3">
        <v>-6.5547911012531213E-3</v>
      </c>
      <c r="K825" s="3">
        <v>0.25903803835271927</v>
      </c>
    </row>
    <row r="826" spans="1:11" x14ac:dyDescent="0.2">
      <c r="A826" s="1">
        <v>42858</v>
      </c>
      <c r="B826">
        <v>62.129570007324197</v>
      </c>
      <c r="C826">
        <v>69.080001831054602</v>
      </c>
      <c r="D826">
        <v>69.379997253417898</v>
      </c>
      <c r="E826">
        <v>68.709999084472599</v>
      </c>
      <c r="F826">
        <v>69.379997253417898</v>
      </c>
      <c r="G826" s="2">
        <v>28928000</v>
      </c>
      <c r="H826" s="3">
        <f t="shared" si="12"/>
        <v>-3.1743536947934636E-3</v>
      </c>
      <c r="J826" s="3">
        <v>-6.5529991684168953E-3</v>
      </c>
      <c r="K826" s="3">
        <v>0.25935240490411821</v>
      </c>
    </row>
    <row r="827" spans="1:11" x14ac:dyDescent="0.2">
      <c r="A827" s="1">
        <v>42859</v>
      </c>
      <c r="B827">
        <v>61.886722564697202</v>
      </c>
      <c r="C827">
        <v>68.809997558593693</v>
      </c>
      <c r="D827">
        <v>69.080001831054602</v>
      </c>
      <c r="E827">
        <v>68.639999389648395</v>
      </c>
      <c r="F827">
        <v>69.029998779296804</v>
      </c>
      <c r="G827" s="2">
        <v>21749400</v>
      </c>
      <c r="H827" s="3">
        <f t="shared" si="12"/>
        <v>-3.9087256293318662E-3</v>
      </c>
      <c r="J827" s="3">
        <v>-6.5508666143365701E-3</v>
      </c>
      <c r="K827" s="3">
        <v>0.25966677145551714</v>
      </c>
    </row>
    <row r="828" spans="1:11" x14ac:dyDescent="0.2">
      <c r="A828" s="1">
        <v>42860</v>
      </c>
      <c r="B828">
        <v>62.057598114013601</v>
      </c>
      <c r="C828">
        <v>69</v>
      </c>
      <c r="D828">
        <v>69.029998779296804</v>
      </c>
      <c r="E828">
        <v>68.489997863769503</v>
      </c>
      <c r="F828">
        <v>68.900001525878906</v>
      </c>
      <c r="G828" s="2">
        <v>19128800</v>
      </c>
      <c r="H828" s="3">
        <f t="shared" si="12"/>
        <v>2.761101933258292E-3</v>
      </c>
      <c r="J828" s="3">
        <v>-6.5244808857478631E-3</v>
      </c>
      <c r="K828" s="3">
        <v>0.25998113800691608</v>
      </c>
    </row>
    <row r="829" spans="1:11" x14ac:dyDescent="0.2">
      <c r="A829" s="1">
        <v>42863</v>
      </c>
      <c r="B829">
        <v>62.003650665283203</v>
      </c>
      <c r="C829">
        <v>68.940002441406193</v>
      </c>
      <c r="D829">
        <v>69.050003051757798</v>
      </c>
      <c r="E829">
        <v>68.419998168945298</v>
      </c>
      <c r="F829">
        <v>68.970001220703097</v>
      </c>
      <c r="G829" s="2">
        <v>18566100</v>
      </c>
      <c r="H829" s="3">
        <f t="shared" si="12"/>
        <v>-8.6931254785727052E-4</v>
      </c>
      <c r="J829" s="3">
        <v>-6.4486611497847068E-3</v>
      </c>
      <c r="K829" s="3">
        <v>0.26029550455831502</v>
      </c>
    </row>
    <row r="830" spans="1:11" x14ac:dyDescent="0.2">
      <c r="A830" s="1">
        <v>42864</v>
      </c>
      <c r="B830">
        <v>62.093578338622997</v>
      </c>
      <c r="C830">
        <v>69.040000915527301</v>
      </c>
      <c r="D830">
        <v>69.279998779296804</v>
      </c>
      <c r="E830">
        <v>68.680000305175696</v>
      </c>
      <c r="F830">
        <v>68.860000610351506</v>
      </c>
      <c r="G830" s="2">
        <v>22858400</v>
      </c>
      <c r="H830" s="3">
        <f t="shared" si="12"/>
        <v>1.4503609444749266E-3</v>
      </c>
      <c r="J830" s="3">
        <v>-6.4378631452003399E-3</v>
      </c>
      <c r="K830" s="3">
        <v>0.26060987110971395</v>
      </c>
    </row>
    <row r="831" spans="1:11" x14ac:dyDescent="0.2">
      <c r="A831" s="1">
        <v>42865</v>
      </c>
      <c r="B831">
        <v>62.3364448547363</v>
      </c>
      <c r="C831">
        <v>69.309997558593693</v>
      </c>
      <c r="D831">
        <v>69.559997558593693</v>
      </c>
      <c r="E831">
        <v>68.919998168945298</v>
      </c>
      <c r="F831">
        <v>68.989997863769503</v>
      </c>
      <c r="G831" s="2">
        <v>17977800</v>
      </c>
      <c r="H831" s="3">
        <f t="shared" si="12"/>
        <v>3.9112984403772977E-3</v>
      </c>
      <c r="J831" s="3">
        <v>-6.4293959708270343E-3</v>
      </c>
      <c r="K831" s="3">
        <v>0.26092423766111283</v>
      </c>
    </row>
    <row r="832" spans="1:11" x14ac:dyDescent="0.2">
      <c r="A832" s="1">
        <v>42866</v>
      </c>
      <c r="B832">
        <v>61.571922302246001</v>
      </c>
      <c r="C832">
        <v>68.459999084472599</v>
      </c>
      <c r="D832">
        <v>68.730003356933594</v>
      </c>
      <c r="E832">
        <v>68.120002746582003</v>
      </c>
      <c r="F832">
        <v>68.360000610351506</v>
      </c>
      <c r="G832" s="2">
        <v>28789400</v>
      </c>
      <c r="H832" s="3">
        <f t="shared" si="12"/>
        <v>-1.2264455476597602E-2</v>
      </c>
      <c r="J832" s="3">
        <v>-6.425871965138219E-3</v>
      </c>
      <c r="K832" s="3">
        <v>0.26123860421251177</v>
      </c>
    </row>
    <row r="833" spans="1:11" x14ac:dyDescent="0.2">
      <c r="A833" s="1">
        <v>42867</v>
      </c>
      <c r="B833">
        <v>61.499980926513601</v>
      </c>
      <c r="C833">
        <v>68.379997253417898</v>
      </c>
      <c r="D833">
        <v>68.610000610351506</v>
      </c>
      <c r="E833">
        <v>68.040000915527301</v>
      </c>
      <c r="F833">
        <v>68.610000610351506</v>
      </c>
      <c r="G833" s="2">
        <v>18714100</v>
      </c>
      <c r="H833" s="3">
        <f t="shared" si="12"/>
        <v>-1.1684120463099079E-3</v>
      </c>
      <c r="J833" s="3">
        <v>-6.3984709480976454E-3</v>
      </c>
      <c r="K833" s="3">
        <v>0.26155297076391071</v>
      </c>
    </row>
    <row r="834" spans="1:11" x14ac:dyDescent="0.2">
      <c r="A834" s="1">
        <v>42870</v>
      </c>
      <c r="B834">
        <v>61.544933319091797</v>
      </c>
      <c r="C834">
        <v>68.430000305175696</v>
      </c>
      <c r="D834">
        <v>68.480003356933594</v>
      </c>
      <c r="E834">
        <v>67.569999694824205</v>
      </c>
      <c r="F834">
        <v>68.139999389648395</v>
      </c>
      <c r="G834" s="2">
        <v>31530300</v>
      </c>
      <c r="H834" s="3">
        <f t="shared" ref="H834:H897" si="13">B834/B833-1</f>
        <v>7.3093343934371724E-4</v>
      </c>
      <c r="J834" s="3">
        <v>-6.3828121323767917E-3</v>
      </c>
      <c r="K834" s="3">
        <v>0.26186733731530965</v>
      </c>
    </row>
    <row r="835" spans="1:11" x14ac:dyDescent="0.2">
      <c r="A835" s="1">
        <v>42871</v>
      </c>
      <c r="B835">
        <v>62.784191131591797</v>
      </c>
      <c r="C835">
        <v>69.410003662109304</v>
      </c>
      <c r="D835">
        <v>69.440002441406193</v>
      </c>
      <c r="E835">
        <v>68.160003662109304</v>
      </c>
      <c r="F835">
        <v>68.230003356933594</v>
      </c>
      <c r="G835" s="2">
        <v>34956000</v>
      </c>
      <c r="H835" s="3">
        <f t="shared" si="13"/>
        <v>2.0135821840521428E-2</v>
      </c>
      <c r="J835" s="3">
        <v>-6.3669608445725556E-3</v>
      </c>
      <c r="K835" s="3">
        <v>0.26218170386670858</v>
      </c>
    </row>
    <row r="836" spans="1:11" x14ac:dyDescent="0.2">
      <c r="A836" s="1">
        <v>42872</v>
      </c>
      <c r="B836">
        <v>61.038414001464801</v>
      </c>
      <c r="C836">
        <v>67.480003356933594</v>
      </c>
      <c r="D836">
        <v>69.099998474121094</v>
      </c>
      <c r="E836">
        <v>67.430000305175696</v>
      </c>
      <c r="F836">
        <v>68.889999389648395</v>
      </c>
      <c r="G836" s="2">
        <v>30548800</v>
      </c>
      <c r="H836" s="3">
        <f t="shared" si="13"/>
        <v>-2.7805998590759162E-2</v>
      </c>
      <c r="J836" s="3">
        <v>-6.3505043352454216E-3</v>
      </c>
      <c r="K836" s="3">
        <v>0.26249607041810752</v>
      </c>
    </row>
    <row r="837" spans="1:11" x14ac:dyDescent="0.2">
      <c r="A837" s="1">
        <v>42873</v>
      </c>
      <c r="B837">
        <v>61.246433258056598</v>
      </c>
      <c r="C837">
        <v>67.709999084472599</v>
      </c>
      <c r="D837">
        <v>68.129997253417898</v>
      </c>
      <c r="E837">
        <v>67.139999389648395</v>
      </c>
      <c r="F837">
        <v>67.400001525878906</v>
      </c>
      <c r="G837" s="2">
        <v>25201300</v>
      </c>
      <c r="H837" s="3">
        <f t="shared" si="13"/>
        <v>3.4080055977012691E-3</v>
      </c>
      <c r="J837" s="3">
        <v>-6.3265401047312153E-3</v>
      </c>
      <c r="K837" s="3">
        <v>0.26281043696950646</v>
      </c>
    </row>
    <row r="838" spans="1:11" x14ac:dyDescent="0.2">
      <c r="A838" s="1">
        <v>42874</v>
      </c>
      <c r="B838">
        <v>61.228378295898402</v>
      </c>
      <c r="C838">
        <v>67.690002441406193</v>
      </c>
      <c r="D838">
        <v>68.099998474121094</v>
      </c>
      <c r="E838">
        <v>67.430000305175696</v>
      </c>
      <c r="F838">
        <v>67.5</v>
      </c>
      <c r="G838" s="2">
        <v>26961100</v>
      </c>
      <c r="H838" s="3">
        <f t="shared" si="13"/>
        <v>-2.9479205886362436E-4</v>
      </c>
      <c r="J838" s="3">
        <v>-6.2922831653530187E-3</v>
      </c>
      <c r="K838" s="3">
        <v>0.26312480352090539</v>
      </c>
    </row>
    <row r="839" spans="1:11" x14ac:dyDescent="0.2">
      <c r="A839" s="1">
        <v>42877</v>
      </c>
      <c r="B839">
        <v>61.915813446044901</v>
      </c>
      <c r="C839">
        <v>68.449996948242102</v>
      </c>
      <c r="D839">
        <v>68.5</v>
      </c>
      <c r="E839">
        <v>67.5</v>
      </c>
      <c r="F839">
        <v>67.889999389648395</v>
      </c>
      <c r="G839" s="2">
        <v>16237600</v>
      </c>
      <c r="H839" s="3">
        <f t="shared" si="13"/>
        <v>1.122739437625353E-2</v>
      </c>
      <c r="J839" s="3">
        <v>-6.2780111358098356E-3</v>
      </c>
      <c r="K839" s="3">
        <v>0.26343917007230433</v>
      </c>
    </row>
    <row r="840" spans="1:11" x14ac:dyDescent="0.2">
      <c r="A840" s="1">
        <v>42878</v>
      </c>
      <c r="B840">
        <v>62.123870849609297</v>
      </c>
      <c r="C840">
        <v>68.680000305175696</v>
      </c>
      <c r="D840">
        <v>68.75</v>
      </c>
      <c r="E840">
        <v>68.379997253417898</v>
      </c>
      <c r="F840">
        <v>68.720001220703097</v>
      </c>
      <c r="G840" s="2">
        <v>15425800</v>
      </c>
      <c r="H840" s="3">
        <f t="shared" si="13"/>
        <v>3.3603273862452543E-3</v>
      </c>
      <c r="J840" s="3">
        <v>-6.2624418583544506E-3</v>
      </c>
      <c r="K840" s="3">
        <v>0.26375353662370321</v>
      </c>
    </row>
    <row r="841" spans="1:11" x14ac:dyDescent="0.2">
      <c r="A841" s="1">
        <v>42879</v>
      </c>
      <c r="B841">
        <v>62.205291748046797</v>
      </c>
      <c r="C841">
        <v>68.769996643066406</v>
      </c>
      <c r="D841">
        <v>68.879997253417898</v>
      </c>
      <c r="E841">
        <v>68.449996948242102</v>
      </c>
      <c r="F841">
        <v>68.870002746582003</v>
      </c>
      <c r="G841" s="2">
        <v>14593900</v>
      </c>
      <c r="H841" s="3">
        <f t="shared" si="13"/>
        <v>1.3106217839291556E-3</v>
      </c>
      <c r="J841" s="3">
        <v>-6.2567886260247452E-3</v>
      </c>
      <c r="K841" s="3">
        <v>0.26406790317510215</v>
      </c>
    </row>
    <row r="842" spans="1:11" x14ac:dyDescent="0.2">
      <c r="A842" s="1">
        <v>42880</v>
      </c>
      <c r="B842">
        <v>62.974155426025298</v>
      </c>
      <c r="C842">
        <v>69.620002746582003</v>
      </c>
      <c r="D842">
        <v>69.879997253417898</v>
      </c>
      <c r="E842">
        <v>68.910003662109304</v>
      </c>
      <c r="F842">
        <v>68.970001220703097</v>
      </c>
      <c r="G842" s="2">
        <v>21854100</v>
      </c>
      <c r="H842" s="3">
        <f t="shared" si="13"/>
        <v>1.2360100826995124E-2</v>
      </c>
      <c r="J842" s="3">
        <v>-6.2566160410872929E-3</v>
      </c>
      <c r="K842" s="3">
        <v>0.26438226972650108</v>
      </c>
    </row>
    <row r="843" spans="1:11" x14ac:dyDescent="0.2">
      <c r="A843" s="1">
        <v>42881</v>
      </c>
      <c r="B843">
        <v>63.281684875488203</v>
      </c>
      <c r="C843">
        <v>69.959999084472599</v>
      </c>
      <c r="D843">
        <v>70.220001220703097</v>
      </c>
      <c r="E843">
        <v>69.519996643066406</v>
      </c>
      <c r="F843">
        <v>69.800003051757798</v>
      </c>
      <c r="G843" s="2">
        <v>19827900</v>
      </c>
      <c r="H843" s="3">
        <f t="shared" si="13"/>
        <v>4.8834231659391492E-3</v>
      </c>
      <c r="J843" s="3">
        <v>-6.1960425932590102E-3</v>
      </c>
      <c r="K843" s="3">
        <v>0.26469663627790002</v>
      </c>
    </row>
    <row r="844" spans="1:11" x14ac:dyDescent="0.2">
      <c r="A844" s="1">
        <v>42885</v>
      </c>
      <c r="B844">
        <v>63.688709259033203</v>
      </c>
      <c r="C844">
        <v>70.410003662109304</v>
      </c>
      <c r="D844">
        <v>70.410003662109304</v>
      </c>
      <c r="E844">
        <v>69.769996643066406</v>
      </c>
      <c r="F844">
        <v>69.790000915527301</v>
      </c>
      <c r="G844" s="2">
        <v>17072800</v>
      </c>
      <c r="H844" s="3">
        <f t="shared" si="13"/>
        <v>6.4319460574706611E-3</v>
      </c>
      <c r="J844" s="3">
        <v>-6.1873727681593937E-3</v>
      </c>
      <c r="K844" s="3">
        <v>0.26501100282929896</v>
      </c>
    </row>
    <row r="845" spans="1:11" x14ac:dyDescent="0.2">
      <c r="A845" s="1">
        <v>42886</v>
      </c>
      <c r="B845">
        <v>63.1731147766113</v>
      </c>
      <c r="C845">
        <v>69.839996337890597</v>
      </c>
      <c r="D845">
        <v>70.739997863769503</v>
      </c>
      <c r="E845">
        <v>69.809997558593693</v>
      </c>
      <c r="F845">
        <v>70.529998779296804</v>
      </c>
      <c r="G845" s="2">
        <v>30436400</v>
      </c>
      <c r="H845" s="3">
        <f t="shared" si="13"/>
        <v>-8.0955398283374391E-3</v>
      </c>
      <c r="J845" s="3">
        <v>-6.1826561807603042E-3</v>
      </c>
      <c r="K845" s="3">
        <v>0.2653253693806979</v>
      </c>
    </row>
    <row r="846" spans="1:11" x14ac:dyDescent="0.2">
      <c r="A846" s="1">
        <v>42887</v>
      </c>
      <c r="B846">
        <v>63.408332824707003</v>
      </c>
      <c r="C846">
        <v>70.099998474121094</v>
      </c>
      <c r="D846">
        <v>70.610000610351506</v>
      </c>
      <c r="E846">
        <v>69.449996948242102</v>
      </c>
      <c r="F846">
        <v>70.239997863769503</v>
      </c>
      <c r="G846" s="2">
        <v>21603600</v>
      </c>
      <c r="H846" s="3">
        <f t="shared" si="13"/>
        <v>3.7233884846024079E-3</v>
      </c>
      <c r="J846" s="3">
        <v>-6.1749536081390222E-3</v>
      </c>
      <c r="K846" s="3">
        <v>0.26563973593209683</v>
      </c>
    </row>
    <row r="847" spans="1:11" x14ac:dyDescent="0.2">
      <c r="A847" s="1">
        <v>42888</v>
      </c>
      <c r="B847">
        <v>64.909843444824205</v>
      </c>
      <c r="C847">
        <v>71.760002136230398</v>
      </c>
      <c r="D847">
        <v>71.860000610351506</v>
      </c>
      <c r="E847">
        <v>70.239997863769503</v>
      </c>
      <c r="F847">
        <v>70.440002441406193</v>
      </c>
      <c r="G847" s="2">
        <v>34770300</v>
      </c>
      <c r="H847" s="3">
        <f t="shared" si="13"/>
        <v>2.3680020483556108E-2</v>
      </c>
      <c r="J847" s="3">
        <v>-6.1715404983065936E-3</v>
      </c>
      <c r="K847" s="3">
        <v>0.26595410248349577</v>
      </c>
    </row>
    <row r="848" spans="1:11" x14ac:dyDescent="0.2">
      <c r="A848" s="1">
        <v>42891</v>
      </c>
      <c r="B848">
        <v>65.380210876464801</v>
      </c>
      <c r="C848">
        <v>72.279998779296804</v>
      </c>
      <c r="D848">
        <v>72.889999389648395</v>
      </c>
      <c r="E848">
        <v>71.809997558593693</v>
      </c>
      <c r="F848">
        <v>71.970001220703097</v>
      </c>
      <c r="G848" s="2">
        <v>33316800</v>
      </c>
      <c r="H848" s="3">
        <f t="shared" si="13"/>
        <v>7.2464730567471936E-3</v>
      </c>
      <c r="J848" s="3">
        <v>-6.1508611320745255E-3</v>
      </c>
      <c r="K848" s="3">
        <v>0.26626846903489471</v>
      </c>
    </row>
    <row r="849" spans="1:11" x14ac:dyDescent="0.2">
      <c r="A849" s="1">
        <v>42892</v>
      </c>
      <c r="B849">
        <v>65.5972900390625</v>
      </c>
      <c r="C849">
        <v>72.519996643066406</v>
      </c>
      <c r="D849">
        <v>72.620002746582003</v>
      </c>
      <c r="E849">
        <v>72.269996643066406</v>
      </c>
      <c r="F849">
        <v>72.300003051757798</v>
      </c>
      <c r="G849" s="2">
        <v>31511100</v>
      </c>
      <c r="H849" s="3">
        <f t="shared" si="13"/>
        <v>3.320257914246616E-3</v>
      </c>
      <c r="J849" s="3">
        <v>-6.1493060508357456E-3</v>
      </c>
      <c r="K849" s="3">
        <v>0.26658283558629364</v>
      </c>
    </row>
    <row r="850" spans="1:11" x14ac:dyDescent="0.2">
      <c r="A850" s="1">
        <v>42893</v>
      </c>
      <c r="B850">
        <v>65.479721069335895</v>
      </c>
      <c r="C850">
        <v>72.389999389648395</v>
      </c>
      <c r="D850">
        <v>72.769996643066406</v>
      </c>
      <c r="E850">
        <v>71.949996948242102</v>
      </c>
      <c r="F850">
        <v>72.639999389648395</v>
      </c>
      <c r="G850" s="2">
        <v>22301800</v>
      </c>
      <c r="H850" s="3">
        <f t="shared" si="13"/>
        <v>-1.7922839443000882E-3</v>
      </c>
      <c r="J850" s="3">
        <v>-6.1222173931956281E-3</v>
      </c>
      <c r="K850" s="3">
        <v>0.26689720213769252</v>
      </c>
    </row>
    <row r="851" spans="1:11" x14ac:dyDescent="0.2">
      <c r="A851" s="1">
        <v>42894</v>
      </c>
      <c r="B851">
        <v>65.081703186035099</v>
      </c>
      <c r="C851">
        <v>71.949996948242102</v>
      </c>
      <c r="D851">
        <v>72.519996643066406</v>
      </c>
      <c r="E851">
        <v>71.5</v>
      </c>
      <c r="F851">
        <v>72.510002136230398</v>
      </c>
      <c r="G851" s="2">
        <v>24588300</v>
      </c>
      <c r="H851" s="3">
        <f t="shared" si="13"/>
        <v>-6.0784908182387465E-3</v>
      </c>
      <c r="J851" s="3">
        <v>-6.1191818610786264E-3</v>
      </c>
      <c r="K851" s="3">
        <v>0.26721156868909146</v>
      </c>
    </row>
    <row r="852" spans="1:11" x14ac:dyDescent="0.2">
      <c r="A852" s="1">
        <v>42895</v>
      </c>
      <c r="B852">
        <v>63.607311248779297</v>
      </c>
      <c r="C852">
        <v>70.319999694824205</v>
      </c>
      <c r="D852">
        <v>72.080001831054602</v>
      </c>
      <c r="E852">
        <v>68.589996337890597</v>
      </c>
      <c r="F852">
        <v>72.040000915527301</v>
      </c>
      <c r="G852" s="2">
        <v>49187400</v>
      </c>
      <c r="H852" s="3">
        <f t="shared" si="13"/>
        <v>-2.265447683569799E-2</v>
      </c>
      <c r="J852" s="3">
        <v>-6.1158567709064249E-3</v>
      </c>
      <c r="K852" s="3">
        <v>0.2675259352404904</v>
      </c>
    </row>
    <row r="853" spans="1:11" x14ac:dyDescent="0.2">
      <c r="A853" s="1">
        <v>42898</v>
      </c>
      <c r="B853">
        <v>63.118885040283203</v>
      </c>
      <c r="C853">
        <v>69.779998779296804</v>
      </c>
      <c r="D853">
        <v>69.940002441406193</v>
      </c>
      <c r="E853">
        <v>68.129997253417898</v>
      </c>
      <c r="F853">
        <v>69.25</v>
      </c>
      <c r="G853" s="2">
        <v>47761700</v>
      </c>
      <c r="H853" s="3">
        <f t="shared" si="13"/>
        <v>-7.6787746393771616E-3</v>
      </c>
      <c r="J853" s="3">
        <v>-6.1157676127600036E-3</v>
      </c>
      <c r="K853" s="3">
        <v>0.26784030179188933</v>
      </c>
    </row>
    <row r="854" spans="1:11" x14ac:dyDescent="0.2">
      <c r="A854" s="1">
        <v>42899</v>
      </c>
      <c r="B854">
        <v>63.905811309814403</v>
      </c>
      <c r="C854">
        <v>70.650001525878906</v>
      </c>
      <c r="D854">
        <v>70.819999694824205</v>
      </c>
      <c r="E854">
        <v>69.959999084472599</v>
      </c>
      <c r="F854">
        <v>70.019996643066406</v>
      </c>
      <c r="G854" s="2">
        <v>25258600</v>
      </c>
      <c r="H854" s="3">
        <f t="shared" si="13"/>
        <v>1.2467366447125539E-2</v>
      </c>
      <c r="J854" s="3">
        <v>-6.1128249168822535E-3</v>
      </c>
      <c r="K854" s="3">
        <v>0.26815466834328827</v>
      </c>
    </row>
    <row r="855" spans="1:11" x14ac:dyDescent="0.2">
      <c r="A855" s="1">
        <v>42900</v>
      </c>
      <c r="B855">
        <v>63.562088012695298</v>
      </c>
      <c r="C855">
        <v>70.269996643066406</v>
      </c>
      <c r="D855">
        <v>71.099998474121094</v>
      </c>
      <c r="E855">
        <v>69.430000305175696</v>
      </c>
      <c r="F855">
        <v>70.910003662109304</v>
      </c>
      <c r="G855" s="2">
        <v>25510700</v>
      </c>
      <c r="H855" s="3">
        <f t="shared" si="13"/>
        <v>-5.3785921823719107E-3</v>
      </c>
      <c r="J855" s="3">
        <v>-6.1125000129499396E-3</v>
      </c>
      <c r="K855" s="3">
        <v>0.26846903489468721</v>
      </c>
    </row>
    <row r="856" spans="1:11" x14ac:dyDescent="0.2">
      <c r="A856" s="1">
        <v>42901</v>
      </c>
      <c r="B856">
        <v>63.2274169921875</v>
      </c>
      <c r="C856">
        <v>69.900001525878906</v>
      </c>
      <c r="D856">
        <v>70.209999084472599</v>
      </c>
      <c r="E856">
        <v>68.800003051757798</v>
      </c>
      <c r="F856">
        <v>69.269996643066406</v>
      </c>
      <c r="G856" s="2">
        <v>26068700</v>
      </c>
      <c r="H856" s="3">
        <f t="shared" si="13"/>
        <v>-5.2652615886525922E-3</v>
      </c>
      <c r="J856" s="3">
        <v>-6.10908654205089E-3</v>
      </c>
      <c r="K856" s="3">
        <v>0.26878340144608615</v>
      </c>
    </row>
    <row r="857" spans="1:11" x14ac:dyDescent="0.2">
      <c r="A857" s="1">
        <v>42902</v>
      </c>
      <c r="B857">
        <v>63.317863464355398</v>
      </c>
      <c r="C857">
        <v>70</v>
      </c>
      <c r="D857">
        <v>70.029998779296804</v>
      </c>
      <c r="E857">
        <v>69.220001220703097</v>
      </c>
      <c r="F857">
        <v>69.730003356933594</v>
      </c>
      <c r="G857" s="2">
        <v>48345100</v>
      </c>
      <c r="H857" s="3">
        <f t="shared" si="13"/>
        <v>1.4304944985981116E-3</v>
      </c>
      <c r="J857" s="3">
        <v>-6.1033402850690921E-3</v>
      </c>
      <c r="K857" s="3">
        <v>0.26909776799748508</v>
      </c>
    </row>
    <row r="858" spans="1:11" x14ac:dyDescent="0.2">
      <c r="A858" s="1">
        <v>42905</v>
      </c>
      <c r="B858">
        <v>64.104812622070298</v>
      </c>
      <c r="C858">
        <v>70.870002746582003</v>
      </c>
      <c r="D858">
        <v>70.940002441406193</v>
      </c>
      <c r="E858">
        <v>70.349998474121094</v>
      </c>
      <c r="F858">
        <v>70.5</v>
      </c>
      <c r="G858" s="2">
        <v>23798300</v>
      </c>
      <c r="H858" s="3">
        <f t="shared" si="13"/>
        <v>1.2428548827423835E-2</v>
      </c>
      <c r="J858" s="3">
        <v>-6.0814984915238401E-3</v>
      </c>
      <c r="K858" s="3">
        <v>0.26941213454888402</v>
      </c>
    </row>
    <row r="859" spans="1:11" x14ac:dyDescent="0.2">
      <c r="A859" s="1">
        <v>42906</v>
      </c>
      <c r="B859">
        <v>63.236438751220703</v>
      </c>
      <c r="C859">
        <v>69.910003662109304</v>
      </c>
      <c r="D859">
        <v>70.870002746582003</v>
      </c>
      <c r="E859">
        <v>69.870002746582003</v>
      </c>
      <c r="F859">
        <v>70.819999694824205</v>
      </c>
      <c r="G859" s="2">
        <v>21512200</v>
      </c>
      <c r="H859" s="3">
        <f t="shared" si="13"/>
        <v>-1.3546157227993016E-2</v>
      </c>
      <c r="J859" s="3">
        <v>-6.0802870909228979E-3</v>
      </c>
      <c r="K859" s="3">
        <v>0.26972650110028296</v>
      </c>
    </row>
    <row r="860" spans="1:11" x14ac:dyDescent="0.2">
      <c r="A860" s="1">
        <v>42907</v>
      </c>
      <c r="B860">
        <v>63.562088012695298</v>
      </c>
      <c r="C860">
        <v>70.269996643066406</v>
      </c>
      <c r="D860">
        <v>70.620002746582003</v>
      </c>
      <c r="E860">
        <v>69.940002441406193</v>
      </c>
      <c r="F860">
        <v>70.209999084472599</v>
      </c>
      <c r="G860" s="2">
        <v>19891100</v>
      </c>
      <c r="H860" s="3">
        <f t="shared" si="13"/>
        <v>5.1497090586605232E-3</v>
      </c>
      <c r="J860" s="3">
        <v>-6.0784908182387465E-3</v>
      </c>
      <c r="K860" s="3">
        <v>0.27004086765168184</v>
      </c>
    </row>
    <row r="861" spans="1:11" x14ac:dyDescent="0.2">
      <c r="A861" s="1">
        <v>42908</v>
      </c>
      <c r="B861">
        <v>63.553050994872997</v>
      </c>
      <c r="C861">
        <v>70.260002136230398</v>
      </c>
      <c r="D861">
        <v>70.589996337890597</v>
      </c>
      <c r="E861">
        <v>69.709999084472599</v>
      </c>
      <c r="F861">
        <v>70.540000915527301</v>
      </c>
      <c r="G861" s="2">
        <v>22965700</v>
      </c>
      <c r="H861" s="3">
        <f t="shared" si="13"/>
        <v>-1.4217622650303241E-4</v>
      </c>
      <c r="J861" s="3">
        <v>-6.0683286131966163E-3</v>
      </c>
      <c r="K861" s="3">
        <v>0.27035523420308077</v>
      </c>
    </row>
    <row r="862" spans="1:11" x14ac:dyDescent="0.2">
      <c r="A862" s="1">
        <v>42909</v>
      </c>
      <c r="B862">
        <v>64.412361145019503</v>
      </c>
      <c r="C862">
        <v>71.209999084472599</v>
      </c>
      <c r="D862">
        <v>71.25</v>
      </c>
      <c r="E862">
        <v>69.919998168945298</v>
      </c>
      <c r="F862">
        <v>70.089996337890597</v>
      </c>
      <c r="G862" s="2">
        <v>27617300</v>
      </c>
      <c r="H862" s="3">
        <f t="shared" si="13"/>
        <v>1.3521147084123886E-2</v>
      </c>
      <c r="J862" s="3">
        <v>-6.0666430303963903E-3</v>
      </c>
      <c r="K862" s="3">
        <v>0.27066960075447971</v>
      </c>
    </row>
    <row r="863" spans="1:11" x14ac:dyDescent="0.2">
      <c r="A863" s="1">
        <v>42912</v>
      </c>
      <c r="B863">
        <v>63.797275543212798</v>
      </c>
      <c r="C863">
        <v>70.529998779296804</v>
      </c>
      <c r="D863">
        <v>71.709999084472599</v>
      </c>
      <c r="E863">
        <v>70.440002441406193</v>
      </c>
      <c r="F863">
        <v>71.400001525878906</v>
      </c>
      <c r="G863" s="2">
        <v>19607000</v>
      </c>
      <c r="H863" s="3">
        <f t="shared" si="13"/>
        <v>-9.5491857598867247E-3</v>
      </c>
      <c r="J863" s="3">
        <v>-6.0433162130095752E-3</v>
      </c>
      <c r="K863" s="3">
        <v>0.27098396730587865</v>
      </c>
    </row>
    <row r="864" spans="1:11" x14ac:dyDescent="0.2">
      <c r="A864" s="1">
        <v>42913</v>
      </c>
      <c r="B864">
        <v>62.603248596191399</v>
      </c>
      <c r="C864">
        <v>69.209999084472599</v>
      </c>
      <c r="D864">
        <v>70.180000305175696</v>
      </c>
      <c r="E864">
        <v>69.180000305175696</v>
      </c>
      <c r="F864">
        <v>70.110000610351506</v>
      </c>
      <c r="G864" s="2">
        <v>25215100</v>
      </c>
      <c r="H864" s="3">
        <f t="shared" si="13"/>
        <v>-1.8715955138438933E-2</v>
      </c>
      <c r="J864" s="3">
        <v>-6.0349078699214465E-3</v>
      </c>
      <c r="K864" s="3">
        <v>0.27129833385727758</v>
      </c>
    </row>
    <row r="865" spans="1:11" x14ac:dyDescent="0.2">
      <c r="A865" s="1">
        <v>42914</v>
      </c>
      <c r="B865">
        <v>63.136959075927699</v>
      </c>
      <c r="C865">
        <v>69.800003051757798</v>
      </c>
      <c r="D865">
        <v>69.839996337890597</v>
      </c>
      <c r="E865">
        <v>68.790000915527301</v>
      </c>
      <c r="F865">
        <v>69.209999084472599</v>
      </c>
      <c r="G865" s="2">
        <v>25806200</v>
      </c>
      <c r="H865" s="3">
        <f t="shared" si="13"/>
        <v>8.5252840979368472E-3</v>
      </c>
      <c r="J865" s="3">
        <v>-6.0310624548755021E-3</v>
      </c>
      <c r="K865" s="3">
        <v>0.27161270040867652</v>
      </c>
    </row>
    <row r="866" spans="1:11" x14ac:dyDescent="0.2">
      <c r="A866" s="1">
        <v>42915</v>
      </c>
      <c r="B866">
        <v>61.952003479003899</v>
      </c>
      <c r="C866">
        <v>68.489997863769503</v>
      </c>
      <c r="D866">
        <v>69.489997863769503</v>
      </c>
      <c r="E866">
        <v>68.089996337890597</v>
      </c>
      <c r="F866">
        <v>69.379997253417898</v>
      </c>
      <c r="G866" s="2">
        <v>28918700</v>
      </c>
      <c r="H866" s="3">
        <f t="shared" si="13"/>
        <v>-1.8768018198323189E-2</v>
      </c>
      <c r="J866" s="3">
        <v>-6.0294691355624597E-3</v>
      </c>
      <c r="K866" s="3">
        <v>0.27192706696007546</v>
      </c>
    </row>
    <row r="867" spans="1:11" x14ac:dyDescent="0.2">
      <c r="A867" s="1">
        <v>42916</v>
      </c>
      <c r="B867">
        <v>62.350006103515597</v>
      </c>
      <c r="C867">
        <v>68.930000305175696</v>
      </c>
      <c r="D867">
        <v>69.379997253417898</v>
      </c>
      <c r="E867">
        <v>68.739997863769503</v>
      </c>
      <c r="F867">
        <v>68.779998779296804</v>
      </c>
      <c r="G867" s="2">
        <v>24161100</v>
      </c>
      <c r="H867" s="3">
        <f t="shared" si="13"/>
        <v>6.4243705152584596E-3</v>
      </c>
      <c r="J867" s="3">
        <v>-6.0141788015209974E-3</v>
      </c>
      <c r="K867" s="3">
        <v>0.2722414335114744</v>
      </c>
    </row>
    <row r="868" spans="1:11" x14ac:dyDescent="0.2">
      <c r="A868" s="1">
        <v>42919</v>
      </c>
      <c r="B868">
        <v>61.662544250488203</v>
      </c>
      <c r="C868">
        <v>68.169998168945298</v>
      </c>
      <c r="D868">
        <v>69.599998474121094</v>
      </c>
      <c r="E868">
        <v>68.019996643066406</v>
      </c>
      <c r="F868">
        <v>69.330001831054602</v>
      </c>
      <c r="G868" s="2">
        <v>16165500</v>
      </c>
      <c r="H868" s="3">
        <f t="shared" si="13"/>
        <v>-1.1025850613166632E-2</v>
      </c>
      <c r="J868" s="3">
        <v>-6.0043186506069102E-3</v>
      </c>
      <c r="K868" s="3">
        <v>0.27255580006287333</v>
      </c>
    </row>
    <row r="869" spans="1:11" x14ac:dyDescent="0.2">
      <c r="A869" s="1">
        <v>42921</v>
      </c>
      <c r="B869">
        <v>62.485698699951101</v>
      </c>
      <c r="C869">
        <v>69.080001831054602</v>
      </c>
      <c r="D869">
        <v>69.440002441406193</v>
      </c>
      <c r="E869">
        <v>68.220001220703097</v>
      </c>
      <c r="F869">
        <v>68.260002136230398</v>
      </c>
      <c r="G869" s="2">
        <v>21176300</v>
      </c>
      <c r="H869" s="3">
        <f t="shared" si="13"/>
        <v>1.3349342935300212E-2</v>
      </c>
      <c r="J869" s="3">
        <v>-5.9639482999149784E-3</v>
      </c>
      <c r="K869" s="3">
        <v>0.27287016661427221</v>
      </c>
    </row>
    <row r="870" spans="1:11" x14ac:dyDescent="0.2">
      <c r="A870" s="1">
        <v>42922</v>
      </c>
      <c r="B870">
        <v>62.024345397949197</v>
      </c>
      <c r="C870">
        <v>68.569999694824205</v>
      </c>
      <c r="D870">
        <v>68.779998779296804</v>
      </c>
      <c r="E870">
        <v>68.120002746582003</v>
      </c>
      <c r="F870">
        <v>68.269996643066406</v>
      </c>
      <c r="G870" s="2">
        <v>21117600</v>
      </c>
      <c r="H870" s="3">
        <f t="shared" si="13"/>
        <v>-7.3833422943266891E-3</v>
      </c>
      <c r="J870" s="3">
        <v>-5.9595621794972242E-3</v>
      </c>
      <c r="K870" s="3">
        <v>0.27318453316567115</v>
      </c>
    </row>
    <row r="871" spans="1:11" x14ac:dyDescent="0.2">
      <c r="A871" s="1">
        <v>42923</v>
      </c>
      <c r="B871">
        <v>62.829402923583899</v>
      </c>
      <c r="C871">
        <v>69.459999084472599</v>
      </c>
      <c r="D871">
        <v>69.839996337890597</v>
      </c>
      <c r="E871">
        <v>68.699996948242102</v>
      </c>
      <c r="F871">
        <v>68.699996948242102</v>
      </c>
      <c r="G871" s="2">
        <v>16878300</v>
      </c>
      <c r="H871" s="3">
        <f t="shared" si="13"/>
        <v>1.2979702090678114E-2</v>
      </c>
      <c r="J871" s="3">
        <v>-5.9455757627915329E-3</v>
      </c>
      <c r="K871" s="3">
        <v>0.27349889971707009</v>
      </c>
    </row>
    <row r="872" spans="1:11" x14ac:dyDescent="0.2">
      <c r="A872" s="1">
        <v>42926</v>
      </c>
      <c r="B872">
        <v>63.299797058105398</v>
      </c>
      <c r="C872">
        <v>69.980003356933594</v>
      </c>
      <c r="D872">
        <v>70.25</v>
      </c>
      <c r="E872">
        <v>69.199996948242102</v>
      </c>
      <c r="F872">
        <v>69.459999084472599</v>
      </c>
      <c r="G872" s="2">
        <v>15014500</v>
      </c>
      <c r="H872" s="3">
        <f t="shared" si="13"/>
        <v>7.4868471230518097E-3</v>
      </c>
      <c r="J872" s="3">
        <v>-5.9322667774777127E-3</v>
      </c>
      <c r="K872" s="3">
        <v>0.27381326626846902</v>
      </c>
    </row>
    <row r="873" spans="1:11" x14ac:dyDescent="0.2">
      <c r="A873" s="1">
        <v>42927</v>
      </c>
      <c r="B873">
        <v>63.308784484863203</v>
      </c>
      <c r="C873">
        <v>69.989997863769503</v>
      </c>
      <c r="D873">
        <v>70.680000305175696</v>
      </c>
      <c r="E873">
        <v>69.75</v>
      </c>
      <c r="F873">
        <v>70</v>
      </c>
      <c r="G873" s="2">
        <v>17460000</v>
      </c>
      <c r="H873" s="3">
        <f t="shared" si="13"/>
        <v>1.419819205668027E-4</v>
      </c>
      <c r="J873" s="3">
        <v>-5.9314291377008388E-3</v>
      </c>
      <c r="K873" s="3">
        <v>0.27412763281986796</v>
      </c>
    </row>
    <row r="874" spans="1:11" x14ac:dyDescent="0.2">
      <c r="A874" s="1">
        <v>42928</v>
      </c>
      <c r="B874">
        <v>64.358062744140597</v>
      </c>
      <c r="C874">
        <v>71.150001525878906</v>
      </c>
      <c r="D874">
        <v>71.279998779296804</v>
      </c>
      <c r="E874">
        <v>70.550003051757798</v>
      </c>
      <c r="F874">
        <v>70.690002441406193</v>
      </c>
      <c r="G874" s="2">
        <v>17750900</v>
      </c>
      <c r="H874" s="3">
        <f t="shared" si="13"/>
        <v>1.6573975757318005E-2</v>
      </c>
      <c r="J874" s="3">
        <v>-5.9260024727341154E-3</v>
      </c>
      <c r="K874" s="3">
        <v>0.2744419993712669</v>
      </c>
    </row>
    <row r="875" spans="1:11" x14ac:dyDescent="0.2">
      <c r="A875" s="1">
        <v>42929</v>
      </c>
      <c r="B875">
        <v>64.918899536132798</v>
      </c>
      <c r="C875">
        <v>71.769996643066406</v>
      </c>
      <c r="D875">
        <v>72.040000915527301</v>
      </c>
      <c r="E875">
        <v>71.309997558593693</v>
      </c>
      <c r="F875">
        <v>71.5</v>
      </c>
      <c r="G875" s="2">
        <v>20269800</v>
      </c>
      <c r="H875" s="3">
        <f t="shared" si="13"/>
        <v>8.7143206006967677E-3</v>
      </c>
      <c r="J875" s="3">
        <v>-5.921018677011225E-3</v>
      </c>
      <c r="K875" s="3">
        <v>0.27475636592266584</v>
      </c>
    </row>
    <row r="876" spans="1:11" x14ac:dyDescent="0.2">
      <c r="A876" s="1">
        <v>42930</v>
      </c>
      <c r="B876">
        <v>65.832481384277301</v>
      </c>
      <c r="C876">
        <v>72.779998779296804</v>
      </c>
      <c r="D876">
        <v>73.269996643066406</v>
      </c>
      <c r="E876">
        <v>71.959999084472599</v>
      </c>
      <c r="F876">
        <v>72.239997863769503</v>
      </c>
      <c r="G876" s="2">
        <v>25868100</v>
      </c>
      <c r="H876" s="3">
        <f t="shared" si="13"/>
        <v>1.4072663810883235E-2</v>
      </c>
      <c r="J876" s="3">
        <v>-5.9148839421105937E-3</v>
      </c>
      <c r="K876" s="3">
        <v>0.27507073247406477</v>
      </c>
    </row>
    <row r="877" spans="1:11" x14ac:dyDescent="0.2">
      <c r="A877" s="1">
        <v>42933</v>
      </c>
      <c r="B877">
        <v>66.348091125488196</v>
      </c>
      <c r="C877">
        <v>73.349998474121094</v>
      </c>
      <c r="D877">
        <v>73.449996948242102</v>
      </c>
      <c r="E877">
        <v>72.720001220703097</v>
      </c>
      <c r="F877">
        <v>72.800003051757798</v>
      </c>
      <c r="G877" s="2">
        <v>21803900</v>
      </c>
      <c r="H877" s="3">
        <f t="shared" si="13"/>
        <v>7.8321480577525637E-3</v>
      </c>
      <c r="J877" s="3">
        <v>-5.9137607837527195E-3</v>
      </c>
      <c r="K877" s="3">
        <v>0.27538509902546371</v>
      </c>
    </row>
    <row r="878" spans="1:11" x14ac:dyDescent="0.2">
      <c r="A878" s="1">
        <v>42934</v>
      </c>
      <c r="B878">
        <v>66.302864074707003</v>
      </c>
      <c r="C878">
        <v>73.300003051757798</v>
      </c>
      <c r="D878">
        <v>73.389999389648395</v>
      </c>
      <c r="E878">
        <v>72.660003662109304</v>
      </c>
      <c r="F878">
        <v>73.089996337890597</v>
      </c>
      <c r="G878" s="2">
        <v>26435300</v>
      </c>
      <c r="H878" s="3">
        <f t="shared" si="13"/>
        <v>-6.8166317996476433E-4</v>
      </c>
      <c r="J878" s="3">
        <v>-5.9092946082399678E-3</v>
      </c>
      <c r="K878" s="3">
        <v>0.27569946557686265</v>
      </c>
    </row>
    <row r="879" spans="1:11" x14ac:dyDescent="0.2">
      <c r="A879" s="1">
        <v>42935</v>
      </c>
      <c r="B879">
        <v>66.809410095214801</v>
      </c>
      <c r="C879">
        <v>73.860000610351506</v>
      </c>
      <c r="D879">
        <v>74.040000915527301</v>
      </c>
      <c r="E879">
        <v>73.449996948242102</v>
      </c>
      <c r="F879">
        <v>73.5</v>
      </c>
      <c r="G879" s="2">
        <v>22416200</v>
      </c>
      <c r="H879" s="3">
        <f t="shared" si="13"/>
        <v>7.6398814376561486E-3</v>
      </c>
      <c r="J879" s="3">
        <v>-5.9081062158659048E-3</v>
      </c>
      <c r="K879" s="3">
        <v>0.27601383212826153</v>
      </c>
    </row>
    <row r="880" spans="1:11" x14ac:dyDescent="0.2">
      <c r="A880" s="1">
        <v>42936</v>
      </c>
      <c r="B880">
        <v>67.135040283203097</v>
      </c>
      <c r="C880">
        <v>74.220001220703097</v>
      </c>
      <c r="D880">
        <v>74.300003051757798</v>
      </c>
      <c r="E880">
        <v>73.279998779296804</v>
      </c>
      <c r="F880">
        <v>74.180000305175696</v>
      </c>
      <c r="G880" s="2">
        <v>42361000</v>
      </c>
      <c r="H880" s="3">
        <f t="shared" si="13"/>
        <v>4.8740168117666904E-3</v>
      </c>
      <c r="J880" s="3">
        <v>-5.9023878763952986E-3</v>
      </c>
      <c r="K880" s="3">
        <v>0.27632819867966046</v>
      </c>
    </row>
    <row r="881" spans="1:11" x14ac:dyDescent="0.2">
      <c r="A881" s="1">
        <v>42937</v>
      </c>
      <c r="B881">
        <v>66.74609375</v>
      </c>
      <c r="C881">
        <v>73.790000915527301</v>
      </c>
      <c r="D881">
        <v>74.290000915527301</v>
      </c>
      <c r="E881">
        <v>73.169998168945298</v>
      </c>
      <c r="F881">
        <v>73.449996948242102</v>
      </c>
      <c r="G881" s="2">
        <v>46717100</v>
      </c>
      <c r="H881" s="3">
        <f t="shared" si="13"/>
        <v>-5.7934951936032819E-3</v>
      </c>
      <c r="J881" s="3">
        <v>-5.9018533378908389E-3</v>
      </c>
      <c r="K881" s="3">
        <v>0.2766425652310594</v>
      </c>
    </row>
    <row r="882" spans="1:11" x14ac:dyDescent="0.2">
      <c r="A882" s="1">
        <v>42940</v>
      </c>
      <c r="B882">
        <v>66.57421875</v>
      </c>
      <c r="C882">
        <v>73.599998474121094</v>
      </c>
      <c r="D882">
        <v>73.75</v>
      </c>
      <c r="E882">
        <v>73.129997253417898</v>
      </c>
      <c r="F882">
        <v>73.529998779296804</v>
      </c>
      <c r="G882" s="2">
        <v>21394800</v>
      </c>
      <c r="H882" s="3">
        <f t="shared" si="13"/>
        <v>-2.5750570609235357E-3</v>
      </c>
      <c r="J882" s="3">
        <v>-5.8970459987497392E-3</v>
      </c>
      <c r="K882" s="3">
        <v>0.27695693178245834</v>
      </c>
    </row>
    <row r="883" spans="1:11" x14ac:dyDescent="0.2">
      <c r="A883" s="1">
        <v>42941</v>
      </c>
      <c r="B883">
        <v>67.107894897460895</v>
      </c>
      <c r="C883">
        <v>74.190002441406193</v>
      </c>
      <c r="D883">
        <v>74.309997558593693</v>
      </c>
      <c r="E883">
        <v>73.5</v>
      </c>
      <c r="F883">
        <v>73.800003051757798</v>
      </c>
      <c r="G883" s="2">
        <v>22018700</v>
      </c>
      <c r="H883" s="3">
        <f t="shared" si="13"/>
        <v>8.0162585078911164E-3</v>
      </c>
      <c r="J883" s="3">
        <v>-5.8871633862064288E-3</v>
      </c>
      <c r="K883" s="3">
        <v>0.27727129833385727</v>
      </c>
    </row>
    <row r="884" spans="1:11" x14ac:dyDescent="0.2">
      <c r="A884" s="1">
        <v>42942</v>
      </c>
      <c r="B884">
        <v>66.981254577636705</v>
      </c>
      <c r="C884">
        <v>74.050003051757798</v>
      </c>
      <c r="D884">
        <v>74.379997253417898</v>
      </c>
      <c r="E884">
        <v>73.809997558593693</v>
      </c>
      <c r="F884">
        <v>74.339996337890597</v>
      </c>
      <c r="G884" s="2">
        <v>16252200</v>
      </c>
      <c r="H884" s="3">
        <f t="shared" si="13"/>
        <v>-1.8871150707036044E-3</v>
      </c>
      <c r="J884" s="3">
        <v>-5.8807834889803567E-3</v>
      </c>
      <c r="K884" s="3">
        <v>0.27758566488525621</v>
      </c>
    </row>
    <row r="885" spans="1:11" x14ac:dyDescent="0.2">
      <c r="A885" s="1">
        <v>42943</v>
      </c>
      <c r="B885">
        <v>66.176200866699205</v>
      </c>
      <c r="C885">
        <v>73.160003662109304</v>
      </c>
      <c r="D885">
        <v>74.419998168945298</v>
      </c>
      <c r="E885">
        <v>72.319999694824205</v>
      </c>
      <c r="F885">
        <v>73.760002136230398</v>
      </c>
      <c r="G885" s="2">
        <v>36844200</v>
      </c>
      <c r="H885" s="3">
        <f t="shared" si="13"/>
        <v>-1.201908975897692E-2</v>
      </c>
      <c r="J885" s="3">
        <v>-5.8764587902949694E-3</v>
      </c>
      <c r="K885" s="3">
        <v>0.27790003143665515</v>
      </c>
    </row>
    <row r="886" spans="1:11" x14ac:dyDescent="0.2">
      <c r="A886" s="1">
        <v>42944</v>
      </c>
      <c r="B886">
        <v>66.067665100097599</v>
      </c>
      <c r="C886">
        <v>73.040000915527301</v>
      </c>
      <c r="D886">
        <v>73.309997558593693</v>
      </c>
      <c r="E886">
        <v>72.540000915527301</v>
      </c>
      <c r="F886">
        <v>72.669998168945298</v>
      </c>
      <c r="G886" s="2">
        <v>18306700</v>
      </c>
      <c r="H886" s="3">
        <f t="shared" si="13"/>
        <v>-1.6401027133641222E-3</v>
      </c>
      <c r="J886" s="3">
        <v>-5.8726889302358476E-3</v>
      </c>
      <c r="K886" s="3">
        <v>0.27821439798805409</v>
      </c>
    </row>
    <row r="887" spans="1:11" x14ac:dyDescent="0.2">
      <c r="A887" s="1">
        <v>42947</v>
      </c>
      <c r="B887">
        <v>65.760108947753906</v>
      </c>
      <c r="C887">
        <v>72.699996948242102</v>
      </c>
      <c r="D887">
        <v>73.440002441406193</v>
      </c>
      <c r="E887">
        <v>72.410003662109304</v>
      </c>
      <c r="F887">
        <v>73.300003051757798</v>
      </c>
      <c r="G887" s="2">
        <v>23600100</v>
      </c>
      <c r="H887" s="3">
        <f t="shared" si="13"/>
        <v>-4.655169088808031E-3</v>
      </c>
      <c r="J887" s="3">
        <v>-5.8661136020461413E-3</v>
      </c>
      <c r="K887" s="3">
        <v>0.27852876453945302</v>
      </c>
    </row>
    <row r="888" spans="1:11" x14ac:dyDescent="0.2">
      <c r="A888" s="1">
        <v>42948</v>
      </c>
      <c r="B888">
        <v>65.651580810546804</v>
      </c>
      <c r="C888">
        <v>72.580001831054602</v>
      </c>
      <c r="D888">
        <v>73.419998168945298</v>
      </c>
      <c r="E888">
        <v>72.489997863769503</v>
      </c>
      <c r="F888">
        <v>73.099998474121094</v>
      </c>
      <c r="G888" s="2">
        <v>22132300</v>
      </c>
      <c r="H888" s="3">
        <f t="shared" si="13"/>
        <v>-1.6503643157483872E-3</v>
      </c>
      <c r="J888" s="3">
        <v>-5.8553455998742177E-3</v>
      </c>
      <c r="K888" s="3">
        <v>0.27884313109085196</v>
      </c>
    </row>
    <row r="889" spans="1:11" x14ac:dyDescent="0.2">
      <c r="A889" s="1">
        <v>42949</v>
      </c>
      <c r="B889">
        <v>65.362121582031193</v>
      </c>
      <c r="C889">
        <v>72.260002136230398</v>
      </c>
      <c r="D889">
        <v>72.559997558593693</v>
      </c>
      <c r="E889">
        <v>71.440002441406193</v>
      </c>
      <c r="F889">
        <v>72.550003051757798</v>
      </c>
      <c r="G889" s="2">
        <v>26499200</v>
      </c>
      <c r="H889" s="3">
        <f t="shared" si="13"/>
        <v>-4.4090214575474018E-3</v>
      </c>
      <c r="J889" s="3">
        <v>-5.8515643055782052E-3</v>
      </c>
      <c r="K889" s="3">
        <v>0.27915749764225084</v>
      </c>
    </row>
    <row r="890" spans="1:11" x14ac:dyDescent="0.2">
      <c r="A890" s="1">
        <v>42950</v>
      </c>
      <c r="B890">
        <v>65.262619018554602</v>
      </c>
      <c r="C890">
        <v>72.150001525878906</v>
      </c>
      <c r="D890">
        <v>72.440002441406193</v>
      </c>
      <c r="E890">
        <v>71.849998474121094</v>
      </c>
      <c r="F890">
        <v>72.190002441406193</v>
      </c>
      <c r="G890" s="2">
        <v>18214400</v>
      </c>
      <c r="H890" s="3">
        <f t="shared" si="13"/>
        <v>-1.5223276275038167E-3</v>
      </c>
      <c r="J890" s="3">
        <v>-5.8503610502157466E-3</v>
      </c>
      <c r="K890" s="3">
        <v>0.27947186419364978</v>
      </c>
    </row>
    <row r="891" spans="1:11" x14ac:dyDescent="0.2">
      <c r="A891" s="1">
        <v>42951</v>
      </c>
      <c r="B891">
        <v>65.742042541503906</v>
      </c>
      <c r="C891">
        <v>72.680000305175696</v>
      </c>
      <c r="D891">
        <v>73.040000915527301</v>
      </c>
      <c r="E891">
        <v>72.239997863769503</v>
      </c>
      <c r="F891">
        <v>72.400001525878906</v>
      </c>
      <c r="G891" s="2">
        <v>22579000</v>
      </c>
      <c r="H891" s="3">
        <f t="shared" si="13"/>
        <v>7.3460662498543439E-3</v>
      </c>
      <c r="J891" s="3">
        <v>-5.8331589463818112E-3</v>
      </c>
      <c r="K891" s="3">
        <v>0.27978623074504871</v>
      </c>
    </row>
    <row r="892" spans="1:11" x14ac:dyDescent="0.2">
      <c r="A892" s="1">
        <v>42954</v>
      </c>
      <c r="B892">
        <v>65.488746643066406</v>
      </c>
      <c r="C892">
        <v>72.400001525878906</v>
      </c>
      <c r="D892">
        <v>72.900001525878906</v>
      </c>
      <c r="E892">
        <v>72.260002136230398</v>
      </c>
      <c r="F892">
        <v>72.800003051757798</v>
      </c>
      <c r="G892" s="2">
        <v>18705700</v>
      </c>
      <c r="H892" s="3">
        <f t="shared" si="13"/>
        <v>-3.8528753997503218E-3</v>
      </c>
      <c r="J892" s="3">
        <v>-5.823953636678536E-3</v>
      </c>
      <c r="K892" s="3">
        <v>0.28010059729644765</v>
      </c>
    </row>
    <row r="893" spans="1:11" x14ac:dyDescent="0.2">
      <c r="A893" s="1">
        <v>42955</v>
      </c>
      <c r="B893">
        <v>65.841545104980398</v>
      </c>
      <c r="C893">
        <v>72.790000915527301</v>
      </c>
      <c r="D893">
        <v>73.129997253417898</v>
      </c>
      <c r="E893">
        <v>71.75</v>
      </c>
      <c r="F893">
        <v>72.089996337890597</v>
      </c>
      <c r="G893" s="2">
        <v>22044600</v>
      </c>
      <c r="H893" s="3">
        <f t="shared" si="13"/>
        <v>5.3871616117018295E-3</v>
      </c>
      <c r="J893" s="3">
        <v>-5.8193912871878917E-3</v>
      </c>
      <c r="K893" s="3">
        <v>0.28041496384784659</v>
      </c>
    </row>
    <row r="894" spans="1:11" x14ac:dyDescent="0.2">
      <c r="A894" s="1">
        <v>42956</v>
      </c>
      <c r="B894">
        <v>65.552062988281193</v>
      </c>
      <c r="C894">
        <v>72.470001220703097</v>
      </c>
      <c r="D894">
        <v>72.510002136230398</v>
      </c>
      <c r="E894">
        <v>72.050003051757798</v>
      </c>
      <c r="F894">
        <v>72.25</v>
      </c>
      <c r="G894" s="2">
        <v>22213400</v>
      </c>
      <c r="H894" s="3">
        <f t="shared" si="13"/>
        <v>-4.3966482900369419E-3</v>
      </c>
      <c r="J894" s="3">
        <v>-5.818570272251411E-3</v>
      </c>
      <c r="K894" s="3">
        <v>0.28072933039924552</v>
      </c>
    </row>
    <row r="895" spans="1:11" x14ac:dyDescent="0.2">
      <c r="A895" s="1">
        <v>42957</v>
      </c>
      <c r="B895">
        <v>64.593292236328097</v>
      </c>
      <c r="C895">
        <v>71.410003662109304</v>
      </c>
      <c r="D895">
        <v>72.190002441406193</v>
      </c>
      <c r="E895">
        <v>71.349998474121094</v>
      </c>
      <c r="F895">
        <v>71.900001525878906</v>
      </c>
      <c r="G895" s="2">
        <v>24734500</v>
      </c>
      <c r="H895" s="3">
        <f t="shared" si="13"/>
        <v>-1.4626095781676618E-2</v>
      </c>
      <c r="J895" s="3">
        <v>-5.8173420965696998E-3</v>
      </c>
      <c r="K895" s="3">
        <v>0.28104369695064446</v>
      </c>
    </row>
    <row r="896" spans="1:11" x14ac:dyDescent="0.2">
      <c r="A896" s="1">
        <v>42958</v>
      </c>
      <c r="B896">
        <v>65.579216003417898</v>
      </c>
      <c r="C896">
        <v>72.5</v>
      </c>
      <c r="D896">
        <v>72.699996948242102</v>
      </c>
      <c r="E896">
        <v>71.279998779296804</v>
      </c>
      <c r="F896">
        <v>71.610000610351506</v>
      </c>
      <c r="G896" s="2">
        <v>21443700</v>
      </c>
      <c r="H896" s="3">
        <f t="shared" si="13"/>
        <v>1.5263562716119061E-2</v>
      </c>
      <c r="J896" s="3">
        <v>-5.7934951936032819E-3</v>
      </c>
      <c r="K896" s="3">
        <v>0.2813580635020434</v>
      </c>
    </row>
    <row r="897" spans="1:11" x14ac:dyDescent="0.2">
      <c r="A897" s="1">
        <v>42961</v>
      </c>
      <c r="B897">
        <v>66.565139770507798</v>
      </c>
      <c r="C897">
        <v>73.589996337890597</v>
      </c>
      <c r="D897">
        <v>73.720001220703097</v>
      </c>
      <c r="E897">
        <v>72.949996948242102</v>
      </c>
      <c r="F897">
        <v>73.059997558593693</v>
      </c>
      <c r="G897" s="2">
        <v>20096600</v>
      </c>
      <c r="H897" s="3">
        <f t="shared" si="13"/>
        <v>1.5034088956453973E-2</v>
      </c>
      <c r="J897" s="3">
        <v>-5.788414163971245E-3</v>
      </c>
      <c r="K897" s="3">
        <v>0.28167243005344234</v>
      </c>
    </row>
    <row r="898" spans="1:11" x14ac:dyDescent="0.2">
      <c r="A898" s="1">
        <v>42962</v>
      </c>
      <c r="B898">
        <v>66.5833740234375</v>
      </c>
      <c r="C898">
        <v>73.220001220703097</v>
      </c>
      <c r="D898">
        <v>73.589996337890597</v>
      </c>
      <c r="E898">
        <v>73.040000915527301</v>
      </c>
      <c r="F898">
        <v>73.589996337890597</v>
      </c>
      <c r="G898" s="2">
        <v>19181400</v>
      </c>
      <c r="H898" s="3">
        <f t="shared" ref="H898:H961" si="14">B898/B897-1</f>
        <v>2.7393096435401887E-4</v>
      </c>
      <c r="J898" s="3">
        <v>-5.7159849156469544E-3</v>
      </c>
      <c r="K898" s="3">
        <v>0.28198679660484127</v>
      </c>
    </row>
    <row r="899" spans="1:11" x14ac:dyDescent="0.2">
      <c r="A899" s="1">
        <v>42963</v>
      </c>
      <c r="B899">
        <v>66.974349975585895</v>
      </c>
      <c r="C899">
        <v>73.650001525878906</v>
      </c>
      <c r="D899">
        <v>74.099998474121094</v>
      </c>
      <c r="E899">
        <v>73.169998168945298</v>
      </c>
      <c r="F899">
        <v>73.339996337890597</v>
      </c>
      <c r="G899" s="2">
        <v>18150400</v>
      </c>
      <c r="H899" s="3">
        <f t="shared" si="14"/>
        <v>5.871975667841145E-3</v>
      </c>
      <c r="J899" s="3">
        <v>-5.7071170906133339E-3</v>
      </c>
      <c r="K899" s="3">
        <v>0.28230116315624015</v>
      </c>
    </row>
    <row r="900" spans="1:11" x14ac:dyDescent="0.2">
      <c r="A900" s="1">
        <v>42964</v>
      </c>
      <c r="B900">
        <v>65.837677001953097</v>
      </c>
      <c r="C900">
        <v>72.400001525878906</v>
      </c>
      <c r="D900">
        <v>73.870002746582003</v>
      </c>
      <c r="E900">
        <v>72.400001525878906</v>
      </c>
      <c r="F900">
        <v>73.580001831054602</v>
      </c>
      <c r="G900" s="2">
        <v>22977500</v>
      </c>
      <c r="H900" s="3">
        <f t="shared" si="14"/>
        <v>-1.6971765669202443E-2</v>
      </c>
      <c r="J900" s="3">
        <v>-5.7039428633169909E-3</v>
      </c>
      <c r="K900" s="3">
        <v>0.28261552970763909</v>
      </c>
    </row>
    <row r="901" spans="1:11" x14ac:dyDescent="0.2">
      <c r="A901" s="1">
        <v>42965</v>
      </c>
      <c r="B901">
        <v>65.919494628906193</v>
      </c>
      <c r="C901">
        <v>72.489997863769503</v>
      </c>
      <c r="D901">
        <v>72.839996337890597</v>
      </c>
      <c r="E901">
        <v>71.930000305175696</v>
      </c>
      <c r="F901">
        <v>72.269996643066406</v>
      </c>
      <c r="G901" s="2">
        <v>18761500</v>
      </c>
      <c r="H901" s="3">
        <f t="shared" si="14"/>
        <v>1.2427174025393395E-3</v>
      </c>
      <c r="J901" s="3">
        <v>-5.7032376421218833E-3</v>
      </c>
      <c r="K901" s="3">
        <v>0.28292989625903803</v>
      </c>
    </row>
    <row r="902" spans="1:11" x14ac:dyDescent="0.2">
      <c r="A902" s="1">
        <v>42968</v>
      </c>
      <c r="B902">
        <v>65.610328674316406</v>
      </c>
      <c r="C902">
        <v>72.150001525878906</v>
      </c>
      <c r="D902">
        <v>72.480003356933594</v>
      </c>
      <c r="E902">
        <v>71.699996948242102</v>
      </c>
      <c r="F902">
        <v>72.470001220703097</v>
      </c>
      <c r="G902" s="2">
        <v>17734800</v>
      </c>
      <c r="H902" s="3">
        <f t="shared" si="14"/>
        <v>-4.6900534709836128E-3</v>
      </c>
      <c r="J902" s="3">
        <v>-5.6344362520116542E-3</v>
      </c>
      <c r="K902" s="3">
        <v>0.28324426281043696</v>
      </c>
    </row>
    <row r="903" spans="1:11" x14ac:dyDescent="0.2">
      <c r="A903" s="1">
        <v>42969</v>
      </c>
      <c r="B903">
        <v>66.528778076171804</v>
      </c>
      <c r="C903">
        <v>73.160003662109304</v>
      </c>
      <c r="D903">
        <v>73.239997863769503</v>
      </c>
      <c r="E903">
        <v>72.349998474121094</v>
      </c>
      <c r="F903">
        <v>72.349998474121094</v>
      </c>
      <c r="G903" s="2">
        <v>14343700</v>
      </c>
      <c r="H903" s="3">
        <f t="shared" si="14"/>
        <v>1.399854901527009E-2</v>
      </c>
      <c r="J903" s="3">
        <v>-5.6323181565338665E-3</v>
      </c>
      <c r="K903" s="3">
        <v>0.2835586293618359</v>
      </c>
    </row>
    <row r="904" spans="1:11" x14ac:dyDescent="0.2">
      <c r="A904" s="1">
        <v>42970</v>
      </c>
      <c r="B904">
        <v>66.128662109375</v>
      </c>
      <c r="C904">
        <v>72.720001220703097</v>
      </c>
      <c r="D904">
        <v>73.150001525878906</v>
      </c>
      <c r="E904">
        <v>72.529998779296804</v>
      </c>
      <c r="F904">
        <v>72.959999084472599</v>
      </c>
      <c r="G904" s="2">
        <v>13766500</v>
      </c>
      <c r="H904" s="3">
        <f t="shared" si="14"/>
        <v>-6.0141788015209974E-3</v>
      </c>
      <c r="J904" s="3">
        <v>-5.5895136737387219E-3</v>
      </c>
      <c r="K904" s="3">
        <v>0.28387299591323484</v>
      </c>
    </row>
    <row r="905" spans="1:11" x14ac:dyDescent="0.2">
      <c r="A905" s="1">
        <v>42971</v>
      </c>
      <c r="B905">
        <v>66.101394653320298</v>
      </c>
      <c r="C905">
        <v>72.690002441406193</v>
      </c>
      <c r="D905">
        <v>72.860000610351506</v>
      </c>
      <c r="E905">
        <v>72.069999694824205</v>
      </c>
      <c r="F905">
        <v>72.739997863769503</v>
      </c>
      <c r="G905" s="2">
        <v>17098300</v>
      </c>
      <c r="H905" s="3">
        <f t="shared" si="14"/>
        <v>-4.1233944835605829E-4</v>
      </c>
      <c r="J905" s="3">
        <v>-5.582400722260239E-3</v>
      </c>
      <c r="K905" s="3">
        <v>0.28418736246463377</v>
      </c>
    </row>
    <row r="906" spans="1:11" x14ac:dyDescent="0.2">
      <c r="A906" s="1">
        <v>42972</v>
      </c>
      <c r="B906">
        <v>66.2196044921875</v>
      </c>
      <c r="C906">
        <v>72.819999694824205</v>
      </c>
      <c r="D906">
        <v>73.349998474121094</v>
      </c>
      <c r="E906">
        <v>72.480003356933594</v>
      </c>
      <c r="F906">
        <v>72.860000610351506</v>
      </c>
      <c r="G906" s="2">
        <v>12794300</v>
      </c>
      <c r="H906" s="3">
        <f t="shared" si="14"/>
        <v>1.7883108138212478E-3</v>
      </c>
      <c r="J906" s="3">
        <v>-5.5582752231758681E-3</v>
      </c>
      <c r="K906" s="3">
        <v>0.28450172901603271</v>
      </c>
    </row>
    <row r="907" spans="1:11" x14ac:dyDescent="0.2">
      <c r="A907" s="1">
        <v>42975</v>
      </c>
      <c r="B907">
        <v>66.228706359863196</v>
      </c>
      <c r="C907">
        <v>72.830001831054602</v>
      </c>
      <c r="D907">
        <v>73.089996337890597</v>
      </c>
      <c r="E907">
        <v>72.550003051757798</v>
      </c>
      <c r="F907">
        <v>73.059997558593693</v>
      </c>
      <c r="G907" s="2">
        <v>14569700</v>
      </c>
      <c r="H907" s="3">
        <f t="shared" si="14"/>
        <v>1.3744974385598852E-4</v>
      </c>
      <c r="J907" s="3">
        <v>-5.5498132659291821E-3</v>
      </c>
      <c r="K907" s="3">
        <v>0.28481609556743165</v>
      </c>
    </row>
    <row r="908" spans="1:11" x14ac:dyDescent="0.2">
      <c r="A908" s="1">
        <v>42976</v>
      </c>
      <c r="B908">
        <v>66.428771972656193</v>
      </c>
      <c r="C908">
        <v>73.050003051757798</v>
      </c>
      <c r="D908">
        <v>73.160003662109304</v>
      </c>
      <c r="E908">
        <v>72.050003051757798</v>
      </c>
      <c r="F908">
        <v>72.25</v>
      </c>
      <c r="G908" s="2">
        <v>11478400</v>
      </c>
      <c r="H908" s="3">
        <f t="shared" si="14"/>
        <v>3.0208292414155569E-3</v>
      </c>
      <c r="J908" s="3">
        <v>-5.5402331644650582E-3</v>
      </c>
      <c r="K908" s="3">
        <v>0.28513046211883053</v>
      </c>
    </row>
    <row r="909" spans="1:11" x14ac:dyDescent="0.2">
      <c r="A909" s="1">
        <v>42977</v>
      </c>
      <c r="B909">
        <v>67.3017578125</v>
      </c>
      <c r="C909">
        <v>74.010002136230398</v>
      </c>
      <c r="D909">
        <v>74.209999084472599</v>
      </c>
      <c r="E909">
        <v>72.830001831054602</v>
      </c>
      <c r="F909">
        <v>73.010002136230398</v>
      </c>
      <c r="G909" s="2">
        <v>16897800</v>
      </c>
      <c r="H909" s="3">
        <f t="shared" si="14"/>
        <v>1.314168264623583E-2</v>
      </c>
      <c r="J909" s="3">
        <v>-5.5326440905859586E-3</v>
      </c>
      <c r="K909" s="3">
        <v>0.28544482867022947</v>
      </c>
    </row>
    <row r="910" spans="1:11" x14ac:dyDescent="0.2">
      <c r="A910" s="1">
        <v>42978</v>
      </c>
      <c r="B910">
        <v>67.992851257324205</v>
      </c>
      <c r="C910">
        <v>74.769996643066406</v>
      </c>
      <c r="D910">
        <v>74.959999084472599</v>
      </c>
      <c r="E910">
        <v>73.800003051757798</v>
      </c>
      <c r="F910">
        <v>74.029998779296804</v>
      </c>
      <c r="G910" s="2">
        <v>27652800</v>
      </c>
      <c r="H910" s="3">
        <f t="shared" si="14"/>
        <v>1.0268579414367762E-2</v>
      </c>
      <c r="J910" s="3">
        <v>-5.5194760888688243E-3</v>
      </c>
      <c r="K910" s="3">
        <v>0.2857591952216284</v>
      </c>
    </row>
    <row r="911" spans="1:11" x14ac:dyDescent="0.2">
      <c r="A911" s="1">
        <v>42979</v>
      </c>
      <c r="B911">
        <v>67.238105773925696</v>
      </c>
      <c r="C911">
        <v>73.940002441406193</v>
      </c>
      <c r="D911">
        <v>74.739997863769503</v>
      </c>
      <c r="E911">
        <v>73.639999389648395</v>
      </c>
      <c r="F911">
        <v>74.709999084472599</v>
      </c>
      <c r="G911" s="2">
        <v>21736200</v>
      </c>
      <c r="H911" s="3">
        <f t="shared" si="14"/>
        <v>-1.1100365250783728E-2</v>
      </c>
      <c r="J911" s="3">
        <v>-5.5052060721905161E-3</v>
      </c>
      <c r="K911" s="3">
        <v>0.28607356177302734</v>
      </c>
    </row>
    <row r="912" spans="1:11" x14ac:dyDescent="0.2">
      <c r="A912" s="1">
        <v>42983</v>
      </c>
      <c r="B912">
        <v>66.938011169433594</v>
      </c>
      <c r="C912">
        <v>73.610000610351506</v>
      </c>
      <c r="D912">
        <v>73.889999389648395</v>
      </c>
      <c r="E912">
        <v>72.980003356933594</v>
      </c>
      <c r="F912">
        <v>73.339996337890597</v>
      </c>
      <c r="G912" s="2">
        <v>21556000</v>
      </c>
      <c r="H912" s="3">
        <f t="shared" si="14"/>
        <v>-4.4631626819040537E-3</v>
      </c>
      <c r="J912" s="3">
        <v>-5.5024603105618963E-3</v>
      </c>
      <c r="K912" s="3">
        <v>0.28638792832442628</v>
      </c>
    </row>
    <row r="913" spans="1:11" x14ac:dyDescent="0.2">
      <c r="A913" s="1">
        <v>42984</v>
      </c>
      <c r="B913">
        <v>66.747039794921804</v>
      </c>
      <c r="C913">
        <v>73.400001525878906</v>
      </c>
      <c r="D913">
        <v>74.040000915527301</v>
      </c>
      <c r="E913">
        <v>73.349998474121094</v>
      </c>
      <c r="F913">
        <v>73.739997863769503</v>
      </c>
      <c r="G913" s="2">
        <v>16535800</v>
      </c>
      <c r="H913" s="3">
        <f t="shared" si="14"/>
        <v>-2.8529585981932337E-3</v>
      </c>
      <c r="J913" s="3">
        <v>-5.4422906610759325E-3</v>
      </c>
      <c r="K913" s="3">
        <v>0.28670229487582521</v>
      </c>
    </row>
    <row r="914" spans="1:11" x14ac:dyDescent="0.2">
      <c r="A914" s="1">
        <v>42985</v>
      </c>
      <c r="B914">
        <v>67.601844787597599</v>
      </c>
      <c r="C914">
        <v>74.339996337890597</v>
      </c>
      <c r="D914">
        <v>74.599998474121094</v>
      </c>
      <c r="E914">
        <v>73.599998474121094</v>
      </c>
      <c r="F914">
        <v>73.680000305175696</v>
      </c>
      <c r="G914" s="2">
        <v>17471200</v>
      </c>
      <c r="H914" s="3">
        <f t="shared" si="14"/>
        <v>1.280663525007486E-2</v>
      </c>
      <c r="J914" s="3">
        <v>-5.4393810595275705E-3</v>
      </c>
      <c r="K914" s="3">
        <v>0.28701666142722415</v>
      </c>
    </row>
    <row r="915" spans="1:11" x14ac:dyDescent="0.2">
      <c r="A915" s="1">
        <v>42986</v>
      </c>
      <c r="B915">
        <v>67.274475097656193</v>
      </c>
      <c r="C915">
        <v>73.980003356933594</v>
      </c>
      <c r="D915">
        <v>74.440002441406193</v>
      </c>
      <c r="E915">
        <v>73.839996337890597</v>
      </c>
      <c r="F915">
        <v>74.330001831054602</v>
      </c>
      <c r="G915" s="2">
        <v>14703800</v>
      </c>
      <c r="H915" s="3">
        <f t="shared" si="14"/>
        <v>-4.8426147388431762E-3</v>
      </c>
      <c r="J915" s="3">
        <v>-5.4334686324584158E-3</v>
      </c>
      <c r="K915" s="3">
        <v>0.28733102797862309</v>
      </c>
    </row>
    <row r="916" spans="1:11" x14ac:dyDescent="0.2">
      <c r="A916" s="1">
        <v>42989</v>
      </c>
      <c r="B916">
        <v>67.983772277832003</v>
      </c>
      <c r="C916">
        <v>74.760002136230398</v>
      </c>
      <c r="D916">
        <v>74.940002441406193</v>
      </c>
      <c r="E916">
        <v>74.309997558593693</v>
      </c>
      <c r="F916">
        <v>74.309997558593693</v>
      </c>
      <c r="G916" s="2">
        <v>17910400</v>
      </c>
      <c r="H916" s="3">
        <f t="shared" si="14"/>
        <v>1.0543332804101135E-2</v>
      </c>
      <c r="J916" s="3">
        <v>-5.419972590821498E-3</v>
      </c>
      <c r="K916" s="3">
        <v>0.28764539453002202</v>
      </c>
    </row>
    <row r="917" spans="1:11" x14ac:dyDescent="0.2">
      <c r="A917" s="1">
        <v>42990</v>
      </c>
      <c r="B917">
        <v>67.911018371582003</v>
      </c>
      <c r="C917">
        <v>74.680000305175696</v>
      </c>
      <c r="D917">
        <v>75.239997863769503</v>
      </c>
      <c r="E917">
        <v>74.370002746582003</v>
      </c>
      <c r="F917">
        <v>74.760002136230398</v>
      </c>
      <c r="G917" s="2">
        <v>14394900</v>
      </c>
      <c r="H917" s="3">
        <f t="shared" si="14"/>
        <v>-1.0701657735713299E-3</v>
      </c>
      <c r="J917" s="3">
        <v>-5.4180587416066128E-3</v>
      </c>
      <c r="K917" s="3">
        <v>0.28795976108142096</v>
      </c>
    </row>
    <row r="918" spans="1:11" x14ac:dyDescent="0.2">
      <c r="A918" s="1">
        <v>42991</v>
      </c>
      <c r="B918">
        <v>68.392974853515597</v>
      </c>
      <c r="C918">
        <v>75.209999084472599</v>
      </c>
      <c r="D918">
        <v>75.230003356933594</v>
      </c>
      <c r="E918">
        <v>74.550003051757798</v>
      </c>
      <c r="F918">
        <v>74.930000305175696</v>
      </c>
      <c r="G918" s="2">
        <v>13380800</v>
      </c>
      <c r="H918" s="3">
        <f t="shared" si="14"/>
        <v>7.0968819712955433E-3</v>
      </c>
      <c r="J918" s="3">
        <v>-5.4155200211932764E-3</v>
      </c>
      <c r="K918" s="3">
        <v>0.28827412763281984</v>
      </c>
    </row>
    <row r="919" spans="1:11" x14ac:dyDescent="0.2">
      <c r="A919" s="1">
        <v>42992</v>
      </c>
      <c r="B919">
        <v>67.992851257324205</v>
      </c>
      <c r="C919">
        <v>74.769996643066406</v>
      </c>
      <c r="D919">
        <v>75.489997863769503</v>
      </c>
      <c r="E919">
        <v>74.519996643066406</v>
      </c>
      <c r="F919">
        <v>75</v>
      </c>
      <c r="G919" s="2">
        <v>15733900</v>
      </c>
      <c r="H919" s="3">
        <f t="shared" si="14"/>
        <v>-5.8503610502157466E-3</v>
      </c>
      <c r="J919" s="3">
        <v>-5.4142472180821466E-3</v>
      </c>
      <c r="K919" s="3">
        <v>0.28858849418421878</v>
      </c>
    </row>
    <row r="920" spans="1:11" x14ac:dyDescent="0.2">
      <c r="A920" s="1">
        <v>42993</v>
      </c>
      <c r="B920">
        <v>68.483909606933594</v>
      </c>
      <c r="C920">
        <v>75.309997558593693</v>
      </c>
      <c r="D920">
        <v>75.389999389648395</v>
      </c>
      <c r="E920">
        <v>74.069999694824205</v>
      </c>
      <c r="F920">
        <v>74.830001831054602</v>
      </c>
      <c r="G920" s="2">
        <v>38578400</v>
      </c>
      <c r="H920" s="3">
        <f t="shared" si="14"/>
        <v>7.2222055779207484E-3</v>
      </c>
      <c r="J920" s="3">
        <v>-5.4119726618722108E-3</v>
      </c>
      <c r="K920" s="3">
        <v>0.28890286073561772</v>
      </c>
    </row>
    <row r="921" spans="1:11" x14ac:dyDescent="0.2">
      <c r="A921" s="1">
        <v>42996</v>
      </c>
      <c r="B921">
        <v>68.347511291503906</v>
      </c>
      <c r="C921">
        <v>75.160003662109304</v>
      </c>
      <c r="D921">
        <v>75.970001220703097</v>
      </c>
      <c r="E921">
        <v>75.040000915527301</v>
      </c>
      <c r="F921">
        <v>75.230003356933594</v>
      </c>
      <c r="G921" s="2">
        <v>23307000</v>
      </c>
      <c r="H921" s="3">
        <f t="shared" si="14"/>
        <v>-1.9916841227749504E-3</v>
      </c>
      <c r="J921" s="3">
        <v>-5.4008698870374738E-3</v>
      </c>
      <c r="K921" s="3">
        <v>0.28921722728701665</v>
      </c>
    </row>
    <row r="922" spans="1:11" x14ac:dyDescent="0.2">
      <c r="A922" s="1">
        <v>42997</v>
      </c>
      <c r="B922">
        <v>68.602134704589801</v>
      </c>
      <c r="C922">
        <v>75.440002441406193</v>
      </c>
      <c r="D922">
        <v>75.709999084472599</v>
      </c>
      <c r="E922">
        <v>75.010002136230398</v>
      </c>
      <c r="F922">
        <v>75.209999084472599</v>
      </c>
      <c r="G922" s="2">
        <v>16093300</v>
      </c>
      <c r="H922" s="3">
        <f t="shared" si="14"/>
        <v>3.7254233296062367E-3</v>
      </c>
      <c r="J922" s="3">
        <v>-5.4008188730735318E-3</v>
      </c>
      <c r="K922" s="3">
        <v>0.28953159383841559</v>
      </c>
    </row>
    <row r="923" spans="1:11" x14ac:dyDescent="0.2">
      <c r="A923" s="1">
        <v>42998</v>
      </c>
      <c r="B923">
        <v>68.147476196289006</v>
      </c>
      <c r="C923">
        <v>74.940002441406193</v>
      </c>
      <c r="D923">
        <v>75.550003051757798</v>
      </c>
      <c r="E923">
        <v>74.309997558593693</v>
      </c>
      <c r="F923">
        <v>75.349998474121094</v>
      </c>
      <c r="G923" s="2">
        <v>21587900</v>
      </c>
      <c r="H923" s="3">
        <f t="shared" si="14"/>
        <v>-6.6274688135962156E-3</v>
      </c>
      <c r="J923" s="3">
        <v>-5.3895801895819107E-3</v>
      </c>
      <c r="K923" s="3">
        <v>0.28984596038981453</v>
      </c>
    </row>
    <row r="924" spans="1:11" x14ac:dyDescent="0.2">
      <c r="A924" s="1">
        <v>42999</v>
      </c>
      <c r="B924">
        <v>67.483619689941406</v>
      </c>
      <c r="C924">
        <v>74.209999084472599</v>
      </c>
      <c r="D924">
        <v>75.239997863769503</v>
      </c>
      <c r="E924">
        <v>74.110000610351506</v>
      </c>
      <c r="F924">
        <v>75.110000610351506</v>
      </c>
      <c r="G924" s="2">
        <v>19186100</v>
      </c>
      <c r="H924" s="3">
        <f t="shared" si="14"/>
        <v>-9.7414686999626188E-3</v>
      </c>
      <c r="J924" s="3">
        <v>-5.3785921823719107E-3</v>
      </c>
      <c r="K924" s="3">
        <v>0.29016032694121346</v>
      </c>
    </row>
    <row r="925" spans="1:11" x14ac:dyDescent="0.2">
      <c r="A925" s="1">
        <v>43000</v>
      </c>
      <c r="B925">
        <v>67.665496826171804</v>
      </c>
      <c r="C925">
        <v>74.410003662109304</v>
      </c>
      <c r="D925">
        <v>74.510002136230398</v>
      </c>
      <c r="E925">
        <v>73.849998474121094</v>
      </c>
      <c r="F925">
        <v>73.989997863769503</v>
      </c>
      <c r="G925" s="2">
        <v>14111400</v>
      </c>
      <c r="H925" s="3">
        <f t="shared" si="14"/>
        <v>2.6951301229252156E-3</v>
      </c>
      <c r="J925" s="3">
        <v>-5.3634022278569171E-3</v>
      </c>
      <c r="K925" s="3">
        <v>0.2904746934926124</v>
      </c>
    </row>
    <row r="926" spans="1:11" x14ac:dyDescent="0.2">
      <c r="A926" s="1">
        <v>43003</v>
      </c>
      <c r="B926">
        <v>66.619712829589801</v>
      </c>
      <c r="C926">
        <v>73.260002136230398</v>
      </c>
      <c r="D926">
        <v>74.25</v>
      </c>
      <c r="E926">
        <v>72.919998168945298</v>
      </c>
      <c r="F926">
        <v>74.089996337890597</v>
      </c>
      <c r="G926" s="2">
        <v>24149200</v>
      </c>
      <c r="H926" s="3">
        <f t="shared" si="14"/>
        <v>-1.545520310400661E-2</v>
      </c>
      <c r="J926" s="3">
        <v>-5.3526942398116617E-3</v>
      </c>
      <c r="K926" s="3">
        <v>0.29078906004401134</v>
      </c>
    </row>
    <row r="927" spans="1:11" x14ac:dyDescent="0.2">
      <c r="A927" s="1">
        <v>43004</v>
      </c>
      <c r="B927">
        <v>66.619712829589801</v>
      </c>
      <c r="C927">
        <v>73.260002136230398</v>
      </c>
      <c r="D927">
        <v>73.809997558593693</v>
      </c>
      <c r="E927">
        <v>72.989997863769503</v>
      </c>
      <c r="F927">
        <v>73.669998168945298</v>
      </c>
      <c r="G927" s="2">
        <v>18019600</v>
      </c>
      <c r="H927" s="3">
        <f t="shared" si="14"/>
        <v>0</v>
      </c>
      <c r="J927" s="3">
        <v>-5.3458371362683499E-3</v>
      </c>
      <c r="K927" s="3">
        <v>0.29110342659541028</v>
      </c>
    </row>
    <row r="928" spans="1:11" x14ac:dyDescent="0.2">
      <c r="A928" s="1">
        <v>43005</v>
      </c>
      <c r="B928">
        <v>67.15625</v>
      </c>
      <c r="C928">
        <v>73.849998474121094</v>
      </c>
      <c r="D928">
        <v>74.169998168945298</v>
      </c>
      <c r="E928">
        <v>73.169998168945298</v>
      </c>
      <c r="F928">
        <v>73.550003051757798</v>
      </c>
      <c r="G928" s="2">
        <v>19565100</v>
      </c>
      <c r="H928" s="3">
        <f t="shared" si="14"/>
        <v>8.0537298589478112E-3</v>
      </c>
      <c r="J928" s="3">
        <v>-5.3428022888789561E-3</v>
      </c>
      <c r="K928" s="3">
        <v>0.29141779314680916</v>
      </c>
    </row>
    <row r="929" spans="1:11" x14ac:dyDescent="0.2">
      <c r="A929" s="1">
        <v>43006</v>
      </c>
      <c r="B929">
        <v>67.174423217773395</v>
      </c>
      <c r="C929">
        <v>73.870002746582003</v>
      </c>
      <c r="D929">
        <v>73.970001220703097</v>
      </c>
      <c r="E929">
        <v>73.309997558593693</v>
      </c>
      <c r="F929">
        <v>73.540000915527301</v>
      </c>
      <c r="G929" s="2">
        <v>10883800</v>
      </c>
      <c r="H929" s="3">
        <f t="shared" si="14"/>
        <v>2.7061096730984779E-4</v>
      </c>
      <c r="J929" s="3">
        <v>-5.3270216399257109E-3</v>
      </c>
      <c r="K929" s="3">
        <v>0.29173215969820809</v>
      </c>
    </row>
    <row r="930" spans="1:11" x14ac:dyDescent="0.2">
      <c r="A930" s="1">
        <v>43007</v>
      </c>
      <c r="B930">
        <v>67.738265991210895</v>
      </c>
      <c r="C930">
        <v>74.489997863769503</v>
      </c>
      <c r="D930">
        <v>74.540000915527301</v>
      </c>
      <c r="E930">
        <v>73.879997253417898</v>
      </c>
      <c r="F930">
        <v>73.940002441406193</v>
      </c>
      <c r="G930" s="2">
        <v>17079100</v>
      </c>
      <c r="H930" s="3">
        <f t="shared" si="14"/>
        <v>8.3937121664532377E-3</v>
      </c>
      <c r="J930" s="3">
        <v>-5.3244450870758575E-3</v>
      </c>
      <c r="K930" s="3">
        <v>0.29204652624960703</v>
      </c>
    </row>
    <row r="931" spans="1:11" x14ac:dyDescent="0.2">
      <c r="A931" s="1">
        <v>43010</v>
      </c>
      <c r="B931">
        <v>67.847358703613196</v>
      </c>
      <c r="C931">
        <v>74.610000610351506</v>
      </c>
      <c r="D931">
        <v>75.010002136230398</v>
      </c>
      <c r="E931">
        <v>74.300003051757798</v>
      </c>
      <c r="F931">
        <v>74.709999084472599</v>
      </c>
      <c r="G931" s="2">
        <v>15304800</v>
      </c>
      <c r="H931" s="3">
        <f t="shared" si="14"/>
        <v>1.6105034695819143E-3</v>
      </c>
      <c r="J931" s="3">
        <v>-5.3148188552670783E-3</v>
      </c>
      <c r="K931" s="3">
        <v>0.29236089280100597</v>
      </c>
    </row>
    <row r="932" spans="1:11" x14ac:dyDescent="0.2">
      <c r="A932" s="1">
        <v>43011</v>
      </c>
      <c r="B932">
        <v>67.529083251953097</v>
      </c>
      <c r="C932">
        <v>74.260002136230398</v>
      </c>
      <c r="D932">
        <v>74.879997253417898</v>
      </c>
      <c r="E932">
        <v>74.190002441406193</v>
      </c>
      <c r="F932">
        <v>74.669998168945298</v>
      </c>
      <c r="G932" s="2">
        <v>12190400</v>
      </c>
      <c r="H932" s="3">
        <f t="shared" si="14"/>
        <v>-4.691051468200369E-3</v>
      </c>
      <c r="J932" s="3">
        <v>-5.287516451576102E-3</v>
      </c>
      <c r="K932" s="3">
        <v>0.2926752593524049</v>
      </c>
    </row>
    <row r="933" spans="1:11" x14ac:dyDescent="0.2">
      <c r="A933" s="1">
        <v>43012</v>
      </c>
      <c r="B933">
        <v>67.920127868652301</v>
      </c>
      <c r="C933">
        <v>74.690002441406193</v>
      </c>
      <c r="D933">
        <v>74.720001220703097</v>
      </c>
      <c r="E933">
        <v>73.709999084472599</v>
      </c>
      <c r="F933">
        <v>74.089996337890597</v>
      </c>
      <c r="G933" s="2">
        <v>13317700</v>
      </c>
      <c r="H933" s="3">
        <f t="shared" si="14"/>
        <v>5.7907585571717046E-3</v>
      </c>
      <c r="J933" s="3">
        <v>-5.2726728187929561E-3</v>
      </c>
      <c r="K933" s="3">
        <v>0.29298962590380384</v>
      </c>
    </row>
    <row r="934" spans="1:11" x14ac:dyDescent="0.2">
      <c r="A934" s="1">
        <v>43013</v>
      </c>
      <c r="B934">
        <v>69.084098815917898</v>
      </c>
      <c r="C934">
        <v>75.970001220703097</v>
      </c>
      <c r="D934">
        <v>76.120002746582003</v>
      </c>
      <c r="E934">
        <v>74.959999084472599</v>
      </c>
      <c r="F934">
        <v>75.220001220703097</v>
      </c>
      <c r="G934" s="2">
        <v>21195300</v>
      </c>
      <c r="H934" s="3">
        <f t="shared" si="14"/>
        <v>1.7137349174556116E-2</v>
      </c>
      <c r="J934" s="3">
        <v>-5.2657511529043965E-3</v>
      </c>
      <c r="K934" s="3">
        <v>0.29330399245520278</v>
      </c>
    </row>
    <row r="935" spans="1:11" x14ac:dyDescent="0.2">
      <c r="A935" s="1">
        <v>43014</v>
      </c>
      <c r="B935">
        <v>69.111373901367102</v>
      </c>
      <c r="C935">
        <v>76</v>
      </c>
      <c r="D935">
        <v>76.029998779296804</v>
      </c>
      <c r="E935">
        <v>75.540000915527301</v>
      </c>
      <c r="F935">
        <v>75.669998168945298</v>
      </c>
      <c r="G935" s="2">
        <v>13959800</v>
      </c>
      <c r="H935" s="3">
        <f t="shared" si="14"/>
        <v>3.9480988992690591E-4</v>
      </c>
      <c r="J935" s="3">
        <v>-5.2652615886525922E-3</v>
      </c>
      <c r="K935" s="3">
        <v>0.29361835900660171</v>
      </c>
    </row>
    <row r="936" spans="1:11" x14ac:dyDescent="0.2">
      <c r="A936" s="1">
        <v>43017</v>
      </c>
      <c r="B936">
        <v>69.375091552734304</v>
      </c>
      <c r="C936">
        <v>76.290000915527301</v>
      </c>
      <c r="D936">
        <v>76.550003051757798</v>
      </c>
      <c r="E936">
        <v>75.860000610351506</v>
      </c>
      <c r="F936">
        <v>75.970001220703097</v>
      </c>
      <c r="G936" s="2">
        <v>11386500</v>
      </c>
      <c r="H936" s="3">
        <f t="shared" si="14"/>
        <v>3.8158357514868069E-3</v>
      </c>
      <c r="J936" s="3">
        <v>-5.2466813310203531E-3</v>
      </c>
      <c r="K936" s="3">
        <v>0.29393272555800065</v>
      </c>
    </row>
    <row r="937" spans="1:11" x14ac:dyDescent="0.2">
      <c r="A937" s="1">
        <v>43018</v>
      </c>
      <c r="B937">
        <v>69.375091552734304</v>
      </c>
      <c r="C937">
        <v>76.290000915527301</v>
      </c>
      <c r="D937">
        <v>76.629997253417898</v>
      </c>
      <c r="E937">
        <v>76.139999389648395</v>
      </c>
      <c r="F937">
        <v>76.330001831054602</v>
      </c>
      <c r="G937" s="2">
        <v>13944500</v>
      </c>
      <c r="H937" s="3">
        <f t="shared" si="14"/>
        <v>0</v>
      </c>
      <c r="J937" s="3">
        <v>-5.2436704950781232E-3</v>
      </c>
      <c r="K937" s="3">
        <v>0.29424709210939953</v>
      </c>
    </row>
    <row r="938" spans="1:11" x14ac:dyDescent="0.2">
      <c r="A938" s="1">
        <v>43019</v>
      </c>
      <c r="B938">
        <v>69.493301391601506</v>
      </c>
      <c r="C938">
        <v>76.419998168945298</v>
      </c>
      <c r="D938">
        <v>76.459999084472599</v>
      </c>
      <c r="E938">
        <v>75.949996948242102</v>
      </c>
      <c r="F938">
        <v>76.360000610351506</v>
      </c>
      <c r="G938" s="2">
        <v>15388900</v>
      </c>
      <c r="H938" s="3">
        <f t="shared" si="14"/>
        <v>1.7039233566611411E-3</v>
      </c>
      <c r="J938" s="3">
        <v>-5.2387957096348137E-3</v>
      </c>
      <c r="K938" s="3">
        <v>0.29456145866079847</v>
      </c>
    </row>
    <row r="939" spans="1:11" x14ac:dyDescent="0.2">
      <c r="A939" s="1">
        <v>43020</v>
      </c>
      <c r="B939">
        <v>70.129852294921804</v>
      </c>
      <c r="C939">
        <v>77.120002746582003</v>
      </c>
      <c r="D939">
        <v>77.290000915527301</v>
      </c>
      <c r="E939">
        <v>76.370002746582003</v>
      </c>
      <c r="F939">
        <v>76.489997863769503</v>
      </c>
      <c r="G939" s="2">
        <v>16876500</v>
      </c>
      <c r="H939" s="3">
        <f t="shared" si="14"/>
        <v>9.1598886593871054E-3</v>
      </c>
      <c r="J939" s="3">
        <v>-5.2220982157470397E-3</v>
      </c>
      <c r="K939" s="3">
        <v>0.29487582521219741</v>
      </c>
    </row>
    <row r="940" spans="1:11" x14ac:dyDescent="0.2">
      <c r="A940" s="1">
        <v>43021</v>
      </c>
      <c r="B940">
        <v>70.466316223144503</v>
      </c>
      <c r="C940">
        <v>77.489997863769503</v>
      </c>
      <c r="D940">
        <v>77.870002746582003</v>
      </c>
      <c r="E940">
        <v>77.290000915527301</v>
      </c>
      <c r="F940">
        <v>77.589996337890597</v>
      </c>
      <c r="G940" s="2">
        <v>15335700</v>
      </c>
      <c r="H940" s="3">
        <f t="shared" si="14"/>
        <v>4.7977276040414019E-3</v>
      </c>
      <c r="J940" s="3">
        <v>-5.1989736023092536E-3</v>
      </c>
      <c r="K940" s="3">
        <v>0.29519019176359634</v>
      </c>
    </row>
    <row r="941" spans="1:11" x14ac:dyDescent="0.2">
      <c r="A941" s="1">
        <v>43024</v>
      </c>
      <c r="B941">
        <v>70.611839294433594</v>
      </c>
      <c r="C941">
        <v>77.650001525878906</v>
      </c>
      <c r="D941">
        <v>77.809997558593693</v>
      </c>
      <c r="E941">
        <v>77.349998474121094</v>
      </c>
      <c r="F941">
        <v>77.419998168945298</v>
      </c>
      <c r="G941" s="2">
        <v>12380100</v>
      </c>
      <c r="H941" s="3">
        <f t="shared" si="14"/>
        <v>2.0651437323369048E-3</v>
      </c>
      <c r="J941" s="3">
        <v>-5.1812035937865986E-3</v>
      </c>
      <c r="K941" s="3">
        <v>0.29550455831499528</v>
      </c>
    </row>
    <row r="942" spans="1:11" x14ac:dyDescent="0.2">
      <c r="A942" s="1">
        <v>43025</v>
      </c>
      <c r="B942">
        <v>70.557258605957003</v>
      </c>
      <c r="C942">
        <v>77.589996337890597</v>
      </c>
      <c r="D942">
        <v>77.620002746582003</v>
      </c>
      <c r="E942">
        <v>77.25</v>
      </c>
      <c r="F942">
        <v>77.470001220703097</v>
      </c>
      <c r="G942" s="2">
        <v>16824000</v>
      </c>
      <c r="H942" s="3">
        <f t="shared" si="14"/>
        <v>-7.7296794732961693E-4</v>
      </c>
      <c r="J942" s="3">
        <v>-5.1643500213555127E-3</v>
      </c>
      <c r="K942" s="3">
        <v>0.29581892486639422</v>
      </c>
    </row>
    <row r="943" spans="1:11" x14ac:dyDescent="0.2">
      <c r="A943" s="1">
        <v>43026</v>
      </c>
      <c r="B943">
        <v>70.575439453125</v>
      </c>
      <c r="C943">
        <v>77.610000610351506</v>
      </c>
      <c r="D943">
        <v>77.849998474121094</v>
      </c>
      <c r="E943">
        <v>77.370002746582003</v>
      </c>
      <c r="F943">
        <v>77.669998168945298</v>
      </c>
      <c r="G943" s="2">
        <v>13300700</v>
      </c>
      <c r="H943" s="3">
        <f t="shared" si="14"/>
        <v>2.576750787546267E-4</v>
      </c>
      <c r="J943" s="3">
        <v>-5.159778383543312E-3</v>
      </c>
      <c r="K943" s="3">
        <v>0.29613329141779315</v>
      </c>
    </row>
    <row r="944" spans="1:11" x14ac:dyDescent="0.2">
      <c r="A944" s="1">
        <v>43027</v>
      </c>
      <c r="B944">
        <v>70.848228454589801</v>
      </c>
      <c r="C944">
        <v>77.910003662109304</v>
      </c>
      <c r="D944">
        <v>77.930000305175696</v>
      </c>
      <c r="E944">
        <v>77.349998474121094</v>
      </c>
      <c r="F944">
        <v>77.569999694824205</v>
      </c>
      <c r="G944" s="2">
        <v>15092800</v>
      </c>
      <c r="H944" s="3">
        <f t="shared" si="14"/>
        <v>3.8652115180377589E-3</v>
      </c>
      <c r="J944" s="3">
        <v>-5.1596304955784378E-3</v>
      </c>
      <c r="K944" s="3">
        <v>0.29644765796919209</v>
      </c>
    </row>
    <row r="945" spans="1:11" x14ac:dyDescent="0.2">
      <c r="A945" s="1">
        <v>43028</v>
      </c>
      <c r="B945">
        <v>71.666687011718693</v>
      </c>
      <c r="C945">
        <v>78.809997558593693</v>
      </c>
      <c r="D945">
        <v>78.970001220703097</v>
      </c>
      <c r="E945">
        <v>78.220001220703097</v>
      </c>
      <c r="F945">
        <v>78.319999694824205</v>
      </c>
      <c r="G945" s="2">
        <v>22866400</v>
      </c>
      <c r="H945" s="3">
        <f t="shared" si="14"/>
        <v>1.1552279781469554E-2</v>
      </c>
      <c r="J945" s="3">
        <v>-5.1499638986440832E-3</v>
      </c>
      <c r="K945" s="3">
        <v>0.29676202452059103</v>
      </c>
    </row>
    <row r="946" spans="1:11" x14ac:dyDescent="0.2">
      <c r="A946" s="1">
        <v>43031</v>
      </c>
      <c r="B946">
        <v>71.684883117675696</v>
      </c>
      <c r="C946">
        <v>78.830001831054602</v>
      </c>
      <c r="D946">
        <v>79.339996337890597</v>
      </c>
      <c r="E946">
        <v>78.760002136230398</v>
      </c>
      <c r="F946">
        <v>78.989997863769503</v>
      </c>
      <c r="G946" s="2">
        <v>20627200</v>
      </c>
      <c r="H946" s="3">
        <f t="shared" si="14"/>
        <v>2.5389908081030477E-4</v>
      </c>
      <c r="J946" s="3">
        <v>-5.1487339259395082E-3</v>
      </c>
      <c r="K946" s="3">
        <v>0.29707639107198996</v>
      </c>
    </row>
    <row r="947" spans="1:11" x14ac:dyDescent="0.2">
      <c r="A947" s="1">
        <v>43032</v>
      </c>
      <c r="B947">
        <v>71.712135314941406</v>
      </c>
      <c r="C947">
        <v>78.860000610351506</v>
      </c>
      <c r="D947">
        <v>79.199996948242102</v>
      </c>
      <c r="E947">
        <v>78.459999084472599</v>
      </c>
      <c r="F947">
        <v>78.900001525878906</v>
      </c>
      <c r="G947" s="2">
        <v>17517200</v>
      </c>
      <c r="H947" s="3">
        <f t="shared" si="14"/>
        <v>3.801665857636749E-4</v>
      </c>
      <c r="J947" s="3">
        <v>-5.1396101757674728E-3</v>
      </c>
      <c r="K947" s="3">
        <v>0.29739075762338885</v>
      </c>
    </row>
    <row r="948" spans="1:11" x14ac:dyDescent="0.2">
      <c r="A948" s="1">
        <v>43033</v>
      </c>
      <c r="B948">
        <v>71.502983093261705</v>
      </c>
      <c r="C948">
        <v>78.629997253417898</v>
      </c>
      <c r="D948">
        <v>79.099998474121094</v>
      </c>
      <c r="E948">
        <v>78.010002136230398</v>
      </c>
      <c r="F948">
        <v>78.580001831054602</v>
      </c>
      <c r="G948" s="2">
        <v>20410800</v>
      </c>
      <c r="H948" s="3">
        <f t="shared" si="14"/>
        <v>-2.9165526972688705E-3</v>
      </c>
      <c r="J948" s="3">
        <v>-5.1327300855449343E-3</v>
      </c>
      <c r="K948" s="3">
        <v>0.29770512417478778</v>
      </c>
    </row>
    <row r="949" spans="1:11" x14ac:dyDescent="0.2">
      <c r="A949" s="1">
        <v>43034</v>
      </c>
      <c r="B949">
        <v>71.6212158203125</v>
      </c>
      <c r="C949">
        <v>78.760002136230398</v>
      </c>
      <c r="D949">
        <v>79.419998168945298</v>
      </c>
      <c r="E949">
        <v>78.75</v>
      </c>
      <c r="F949">
        <v>79.199996948242102</v>
      </c>
      <c r="G949" s="2">
        <v>32120700</v>
      </c>
      <c r="H949" s="3">
        <f t="shared" si="14"/>
        <v>1.6535355860129997E-3</v>
      </c>
      <c r="J949" s="3">
        <v>-5.1276408933960127E-3</v>
      </c>
      <c r="K949" s="3">
        <v>0.29801949072618672</v>
      </c>
    </row>
    <row r="950" spans="1:11" x14ac:dyDescent="0.2">
      <c r="A950" s="1">
        <v>43035</v>
      </c>
      <c r="B950">
        <v>76.213478088378906</v>
      </c>
      <c r="C950">
        <v>83.809997558593693</v>
      </c>
      <c r="D950">
        <v>86.199996948242102</v>
      </c>
      <c r="E950">
        <v>83.610000610351506</v>
      </c>
      <c r="F950">
        <v>84.370002746582003</v>
      </c>
      <c r="G950" s="2">
        <v>71066700</v>
      </c>
      <c r="H950" s="3">
        <f t="shared" si="14"/>
        <v>6.4118742127859729E-2</v>
      </c>
      <c r="J950" s="3">
        <v>-5.1257987943937877E-3</v>
      </c>
      <c r="K950" s="3">
        <v>0.29833385727758566</v>
      </c>
    </row>
    <row r="951" spans="1:11" x14ac:dyDescent="0.2">
      <c r="A951" s="1">
        <v>43038</v>
      </c>
      <c r="B951">
        <v>76.286209106445298</v>
      </c>
      <c r="C951">
        <v>83.889999389648395</v>
      </c>
      <c r="D951">
        <v>84.330001831054602</v>
      </c>
      <c r="E951">
        <v>83.110000610351506</v>
      </c>
      <c r="F951">
        <v>83.699996948242102</v>
      </c>
      <c r="G951" s="2">
        <v>31756700</v>
      </c>
      <c r="H951" s="3">
        <f t="shared" si="14"/>
        <v>9.5430650707273301E-4</v>
      </c>
      <c r="J951" s="3">
        <v>-5.1000013881667972E-3</v>
      </c>
      <c r="K951" s="3">
        <v>0.29864822382898459</v>
      </c>
    </row>
    <row r="952" spans="1:11" x14ac:dyDescent="0.2">
      <c r="A952" s="1">
        <v>43039</v>
      </c>
      <c r="B952">
        <v>75.640586853027301</v>
      </c>
      <c r="C952">
        <v>83.180000305175696</v>
      </c>
      <c r="D952">
        <v>84.360000610351506</v>
      </c>
      <c r="E952">
        <v>83.110000610351506</v>
      </c>
      <c r="F952">
        <v>84.360000610351506</v>
      </c>
      <c r="G952" s="2">
        <v>27086600</v>
      </c>
      <c r="H952" s="3">
        <f t="shared" si="14"/>
        <v>-8.4631581642382603E-3</v>
      </c>
      <c r="J952" s="3">
        <v>-5.0938262157370628E-3</v>
      </c>
      <c r="K952" s="3">
        <v>0.29896259038038353</v>
      </c>
    </row>
    <row r="953" spans="1:11" x14ac:dyDescent="0.2">
      <c r="A953" s="1">
        <v>43040</v>
      </c>
      <c r="B953">
        <v>75.640586853027301</v>
      </c>
      <c r="C953">
        <v>83.180000305175696</v>
      </c>
      <c r="D953">
        <v>83.760002136230398</v>
      </c>
      <c r="E953">
        <v>82.879997253417898</v>
      </c>
      <c r="F953">
        <v>83.680000305175696</v>
      </c>
      <c r="G953" s="2">
        <v>22307400</v>
      </c>
      <c r="H953" s="3">
        <f t="shared" si="14"/>
        <v>0</v>
      </c>
      <c r="J953" s="3">
        <v>-5.0845706431061899E-3</v>
      </c>
      <c r="K953" s="3">
        <v>0.29927695693178247</v>
      </c>
    </row>
    <row r="954" spans="1:11" x14ac:dyDescent="0.2">
      <c r="A954" s="1">
        <v>43041</v>
      </c>
      <c r="B954">
        <v>76.431716918945298</v>
      </c>
      <c r="C954">
        <v>84.050003051757798</v>
      </c>
      <c r="D954">
        <v>84.459999084472599</v>
      </c>
      <c r="E954">
        <v>83.120002746582003</v>
      </c>
      <c r="F954">
        <v>83.349998474121094</v>
      </c>
      <c r="G954" s="2">
        <v>23992900</v>
      </c>
      <c r="H954" s="3">
        <f t="shared" si="14"/>
        <v>1.0459068323401599E-2</v>
      </c>
      <c r="J954" s="3">
        <v>-5.0834507331469769E-3</v>
      </c>
      <c r="K954" s="3">
        <v>0.2995913234831814</v>
      </c>
    </row>
    <row r="955" spans="1:11" x14ac:dyDescent="0.2">
      <c r="A955" s="1">
        <v>43042</v>
      </c>
      <c r="B955">
        <v>76.513572692871094</v>
      </c>
      <c r="C955">
        <v>84.139999389648395</v>
      </c>
      <c r="D955">
        <v>84.540000915527301</v>
      </c>
      <c r="E955">
        <v>83.400001525878906</v>
      </c>
      <c r="F955">
        <v>84.080001831054602</v>
      </c>
      <c r="G955" s="2">
        <v>17633500</v>
      </c>
      <c r="H955" s="3">
        <f t="shared" si="14"/>
        <v>1.0709660495080708E-3</v>
      </c>
      <c r="J955" s="3">
        <v>-5.0629654936213964E-3</v>
      </c>
      <c r="K955" s="3">
        <v>0.29990569003458034</v>
      </c>
    </row>
    <row r="956" spans="1:11" x14ac:dyDescent="0.2">
      <c r="A956" s="1">
        <v>43045</v>
      </c>
      <c r="B956">
        <v>76.813636779785099</v>
      </c>
      <c r="C956">
        <v>84.470001220703097</v>
      </c>
      <c r="D956">
        <v>84.699996948242102</v>
      </c>
      <c r="E956">
        <v>84.080001831054602</v>
      </c>
      <c r="F956">
        <v>84.199996948242102</v>
      </c>
      <c r="G956" s="2">
        <v>19860900</v>
      </c>
      <c r="H956" s="3">
        <f t="shared" si="14"/>
        <v>3.9217105717763712E-3</v>
      </c>
      <c r="J956" s="3">
        <v>-5.0467371086860835E-3</v>
      </c>
      <c r="K956" s="3">
        <v>0.30022005658597928</v>
      </c>
    </row>
    <row r="957" spans="1:11" x14ac:dyDescent="0.2">
      <c r="A957" s="1">
        <v>43046</v>
      </c>
      <c r="B957">
        <v>76.631774902343693</v>
      </c>
      <c r="C957">
        <v>84.269996643066406</v>
      </c>
      <c r="D957">
        <v>84.900001525878906</v>
      </c>
      <c r="E957">
        <v>83.930000305175696</v>
      </c>
      <c r="F957">
        <v>84.769996643066406</v>
      </c>
      <c r="G957" s="2">
        <v>17939700</v>
      </c>
      <c r="H957" s="3">
        <f t="shared" si="14"/>
        <v>-2.3675728043287547E-3</v>
      </c>
      <c r="J957" s="3">
        <v>-5.0147719662936296E-3</v>
      </c>
      <c r="K957" s="3">
        <v>0.30053442313737816</v>
      </c>
    </row>
    <row r="958" spans="1:11" x14ac:dyDescent="0.2">
      <c r="A958" s="1">
        <v>43047</v>
      </c>
      <c r="B958">
        <v>76.895492553710895</v>
      </c>
      <c r="C958">
        <v>84.559997558593693</v>
      </c>
      <c r="D958">
        <v>84.610000610351506</v>
      </c>
      <c r="E958">
        <v>83.830001831054602</v>
      </c>
      <c r="F958">
        <v>84.139999389648395</v>
      </c>
      <c r="G958" s="2">
        <v>18034200</v>
      </c>
      <c r="H958" s="3">
        <f t="shared" si="14"/>
        <v>3.4413616506112632E-3</v>
      </c>
      <c r="J958" s="3">
        <v>-5.0139026419525612E-3</v>
      </c>
      <c r="K958" s="3">
        <v>0.3008487896887771</v>
      </c>
    </row>
    <row r="959" spans="1:11" x14ac:dyDescent="0.2">
      <c r="A959" s="1">
        <v>43048</v>
      </c>
      <c r="B959">
        <v>76.468086242675696</v>
      </c>
      <c r="C959">
        <v>84.089996337890597</v>
      </c>
      <c r="D959">
        <v>84.269996643066406</v>
      </c>
      <c r="E959">
        <v>82.900001525878906</v>
      </c>
      <c r="F959">
        <v>84.110000610351506</v>
      </c>
      <c r="G959" s="2">
        <v>21178400</v>
      </c>
      <c r="H959" s="3">
        <f t="shared" si="14"/>
        <v>-5.5582752231758681E-3</v>
      </c>
      <c r="J959" s="3">
        <v>-5.0012560157608466E-3</v>
      </c>
      <c r="K959" s="3">
        <v>0.30116315624017603</v>
      </c>
    </row>
    <row r="960" spans="1:11" x14ac:dyDescent="0.2">
      <c r="A960" s="1">
        <v>43049</v>
      </c>
      <c r="B960">
        <v>76.268051147460895</v>
      </c>
      <c r="C960">
        <v>83.870002746582003</v>
      </c>
      <c r="D960">
        <v>84.099998474121094</v>
      </c>
      <c r="E960">
        <v>83.230003356933594</v>
      </c>
      <c r="F960">
        <v>83.790000915527301</v>
      </c>
      <c r="G960" s="2">
        <v>19397800</v>
      </c>
      <c r="H960" s="3">
        <f t="shared" si="14"/>
        <v>-2.6159291417334751E-3</v>
      </c>
      <c r="J960" s="3">
        <v>-4.9885452775400019E-3</v>
      </c>
      <c r="K960" s="3">
        <v>0.30147752279157497</v>
      </c>
    </row>
    <row r="961" spans="1:11" x14ac:dyDescent="0.2">
      <c r="A961" s="1">
        <v>43052</v>
      </c>
      <c r="B961">
        <v>76.322601318359304</v>
      </c>
      <c r="C961">
        <v>83.930000305175696</v>
      </c>
      <c r="D961">
        <v>83.940002441406193</v>
      </c>
      <c r="E961">
        <v>83.459999084472599</v>
      </c>
      <c r="F961">
        <v>83.660003662109304</v>
      </c>
      <c r="G961" s="2">
        <v>14196900</v>
      </c>
      <c r="H961" s="3">
        <f t="shared" si="14"/>
        <v>7.1524275339007737E-4</v>
      </c>
      <c r="J961" s="3">
        <v>-4.9610963289734578E-3</v>
      </c>
      <c r="K961" s="3">
        <v>0.30179188934297391</v>
      </c>
    </row>
    <row r="962" spans="1:11" x14ac:dyDescent="0.2">
      <c r="A962" s="1">
        <v>43053</v>
      </c>
      <c r="B962">
        <v>76.431716918945298</v>
      </c>
      <c r="C962">
        <v>84.050003051757798</v>
      </c>
      <c r="D962">
        <v>84.099998474121094</v>
      </c>
      <c r="E962">
        <v>82.980003356933594</v>
      </c>
      <c r="F962">
        <v>83.5</v>
      </c>
      <c r="G962" s="2">
        <v>18801300</v>
      </c>
      <c r="H962" s="3">
        <f t="shared" ref="H962:H1025" si="15">B962/B961-1</f>
        <v>1.429663018571059E-3</v>
      </c>
      <c r="J962" s="3">
        <v>-4.9582965176881988E-3</v>
      </c>
      <c r="K962" s="3">
        <v>0.30210625589437284</v>
      </c>
    </row>
    <row r="963" spans="1:11" x14ac:dyDescent="0.2">
      <c r="A963" s="1">
        <v>43054</v>
      </c>
      <c r="B963">
        <v>75.837684631347599</v>
      </c>
      <c r="C963">
        <v>82.980003356933594</v>
      </c>
      <c r="D963">
        <v>83.690002441406193</v>
      </c>
      <c r="E963">
        <v>82.690002441406193</v>
      </c>
      <c r="F963">
        <v>83.470001220703097</v>
      </c>
      <c r="G963" s="2">
        <v>19383100</v>
      </c>
      <c r="H963" s="3">
        <f t="shared" si="15"/>
        <v>-7.7720652046540106E-3</v>
      </c>
      <c r="J963" s="3">
        <v>-4.9415837773354454E-3</v>
      </c>
      <c r="K963" s="3">
        <v>0.30242062244577178</v>
      </c>
    </row>
    <row r="964" spans="1:11" x14ac:dyDescent="0.2">
      <c r="A964" s="1">
        <v>43055</v>
      </c>
      <c r="B964">
        <v>76.038734436035099</v>
      </c>
      <c r="C964">
        <v>83.199996948242102</v>
      </c>
      <c r="D964">
        <v>83.419998168945298</v>
      </c>
      <c r="E964">
        <v>82.940002441406193</v>
      </c>
      <c r="F964">
        <v>83.099998474121094</v>
      </c>
      <c r="G964" s="2">
        <v>20962800</v>
      </c>
      <c r="H964" s="3">
        <f t="shared" si="15"/>
        <v>2.6510540988271547E-3</v>
      </c>
      <c r="J964" s="3">
        <v>-4.9400528622369766E-3</v>
      </c>
      <c r="K964" s="3">
        <v>0.30273498899717072</v>
      </c>
    </row>
    <row r="965" spans="1:11" x14ac:dyDescent="0.2">
      <c r="A965" s="1">
        <v>43056</v>
      </c>
      <c r="B965">
        <v>75.307609558105398</v>
      </c>
      <c r="C965">
        <v>82.400001525878906</v>
      </c>
      <c r="D965">
        <v>83.120002746582003</v>
      </c>
      <c r="E965">
        <v>82.239997863769503</v>
      </c>
      <c r="F965">
        <v>83.120002746582003</v>
      </c>
      <c r="G965" s="2">
        <v>22079000</v>
      </c>
      <c r="H965" s="3">
        <f t="shared" si="15"/>
        <v>-9.6151636840396959E-3</v>
      </c>
      <c r="J965" s="3">
        <v>-4.9371902839621118E-3</v>
      </c>
      <c r="K965" s="3">
        <v>0.30304935554856965</v>
      </c>
    </row>
    <row r="966" spans="1:11" x14ac:dyDescent="0.2">
      <c r="A966" s="1">
        <v>43059</v>
      </c>
      <c r="B966">
        <v>75.426406860351506</v>
      </c>
      <c r="C966">
        <v>82.529998779296804</v>
      </c>
      <c r="D966">
        <v>82.589996337890597</v>
      </c>
      <c r="E966">
        <v>82.25</v>
      </c>
      <c r="F966">
        <v>82.400001525878906</v>
      </c>
      <c r="G966" s="2">
        <v>16315000</v>
      </c>
      <c r="H966" s="3">
        <f t="shared" si="15"/>
        <v>1.5774940001840321E-3</v>
      </c>
      <c r="J966" s="3">
        <v>-4.9325896417347082E-3</v>
      </c>
      <c r="K966" s="3">
        <v>0.30336372209996854</v>
      </c>
    </row>
    <row r="967" spans="1:11" x14ac:dyDescent="0.2">
      <c r="A967" s="1">
        <v>43060</v>
      </c>
      <c r="B967">
        <v>76.513969421386705</v>
      </c>
      <c r="C967">
        <v>83.720001220703097</v>
      </c>
      <c r="D967">
        <v>83.839996337890597</v>
      </c>
      <c r="E967">
        <v>82.739997863769503</v>
      </c>
      <c r="F967">
        <v>82.739997863769503</v>
      </c>
      <c r="G967" s="2">
        <v>21237500</v>
      </c>
      <c r="H967" s="3">
        <f t="shared" si="15"/>
        <v>1.4418856820911152E-2</v>
      </c>
      <c r="J967" s="3">
        <v>-4.9142301886281325E-3</v>
      </c>
      <c r="K967" s="3">
        <v>0.30367808865136747</v>
      </c>
    </row>
    <row r="968" spans="1:11" x14ac:dyDescent="0.2">
      <c r="A968" s="1">
        <v>43061</v>
      </c>
      <c r="B968">
        <v>75.956489562988196</v>
      </c>
      <c r="C968">
        <v>83.110000610351506</v>
      </c>
      <c r="D968">
        <v>83.900001525878906</v>
      </c>
      <c r="E968">
        <v>83.040000915527301</v>
      </c>
      <c r="F968">
        <v>83.830001831054602</v>
      </c>
      <c r="G968" s="2">
        <v>20553100</v>
      </c>
      <c r="H968" s="3">
        <f t="shared" si="15"/>
        <v>-7.28598793938251E-3</v>
      </c>
      <c r="J968" s="3">
        <v>-4.8854892458918275E-3</v>
      </c>
      <c r="K968" s="3">
        <v>0.30399245520276641</v>
      </c>
    </row>
    <row r="969" spans="1:11" x14ac:dyDescent="0.2">
      <c r="A969" s="1">
        <v>43063</v>
      </c>
      <c r="B969">
        <v>76.093566894531193</v>
      </c>
      <c r="C969">
        <v>83.260002136230398</v>
      </c>
      <c r="D969">
        <v>83.430000305175696</v>
      </c>
      <c r="E969">
        <v>82.779998779296804</v>
      </c>
      <c r="F969">
        <v>83.010002136230398</v>
      </c>
      <c r="G969" s="2">
        <v>7425600</v>
      </c>
      <c r="H969" s="3">
        <f t="shared" si="15"/>
        <v>1.8046822902382242E-3</v>
      </c>
      <c r="J969" s="3">
        <v>-4.877927261634829E-3</v>
      </c>
      <c r="K969" s="3">
        <v>0.30430682175416535</v>
      </c>
    </row>
    <row r="970" spans="1:11" x14ac:dyDescent="0.2">
      <c r="A970" s="1">
        <v>43066</v>
      </c>
      <c r="B970">
        <v>76.651054382324205</v>
      </c>
      <c r="C970">
        <v>83.870002746582003</v>
      </c>
      <c r="D970">
        <v>83.980003356933594</v>
      </c>
      <c r="E970">
        <v>83.300003051757798</v>
      </c>
      <c r="F970">
        <v>83.309997558593693</v>
      </c>
      <c r="G970" s="2">
        <v>18265200</v>
      </c>
      <c r="H970" s="3">
        <f t="shared" si="15"/>
        <v>7.3263419043783085E-3</v>
      </c>
      <c r="J970" s="3">
        <v>-4.8740807525059493E-3</v>
      </c>
      <c r="K970" s="3">
        <v>0.30462118830556428</v>
      </c>
    </row>
    <row r="971" spans="1:11" x14ac:dyDescent="0.2">
      <c r="A971" s="1">
        <v>43067</v>
      </c>
      <c r="B971">
        <v>77.574119567871094</v>
      </c>
      <c r="C971">
        <v>84.879997253417898</v>
      </c>
      <c r="D971">
        <v>85.059997558593693</v>
      </c>
      <c r="E971">
        <v>84.019996643066406</v>
      </c>
      <c r="F971">
        <v>84.069999694824205</v>
      </c>
      <c r="G971" s="2">
        <v>21926000</v>
      </c>
      <c r="H971" s="3">
        <f t="shared" si="15"/>
        <v>1.2042432983932372E-2</v>
      </c>
      <c r="J971" s="3">
        <v>-4.8673922726738539E-3</v>
      </c>
      <c r="K971" s="3">
        <v>0.30493555485696322</v>
      </c>
    </row>
    <row r="972" spans="1:11" x14ac:dyDescent="0.2">
      <c r="A972" s="1">
        <v>43068</v>
      </c>
      <c r="B972">
        <v>76.166664123535099</v>
      </c>
      <c r="C972">
        <v>83.339996337890597</v>
      </c>
      <c r="D972">
        <v>84.919998168945298</v>
      </c>
      <c r="E972">
        <v>83.180000305175696</v>
      </c>
      <c r="F972">
        <v>84.709999084472599</v>
      </c>
      <c r="G972" s="2">
        <v>27381100</v>
      </c>
      <c r="H972" s="3">
        <f t="shared" si="15"/>
        <v>-1.8143363433272164E-2</v>
      </c>
      <c r="J972" s="3">
        <v>-4.8579708755067674E-3</v>
      </c>
      <c r="K972" s="3">
        <v>0.30524992140836216</v>
      </c>
    </row>
    <row r="973" spans="1:11" x14ac:dyDescent="0.2">
      <c r="A973" s="1">
        <v>43069</v>
      </c>
      <c r="B973">
        <v>76.925231933593693</v>
      </c>
      <c r="C973">
        <v>84.169998168945298</v>
      </c>
      <c r="D973">
        <v>84.519996643066406</v>
      </c>
      <c r="E973">
        <v>83.339996337890597</v>
      </c>
      <c r="F973">
        <v>83.510002136230398</v>
      </c>
      <c r="G973" s="2">
        <v>33054600</v>
      </c>
      <c r="H973" s="3">
        <f t="shared" si="15"/>
        <v>9.9593151254238066E-3</v>
      </c>
      <c r="J973" s="3">
        <v>-4.8426147388431762E-3</v>
      </c>
      <c r="K973" s="3">
        <v>0.30556428795976109</v>
      </c>
    </row>
    <row r="974" spans="1:11" x14ac:dyDescent="0.2">
      <c r="A974" s="1">
        <v>43070</v>
      </c>
      <c r="B974">
        <v>77.007476806640597</v>
      </c>
      <c r="C974">
        <v>84.260002136230398</v>
      </c>
      <c r="D974">
        <v>84.809997558593693</v>
      </c>
      <c r="E974">
        <v>83.220001220703097</v>
      </c>
      <c r="F974">
        <v>83.599998474121094</v>
      </c>
      <c r="G974" s="2">
        <v>29532100</v>
      </c>
      <c r="H974" s="3">
        <f t="shared" si="15"/>
        <v>1.0691533971312062E-3</v>
      </c>
      <c r="J974" s="3">
        <v>-4.821584962711678E-3</v>
      </c>
      <c r="K974" s="3">
        <v>0.30587865451116003</v>
      </c>
    </row>
    <row r="975" spans="1:11" x14ac:dyDescent="0.2">
      <c r="A975" s="1">
        <v>43073</v>
      </c>
      <c r="B975">
        <v>74.101203918457003</v>
      </c>
      <c r="C975">
        <v>81.080001831054602</v>
      </c>
      <c r="D975">
        <v>84.430000305175696</v>
      </c>
      <c r="E975">
        <v>80.699996948242102</v>
      </c>
      <c r="F975">
        <v>84.419998168945298</v>
      </c>
      <c r="G975" s="2">
        <v>39094900</v>
      </c>
      <c r="H975" s="3">
        <f t="shared" si="15"/>
        <v>-3.7740139122867333E-2</v>
      </c>
      <c r="J975" s="3">
        <v>-4.8048684515812345E-3</v>
      </c>
      <c r="K975" s="3">
        <v>0.30619302106255897</v>
      </c>
    </row>
    <row r="976" spans="1:11" x14ac:dyDescent="0.2">
      <c r="A976" s="1">
        <v>43074</v>
      </c>
      <c r="B976">
        <v>74.567298889160099</v>
      </c>
      <c r="C976">
        <v>81.589996337890597</v>
      </c>
      <c r="D976">
        <v>82.680000305175696</v>
      </c>
      <c r="E976">
        <v>80.980003356933594</v>
      </c>
      <c r="F976">
        <v>81.339996337890597</v>
      </c>
      <c r="G976" s="2">
        <v>26152300</v>
      </c>
      <c r="H976" s="3">
        <f t="shared" si="15"/>
        <v>6.2899783816738886E-3</v>
      </c>
      <c r="J976" s="3">
        <v>-4.7824715377752236E-3</v>
      </c>
      <c r="K976" s="3">
        <v>0.30650738761395785</v>
      </c>
    </row>
    <row r="977" spans="1:11" x14ac:dyDescent="0.2">
      <c r="A977" s="1">
        <v>43075</v>
      </c>
      <c r="B977">
        <v>75.654899597167898</v>
      </c>
      <c r="C977">
        <v>82.779998779296804</v>
      </c>
      <c r="D977">
        <v>83.139999389648395</v>
      </c>
      <c r="E977">
        <v>81.430000305175696</v>
      </c>
      <c r="F977">
        <v>81.550003051757798</v>
      </c>
      <c r="G977" s="2">
        <v>26162100</v>
      </c>
      <c r="H977" s="3">
        <f t="shared" si="15"/>
        <v>1.4585491552060237E-2</v>
      </c>
      <c r="J977" s="3">
        <v>-4.7792600874868585E-3</v>
      </c>
      <c r="K977" s="3">
        <v>0.30682175416535679</v>
      </c>
    </row>
    <row r="978" spans="1:11" x14ac:dyDescent="0.2">
      <c r="A978" s="1">
        <v>43076</v>
      </c>
      <c r="B978">
        <v>75.389831542968693</v>
      </c>
      <c r="C978">
        <v>82.489997863769503</v>
      </c>
      <c r="D978">
        <v>82.800003051757798</v>
      </c>
      <c r="E978">
        <v>82</v>
      </c>
      <c r="F978">
        <v>82.540000915527301</v>
      </c>
      <c r="G978" s="2">
        <v>23184500</v>
      </c>
      <c r="H978" s="3">
        <f t="shared" si="15"/>
        <v>-3.5036468967718504E-3</v>
      </c>
      <c r="J978" s="3">
        <v>-4.7758972257618826E-3</v>
      </c>
      <c r="K978" s="3">
        <v>0.30713612071675572</v>
      </c>
    </row>
    <row r="979" spans="1:11" x14ac:dyDescent="0.2">
      <c r="A979" s="1">
        <v>43077</v>
      </c>
      <c r="B979">
        <v>76.916091918945298</v>
      </c>
      <c r="C979">
        <v>84.160003662109304</v>
      </c>
      <c r="D979">
        <v>84.580001831054602</v>
      </c>
      <c r="E979">
        <v>83.330001831054602</v>
      </c>
      <c r="F979">
        <v>83.629997253417898</v>
      </c>
      <c r="G979" s="2">
        <v>24489100</v>
      </c>
      <c r="H979" s="3">
        <f t="shared" si="15"/>
        <v>2.0244910284840101E-2</v>
      </c>
      <c r="J979" s="3">
        <v>-4.7687837420447021E-3</v>
      </c>
      <c r="K979" s="3">
        <v>0.30745048726815466</v>
      </c>
    </row>
    <row r="980" spans="1:11" x14ac:dyDescent="0.2">
      <c r="A980" s="1">
        <v>43080</v>
      </c>
      <c r="B980">
        <v>77.893997192382798</v>
      </c>
      <c r="C980">
        <v>85.230003356933594</v>
      </c>
      <c r="D980">
        <v>85.370002746582003</v>
      </c>
      <c r="E980">
        <v>84.120002746582003</v>
      </c>
      <c r="F980">
        <v>84.290000915527301</v>
      </c>
      <c r="G980" s="2">
        <v>22857900</v>
      </c>
      <c r="H980" s="3">
        <f t="shared" si="15"/>
        <v>1.2713923043152331E-2</v>
      </c>
      <c r="J980" s="3">
        <v>-4.7664178192570184E-3</v>
      </c>
      <c r="K980" s="3">
        <v>0.3077648538195536</v>
      </c>
    </row>
    <row r="981" spans="1:11" x14ac:dyDescent="0.2">
      <c r="A981" s="1">
        <v>43081</v>
      </c>
      <c r="B981">
        <v>78.213859558105398</v>
      </c>
      <c r="C981">
        <v>85.580001831054602</v>
      </c>
      <c r="D981">
        <v>86.050003051757798</v>
      </c>
      <c r="E981">
        <v>85.080001831054602</v>
      </c>
      <c r="F981">
        <v>85.309997558593693</v>
      </c>
      <c r="G981" s="2">
        <v>23924100</v>
      </c>
      <c r="H981" s="3">
        <f t="shared" si="15"/>
        <v>4.1063801737200034E-3</v>
      </c>
      <c r="J981" s="3">
        <v>-4.7635957135702123E-3</v>
      </c>
      <c r="K981" s="3">
        <v>0.30807922037095253</v>
      </c>
    </row>
    <row r="982" spans="1:11" x14ac:dyDescent="0.2">
      <c r="A982" s="1">
        <v>43082</v>
      </c>
      <c r="B982">
        <v>78.003669738769503</v>
      </c>
      <c r="C982">
        <v>85.349998474121094</v>
      </c>
      <c r="D982">
        <v>86</v>
      </c>
      <c r="E982">
        <v>85.169998168945298</v>
      </c>
      <c r="F982">
        <v>85.739997863769503</v>
      </c>
      <c r="G982" s="2">
        <v>22062700</v>
      </c>
      <c r="H982" s="3">
        <f t="shared" si="15"/>
        <v>-2.6873730630789794E-3</v>
      </c>
      <c r="J982" s="3">
        <v>-4.7609246154063367E-3</v>
      </c>
      <c r="K982" s="3">
        <v>0.30839358692235147</v>
      </c>
    </row>
    <row r="983" spans="1:11" x14ac:dyDescent="0.2">
      <c r="A983" s="1">
        <v>43083</v>
      </c>
      <c r="B983">
        <v>77.400489807128906</v>
      </c>
      <c r="C983">
        <v>84.690002441406193</v>
      </c>
      <c r="D983">
        <v>85.870002746582003</v>
      </c>
      <c r="E983">
        <v>84.529998779296804</v>
      </c>
      <c r="F983">
        <v>85.430000305175696</v>
      </c>
      <c r="G983" s="2">
        <v>19306000</v>
      </c>
      <c r="H983" s="3">
        <f t="shared" si="15"/>
        <v>-7.7327122385474345E-3</v>
      </c>
      <c r="J983" s="3">
        <v>-4.7456529726772612E-3</v>
      </c>
      <c r="K983" s="3">
        <v>0.30870795347375041</v>
      </c>
    </row>
    <row r="984" spans="1:11" x14ac:dyDescent="0.2">
      <c r="A984" s="1">
        <v>43084</v>
      </c>
      <c r="B984">
        <v>79.374580383300696</v>
      </c>
      <c r="C984">
        <v>86.849998474121094</v>
      </c>
      <c r="D984">
        <v>87.089996337890597</v>
      </c>
      <c r="E984">
        <v>84.879997253417898</v>
      </c>
      <c r="F984">
        <v>85.260002136230398</v>
      </c>
      <c r="G984" s="2">
        <v>53936700</v>
      </c>
      <c r="H984" s="3">
        <f t="shared" si="15"/>
        <v>2.550488480229185E-2</v>
      </c>
      <c r="J984" s="3">
        <v>-4.7165441331749047E-3</v>
      </c>
      <c r="K984" s="3">
        <v>0.30902232002514934</v>
      </c>
    </row>
    <row r="985" spans="1:11" x14ac:dyDescent="0.2">
      <c r="A985" s="1">
        <v>43087</v>
      </c>
      <c r="B985">
        <v>78.945007324218693</v>
      </c>
      <c r="C985">
        <v>86.379997253417898</v>
      </c>
      <c r="D985">
        <v>87.5</v>
      </c>
      <c r="E985">
        <v>86.230003356933594</v>
      </c>
      <c r="F985">
        <v>87.120002746582003</v>
      </c>
      <c r="G985" s="2">
        <v>22283800</v>
      </c>
      <c r="H985" s="3">
        <f t="shared" si="15"/>
        <v>-5.4119726618722108E-3</v>
      </c>
      <c r="J985" s="3">
        <v>-4.7069385289464361E-3</v>
      </c>
      <c r="K985" s="3">
        <v>0.30933668657654828</v>
      </c>
    </row>
    <row r="986" spans="1:11" x14ac:dyDescent="0.2">
      <c r="A986" s="1">
        <v>43088</v>
      </c>
      <c r="B986">
        <v>78.442367553710895</v>
      </c>
      <c r="C986">
        <v>85.830001831054602</v>
      </c>
      <c r="D986">
        <v>86.349998474121094</v>
      </c>
      <c r="E986">
        <v>85.269996643066406</v>
      </c>
      <c r="F986">
        <v>86.349998474121094</v>
      </c>
      <c r="G986" s="2">
        <v>23524800</v>
      </c>
      <c r="H986" s="3">
        <f t="shared" si="15"/>
        <v>-6.3669608445725556E-3</v>
      </c>
      <c r="J986" s="3">
        <v>-4.7034037503854709E-3</v>
      </c>
      <c r="K986" s="3">
        <v>0.30965105312794716</v>
      </c>
    </row>
    <row r="987" spans="1:11" x14ac:dyDescent="0.2">
      <c r="A987" s="1">
        <v>43089</v>
      </c>
      <c r="B987">
        <v>78.159034729003906</v>
      </c>
      <c r="C987">
        <v>85.519996643066406</v>
      </c>
      <c r="D987">
        <v>86.300003051757798</v>
      </c>
      <c r="E987">
        <v>84.709999084472599</v>
      </c>
      <c r="F987">
        <v>86.199996948242102</v>
      </c>
      <c r="G987" s="2">
        <v>23674900</v>
      </c>
      <c r="H987" s="3">
        <f t="shared" si="15"/>
        <v>-3.6119871638624623E-3</v>
      </c>
      <c r="J987" s="3">
        <v>-4.6911966614849865E-3</v>
      </c>
      <c r="K987" s="3">
        <v>0.3099654196793461</v>
      </c>
    </row>
    <row r="988" spans="1:11" x14ac:dyDescent="0.2">
      <c r="A988" s="1">
        <v>43090</v>
      </c>
      <c r="B988">
        <v>78.140777587890597</v>
      </c>
      <c r="C988">
        <v>85.5</v>
      </c>
      <c r="D988">
        <v>86.099998474121094</v>
      </c>
      <c r="E988">
        <v>85.400001525878906</v>
      </c>
      <c r="F988">
        <v>86.050003051757798</v>
      </c>
      <c r="G988" s="2">
        <v>17990700</v>
      </c>
      <c r="H988" s="3">
        <f t="shared" si="15"/>
        <v>-2.3358964419928352E-4</v>
      </c>
      <c r="J988" s="3">
        <v>-4.691051468200369E-3</v>
      </c>
      <c r="K988" s="3">
        <v>0.31027978623074504</v>
      </c>
    </row>
    <row r="989" spans="1:11" x14ac:dyDescent="0.2">
      <c r="A989" s="1">
        <v>43091</v>
      </c>
      <c r="B989">
        <v>78.149909973144503</v>
      </c>
      <c r="C989">
        <v>85.510002136230398</v>
      </c>
      <c r="D989">
        <v>85.629997253417898</v>
      </c>
      <c r="E989">
        <v>84.919998168945298</v>
      </c>
      <c r="F989">
        <v>85.400001525878906</v>
      </c>
      <c r="G989" s="2">
        <v>14145800</v>
      </c>
      <c r="H989" s="3">
        <f t="shared" si="15"/>
        <v>1.1687092880063865E-4</v>
      </c>
      <c r="J989" s="3">
        <v>-4.6900534709836128E-3</v>
      </c>
      <c r="K989" s="3">
        <v>0.31059415278214397</v>
      </c>
    </row>
    <row r="990" spans="1:11" x14ac:dyDescent="0.2">
      <c r="A990" s="1">
        <v>43095</v>
      </c>
      <c r="B990">
        <v>78.049369812011705</v>
      </c>
      <c r="C990">
        <v>85.400001525878906</v>
      </c>
      <c r="D990">
        <v>85.529998779296804</v>
      </c>
      <c r="E990">
        <v>85.029998779296804</v>
      </c>
      <c r="F990">
        <v>85.309997558593693</v>
      </c>
      <c r="G990" s="2">
        <v>9891200</v>
      </c>
      <c r="H990" s="3">
        <f t="shared" si="15"/>
        <v>-1.2865038637580595E-3</v>
      </c>
      <c r="J990" s="3">
        <v>-4.6683398675235743E-3</v>
      </c>
      <c r="K990" s="3">
        <v>0.31090851933354291</v>
      </c>
    </row>
    <row r="991" spans="1:11" x14ac:dyDescent="0.2">
      <c r="A991" s="1">
        <v>43096</v>
      </c>
      <c r="B991">
        <v>78.332687377929602</v>
      </c>
      <c r="C991">
        <v>85.709999084472599</v>
      </c>
      <c r="D991">
        <v>85.980003356933594</v>
      </c>
      <c r="E991">
        <v>85.220001220703097</v>
      </c>
      <c r="F991">
        <v>85.650001525878906</v>
      </c>
      <c r="G991" s="2">
        <v>14678000</v>
      </c>
      <c r="H991" s="3">
        <f t="shared" si="15"/>
        <v>3.6299789043818809E-3</v>
      </c>
      <c r="J991" s="3">
        <v>-4.6679733505885501E-3</v>
      </c>
      <c r="K991" s="3">
        <v>0.31122288588494185</v>
      </c>
    </row>
    <row r="992" spans="1:11" x14ac:dyDescent="0.2">
      <c r="A992" s="1">
        <v>43097</v>
      </c>
      <c r="B992">
        <v>78.341835021972599</v>
      </c>
      <c r="C992">
        <v>85.720001220703097</v>
      </c>
      <c r="D992">
        <v>85.930000305175696</v>
      </c>
      <c r="E992">
        <v>85.550003051757798</v>
      </c>
      <c r="F992">
        <v>85.900001525878906</v>
      </c>
      <c r="G992" s="2">
        <v>10594300</v>
      </c>
      <c r="H992" s="3">
        <f t="shared" si="15"/>
        <v>1.1677939758225619E-4</v>
      </c>
      <c r="J992" s="3">
        <v>-4.6640085477865911E-3</v>
      </c>
      <c r="K992" s="3">
        <v>0.31153725243634078</v>
      </c>
    </row>
    <row r="993" spans="1:11" x14ac:dyDescent="0.2">
      <c r="A993" s="1">
        <v>43098</v>
      </c>
      <c r="B993">
        <v>78.177322387695298</v>
      </c>
      <c r="C993">
        <v>85.540000915527301</v>
      </c>
      <c r="D993">
        <v>86.050003051757798</v>
      </c>
      <c r="E993">
        <v>85.5</v>
      </c>
      <c r="F993">
        <v>85.629997253417898</v>
      </c>
      <c r="G993" s="2">
        <v>18717400</v>
      </c>
      <c r="H993" s="3">
        <f t="shared" si="15"/>
        <v>-2.0999333782666385E-3</v>
      </c>
      <c r="J993" s="3">
        <v>-4.6563786895565951E-3</v>
      </c>
      <c r="K993" s="3">
        <v>0.31185161898773972</v>
      </c>
    </row>
    <row r="994" spans="1:11" x14ac:dyDescent="0.2">
      <c r="A994" s="1">
        <v>43102</v>
      </c>
      <c r="B994">
        <v>78.552040100097599</v>
      </c>
      <c r="C994">
        <v>85.949996948242102</v>
      </c>
      <c r="D994">
        <v>86.309997558593693</v>
      </c>
      <c r="E994">
        <v>85.5</v>
      </c>
      <c r="F994">
        <v>86.129997253417898</v>
      </c>
      <c r="G994" s="2">
        <v>22483800</v>
      </c>
      <c r="H994" s="3">
        <f t="shared" si="15"/>
        <v>4.7931766010609334E-3</v>
      </c>
      <c r="J994" s="3">
        <v>-4.655169088808031E-3</v>
      </c>
      <c r="K994" s="3">
        <v>0.31216598553913866</v>
      </c>
    </row>
    <row r="995" spans="1:11" x14ac:dyDescent="0.2">
      <c r="A995" s="1">
        <v>43103</v>
      </c>
      <c r="B995">
        <v>78.917587280273395</v>
      </c>
      <c r="C995">
        <v>86.349998474121094</v>
      </c>
      <c r="D995">
        <v>86.510002136230398</v>
      </c>
      <c r="E995">
        <v>85.970001220703097</v>
      </c>
      <c r="F995">
        <v>86.059997558593693</v>
      </c>
      <c r="G995" s="2">
        <v>26061400</v>
      </c>
      <c r="H995" s="3">
        <f t="shared" si="15"/>
        <v>4.6535669819649517E-3</v>
      </c>
      <c r="J995" s="3">
        <v>-4.6545304683678346E-3</v>
      </c>
      <c r="K995" s="3">
        <v>0.31248035209053759</v>
      </c>
    </row>
    <row r="996" spans="1:11" x14ac:dyDescent="0.2">
      <c r="A996" s="1">
        <v>43104</v>
      </c>
      <c r="B996">
        <v>79.6121826171875</v>
      </c>
      <c r="C996">
        <v>87.110000610351506</v>
      </c>
      <c r="D996">
        <v>87.660003662109304</v>
      </c>
      <c r="E996">
        <v>86.569999694824205</v>
      </c>
      <c r="F996">
        <v>86.589996337890597</v>
      </c>
      <c r="G996" s="2">
        <v>21912000</v>
      </c>
      <c r="H996" s="3">
        <f t="shared" si="15"/>
        <v>8.8015277817259374E-3</v>
      </c>
      <c r="J996" s="3">
        <v>-4.6543685298374715E-3</v>
      </c>
      <c r="K996" s="3">
        <v>0.31279471864193648</v>
      </c>
    </row>
    <row r="997" spans="1:11" x14ac:dyDescent="0.2">
      <c r="A997" s="1">
        <v>43105</v>
      </c>
      <c r="B997">
        <v>80.599258422851506</v>
      </c>
      <c r="C997">
        <v>88.190002441406193</v>
      </c>
      <c r="D997">
        <v>88.410003662109304</v>
      </c>
      <c r="E997">
        <v>87.430000305175696</v>
      </c>
      <c r="F997">
        <v>87.660003662109304</v>
      </c>
      <c r="G997" s="2">
        <v>23407100</v>
      </c>
      <c r="H997" s="3">
        <f t="shared" si="15"/>
        <v>1.2398552246837946E-2</v>
      </c>
      <c r="J997" s="3">
        <v>-4.635900450316699E-3</v>
      </c>
      <c r="K997" s="3">
        <v>0.31310908519333541</v>
      </c>
    </row>
    <row r="998" spans="1:11" x14ac:dyDescent="0.2">
      <c r="A998" s="1">
        <v>43108</v>
      </c>
      <c r="B998">
        <v>80.681457519531193</v>
      </c>
      <c r="C998">
        <v>88.279998779296804</v>
      </c>
      <c r="D998">
        <v>88.580001831054602</v>
      </c>
      <c r="E998">
        <v>87.599998474121094</v>
      </c>
      <c r="F998">
        <v>88.199996948242102</v>
      </c>
      <c r="G998" s="2">
        <v>22113000</v>
      </c>
      <c r="H998" s="3">
        <f t="shared" si="15"/>
        <v>1.0198492925139746E-3</v>
      </c>
      <c r="J998" s="3">
        <v>-4.6269892741372942E-3</v>
      </c>
      <c r="K998" s="3">
        <v>0.31342345174473435</v>
      </c>
    </row>
    <row r="999" spans="1:11" x14ac:dyDescent="0.2">
      <c r="A999" s="1">
        <v>43109</v>
      </c>
      <c r="B999">
        <v>80.626663208007798</v>
      </c>
      <c r="C999">
        <v>88.220001220703097</v>
      </c>
      <c r="D999">
        <v>88.730003356933594</v>
      </c>
      <c r="E999">
        <v>87.860000610351506</v>
      </c>
      <c r="F999">
        <v>88.650001525878906</v>
      </c>
      <c r="G999" s="2">
        <v>19484300</v>
      </c>
      <c r="H999" s="3">
        <f t="shared" si="15"/>
        <v>-6.7914379843880823E-4</v>
      </c>
      <c r="J999" s="3">
        <v>-4.6177848190693815E-3</v>
      </c>
      <c r="K999" s="3">
        <v>0.31373781829613329</v>
      </c>
    </row>
    <row r="1000" spans="1:11" x14ac:dyDescent="0.2">
      <c r="A1000" s="1">
        <v>43110</v>
      </c>
      <c r="B1000">
        <v>80.261085510253906</v>
      </c>
      <c r="C1000">
        <v>87.819999694824205</v>
      </c>
      <c r="D1000">
        <v>88.190002441406193</v>
      </c>
      <c r="E1000">
        <v>87.410003662109304</v>
      </c>
      <c r="F1000">
        <v>87.860000610351506</v>
      </c>
      <c r="G1000" s="2">
        <v>18652200</v>
      </c>
      <c r="H1000" s="3">
        <f t="shared" si="15"/>
        <v>-4.5342034906088458E-3</v>
      </c>
      <c r="J1000" s="3">
        <v>-4.5908859102609112E-3</v>
      </c>
      <c r="K1000" s="3">
        <v>0.31405218484753222</v>
      </c>
    </row>
    <row r="1001" spans="1:11" x14ac:dyDescent="0.2">
      <c r="A1001" s="1">
        <v>43111</v>
      </c>
      <c r="B1001">
        <v>80.498695373535099</v>
      </c>
      <c r="C1001">
        <v>88.080001831054602</v>
      </c>
      <c r="D1001">
        <v>88.129997253417898</v>
      </c>
      <c r="E1001">
        <v>87.239997863769503</v>
      </c>
      <c r="F1001">
        <v>88.129997253417898</v>
      </c>
      <c r="G1001" s="2">
        <v>17808900</v>
      </c>
      <c r="H1001" s="3">
        <f t="shared" si="15"/>
        <v>2.9604616206049261E-3</v>
      </c>
      <c r="J1001" s="3">
        <v>-4.5883264183138595E-3</v>
      </c>
      <c r="K1001" s="3">
        <v>0.31436655139893116</v>
      </c>
    </row>
    <row r="1002" spans="1:11" x14ac:dyDescent="0.2">
      <c r="A1002" s="1">
        <v>43112</v>
      </c>
      <c r="B1002">
        <v>81.887870788574205</v>
      </c>
      <c r="C1002">
        <v>89.599998474121094</v>
      </c>
      <c r="D1002">
        <v>89.779998779296804</v>
      </c>
      <c r="E1002">
        <v>88.449996948242102</v>
      </c>
      <c r="F1002">
        <v>88.669998168945298</v>
      </c>
      <c r="G1002" s="2">
        <v>24271500</v>
      </c>
      <c r="H1002" s="3">
        <f t="shared" si="15"/>
        <v>1.7257117132059907E-2</v>
      </c>
      <c r="J1002" s="3">
        <v>-4.5826809469131646E-3</v>
      </c>
      <c r="K1002" s="3">
        <v>0.3146809179503301</v>
      </c>
    </row>
    <row r="1003" spans="1:11" x14ac:dyDescent="0.2">
      <c r="A1003" s="1">
        <v>43116</v>
      </c>
      <c r="B1003">
        <v>80.745468139648395</v>
      </c>
      <c r="C1003">
        <v>88.349998474121094</v>
      </c>
      <c r="D1003">
        <v>90.790000915527301</v>
      </c>
      <c r="E1003">
        <v>88.010002136230398</v>
      </c>
      <c r="F1003">
        <v>90.099998474121094</v>
      </c>
      <c r="G1003" s="2">
        <v>36599700</v>
      </c>
      <c r="H1003" s="3">
        <f t="shared" si="15"/>
        <v>-1.3950816377621633E-2</v>
      </c>
      <c r="J1003" s="3">
        <v>-4.5645115992880569E-3</v>
      </c>
      <c r="K1003" s="3">
        <v>0.31499528450172903</v>
      </c>
    </row>
    <row r="1004" spans="1:11" x14ac:dyDescent="0.2">
      <c r="A1004" s="1">
        <v>43117</v>
      </c>
      <c r="B1004">
        <v>82.381385803222599</v>
      </c>
      <c r="C1004">
        <v>90.139999389648395</v>
      </c>
      <c r="D1004">
        <v>90.279998779296804</v>
      </c>
      <c r="E1004">
        <v>88.75</v>
      </c>
      <c r="F1004">
        <v>89.080001831054602</v>
      </c>
      <c r="G1004" s="2">
        <v>25621200</v>
      </c>
      <c r="H1004" s="3">
        <f t="shared" si="15"/>
        <v>2.0260179317369342E-2</v>
      </c>
      <c r="J1004" s="3">
        <v>-4.5607570856762703E-3</v>
      </c>
      <c r="K1004" s="3">
        <v>0.31530965105312797</v>
      </c>
    </row>
    <row r="1005" spans="1:11" x14ac:dyDescent="0.2">
      <c r="A1005" s="1">
        <v>43118</v>
      </c>
      <c r="B1005">
        <v>82.344841003417898</v>
      </c>
      <c r="C1005">
        <v>90.099998474121094</v>
      </c>
      <c r="D1005">
        <v>90.669998168945298</v>
      </c>
      <c r="E1005">
        <v>89.660003662109304</v>
      </c>
      <c r="F1005">
        <v>89.800003051757798</v>
      </c>
      <c r="G1005" s="2">
        <v>24159700</v>
      </c>
      <c r="H1005" s="3">
        <f t="shared" si="15"/>
        <v>-4.436050625804544E-4</v>
      </c>
      <c r="J1005" s="3">
        <v>-4.5404929213722633E-3</v>
      </c>
      <c r="K1005" s="3">
        <v>0.31562401760452685</v>
      </c>
    </row>
    <row r="1006" spans="1:11" x14ac:dyDescent="0.2">
      <c r="A1006" s="1">
        <v>43119</v>
      </c>
      <c r="B1006">
        <v>82.253440856933594</v>
      </c>
      <c r="C1006">
        <v>90</v>
      </c>
      <c r="D1006">
        <v>90.610000610351506</v>
      </c>
      <c r="E1006">
        <v>89.660003662109304</v>
      </c>
      <c r="F1006">
        <v>90.139999389648395</v>
      </c>
      <c r="G1006" s="2">
        <v>36875000</v>
      </c>
      <c r="H1006" s="3">
        <f t="shared" si="15"/>
        <v>-1.1099680972183057E-3</v>
      </c>
      <c r="J1006" s="3">
        <v>-4.5342034906088458E-3</v>
      </c>
      <c r="K1006" s="3">
        <v>0.31593838415592579</v>
      </c>
    </row>
    <row r="1007" spans="1:11" x14ac:dyDescent="0.2">
      <c r="A1007" s="1">
        <v>43122</v>
      </c>
      <c r="B1007">
        <v>83.724845886230398</v>
      </c>
      <c r="C1007">
        <v>91.610000610351506</v>
      </c>
      <c r="D1007">
        <v>91.620002746582003</v>
      </c>
      <c r="E1007">
        <v>89.739997863769503</v>
      </c>
      <c r="F1007">
        <v>90</v>
      </c>
      <c r="G1007" s="2">
        <v>23601600</v>
      </c>
      <c r="H1007" s="3">
        <f t="shared" si="15"/>
        <v>1.7888674491515433E-2</v>
      </c>
      <c r="J1007" s="3">
        <v>-4.5274580781048401E-3</v>
      </c>
      <c r="K1007" s="3">
        <v>0.31625275070732473</v>
      </c>
    </row>
    <row r="1008" spans="1:11" x14ac:dyDescent="0.2">
      <c r="A1008" s="1">
        <v>43123</v>
      </c>
      <c r="B1008">
        <v>83.989898681640597</v>
      </c>
      <c r="C1008">
        <v>91.900001525878906</v>
      </c>
      <c r="D1008">
        <v>92.300003051757798</v>
      </c>
      <c r="E1008">
        <v>91.540000915527301</v>
      </c>
      <c r="F1008">
        <v>91.900001525878906</v>
      </c>
      <c r="G1008" s="2">
        <v>23412800</v>
      </c>
      <c r="H1008" s="3">
        <f t="shared" si="15"/>
        <v>3.1657603260371037E-3</v>
      </c>
      <c r="J1008" s="3">
        <v>-4.4834247492240298E-3</v>
      </c>
      <c r="K1008" s="3">
        <v>0.31656711725872366</v>
      </c>
    </row>
    <row r="1009" spans="1:11" x14ac:dyDescent="0.2">
      <c r="A1009" s="1">
        <v>43124</v>
      </c>
      <c r="B1009">
        <v>83.916809082031193</v>
      </c>
      <c r="C1009">
        <v>91.819999694824205</v>
      </c>
      <c r="D1009">
        <v>93.430000305175696</v>
      </c>
      <c r="E1009">
        <v>91.580001831054602</v>
      </c>
      <c r="F1009">
        <v>92.550003051757798</v>
      </c>
      <c r="G1009" s="2">
        <v>33277500</v>
      </c>
      <c r="H1009" s="3">
        <f t="shared" si="15"/>
        <v>-8.7021892818861524E-4</v>
      </c>
      <c r="J1009" s="3">
        <v>-4.4784721855494203E-3</v>
      </c>
      <c r="K1009" s="3">
        <v>0.3168814838101226</v>
      </c>
    </row>
    <row r="1010" spans="1:11" x14ac:dyDescent="0.2">
      <c r="A1010" s="1">
        <v>43125</v>
      </c>
      <c r="B1010">
        <v>84.382881164550696</v>
      </c>
      <c r="C1010">
        <v>92.330001831054602</v>
      </c>
      <c r="D1010">
        <v>93.239997863769503</v>
      </c>
      <c r="E1010">
        <v>91.930000305175696</v>
      </c>
      <c r="F1010">
        <v>92.470001220703097</v>
      </c>
      <c r="G1010" s="2">
        <v>26383200</v>
      </c>
      <c r="H1010" s="3">
        <f t="shared" si="15"/>
        <v>5.553977654987996E-3</v>
      </c>
      <c r="J1010" s="3">
        <v>-4.4782829318943396E-3</v>
      </c>
      <c r="K1010" s="3">
        <v>0.31719585036152154</v>
      </c>
    </row>
    <row r="1011" spans="1:11" x14ac:dyDescent="0.2">
      <c r="A1011" s="1">
        <v>43126</v>
      </c>
      <c r="B1011">
        <v>85.963958740234304</v>
      </c>
      <c r="C1011">
        <v>94.059997558593693</v>
      </c>
      <c r="D1011">
        <v>94.059997558593693</v>
      </c>
      <c r="E1011">
        <v>92.580001831054602</v>
      </c>
      <c r="F1011">
        <v>93.120002746582003</v>
      </c>
      <c r="G1011" s="2">
        <v>29172200</v>
      </c>
      <c r="H1011" s="3">
        <f t="shared" si="15"/>
        <v>1.8736947042616636E-2</v>
      </c>
      <c r="J1011" s="3">
        <v>-4.4743819998102063E-3</v>
      </c>
      <c r="K1011" s="3">
        <v>0.31751021691292047</v>
      </c>
    </row>
    <row r="1012" spans="1:11" x14ac:dyDescent="0.2">
      <c r="A1012" s="1">
        <v>43129</v>
      </c>
      <c r="B1012">
        <v>85.836029052734304</v>
      </c>
      <c r="C1012">
        <v>93.919998168945298</v>
      </c>
      <c r="D1012">
        <v>95.449996948242102</v>
      </c>
      <c r="E1012">
        <v>93.720001220703097</v>
      </c>
      <c r="F1012">
        <v>95.139999389648395</v>
      </c>
      <c r="G1012" s="2">
        <v>31569900</v>
      </c>
      <c r="H1012" s="3">
        <f t="shared" si="15"/>
        <v>-1.4881781780964332E-3</v>
      </c>
      <c r="J1012" s="3">
        <v>-4.4743819998102063E-3</v>
      </c>
      <c r="K1012" s="3">
        <v>0.31782458346431941</v>
      </c>
    </row>
    <row r="1013" spans="1:11" x14ac:dyDescent="0.2">
      <c r="A1013" s="1">
        <v>43130</v>
      </c>
      <c r="B1013">
        <v>84.757606506347599</v>
      </c>
      <c r="C1013">
        <v>92.739997863769503</v>
      </c>
      <c r="D1013">
        <v>93.660003662109304</v>
      </c>
      <c r="E1013">
        <v>92.099998474121094</v>
      </c>
      <c r="F1013">
        <v>93.300003051757798</v>
      </c>
      <c r="G1013" s="2">
        <v>38635100</v>
      </c>
      <c r="H1013" s="3">
        <f t="shared" si="15"/>
        <v>-1.2563751588789862E-2</v>
      </c>
      <c r="J1013" s="3">
        <v>-4.4724872539070315E-3</v>
      </c>
      <c r="K1013" s="3">
        <v>0.31813895001571835</v>
      </c>
    </row>
    <row r="1014" spans="1:11" x14ac:dyDescent="0.2">
      <c r="A1014" s="1">
        <v>43131</v>
      </c>
      <c r="B1014">
        <v>86.832214355468693</v>
      </c>
      <c r="C1014">
        <v>95.010002136230398</v>
      </c>
      <c r="D1014">
        <v>95.400001525878906</v>
      </c>
      <c r="E1014">
        <v>93.510002136230398</v>
      </c>
      <c r="F1014">
        <v>93.75</v>
      </c>
      <c r="G1014" s="2">
        <v>48756300</v>
      </c>
      <c r="H1014" s="3">
        <f t="shared" si="15"/>
        <v>2.447695179978604E-2</v>
      </c>
      <c r="J1014" s="3">
        <v>-4.4631626819040537E-3</v>
      </c>
      <c r="K1014" s="3">
        <v>0.31845331656711728</v>
      </c>
    </row>
    <row r="1015" spans="1:11" x14ac:dyDescent="0.2">
      <c r="A1015" s="1">
        <v>43132</v>
      </c>
      <c r="B1015">
        <v>86.146781921386705</v>
      </c>
      <c r="C1015">
        <v>94.260002136230398</v>
      </c>
      <c r="D1015">
        <v>96.069999694824205</v>
      </c>
      <c r="E1015">
        <v>93.580001831054602</v>
      </c>
      <c r="F1015">
        <v>94.790000915527301</v>
      </c>
      <c r="G1015" s="2">
        <v>47227900</v>
      </c>
      <c r="H1015" s="3">
        <f t="shared" si="15"/>
        <v>-7.8937573937248873E-3</v>
      </c>
      <c r="J1015" s="3">
        <v>-4.4532491761645199E-3</v>
      </c>
      <c r="K1015" s="3">
        <v>0.31876768311851617</v>
      </c>
    </row>
    <row r="1016" spans="1:11" x14ac:dyDescent="0.2">
      <c r="A1016" s="1">
        <v>43133</v>
      </c>
      <c r="B1016">
        <v>83.880210876464801</v>
      </c>
      <c r="C1016">
        <v>91.779998779296804</v>
      </c>
      <c r="D1016">
        <v>93.970001220703097</v>
      </c>
      <c r="E1016">
        <v>91.5</v>
      </c>
      <c r="F1016">
        <v>93.639999389648395</v>
      </c>
      <c r="G1016" s="2">
        <v>47867800</v>
      </c>
      <c r="H1016" s="3">
        <f t="shared" si="15"/>
        <v>-2.6310571264174021E-2</v>
      </c>
      <c r="J1016" s="3">
        <v>-4.4461452724049444E-3</v>
      </c>
      <c r="K1016" s="3">
        <v>0.3190820496699151</v>
      </c>
    </row>
    <row r="1017" spans="1:11" x14ac:dyDescent="0.2">
      <c r="A1017" s="1">
        <v>43136</v>
      </c>
      <c r="B1017">
        <v>80.425590515136705</v>
      </c>
      <c r="C1017">
        <v>88</v>
      </c>
      <c r="D1017">
        <v>93.239997863769503</v>
      </c>
      <c r="E1017">
        <v>88</v>
      </c>
      <c r="F1017">
        <v>90.559997558593693</v>
      </c>
      <c r="G1017" s="2">
        <v>51031500</v>
      </c>
      <c r="H1017" s="3">
        <f t="shared" si="15"/>
        <v>-4.1185165430925208E-2</v>
      </c>
      <c r="J1017" s="3">
        <v>-4.4302971668870317E-3</v>
      </c>
      <c r="K1017" s="3">
        <v>0.31939641622131404</v>
      </c>
    </row>
    <row r="1018" spans="1:11" x14ac:dyDescent="0.2">
      <c r="A1018" s="1">
        <v>43137</v>
      </c>
      <c r="B1018">
        <v>83.468948364257798</v>
      </c>
      <c r="C1018">
        <v>91.330001831054602</v>
      </c>
      <c r="D1018">
        <v>91.480003356933594</v>
      </c>
      <c r="E1018">
        <v>85.25</v>
      </c>
      <c r="F1018">
        <v>86.889999389648395</v>
      </c>
      <c r="G1018" s="2">
        <v>67998600</v>
      </c>
      <c r="H1018" s="3">
        <f t="shared" si="15"/>
        <v>3.7840665261243078E-2</v>
      </c>
      <c r="J1018" s="3">
        <v>-4.4212714154776567E-3</v>
      </c>
      <c r="K1018" s="3">
        <v>0.31971078277271298</v>
      </c>
    </row>
    <row r="1019" spans="1:11" x14ac:dyDescent="0.2">
      <c r="A1019" s="1">
        <v>43138</v>
      </c>
      <c r="B1019">
        <v>81.896995544433594</v>
      </c>
      <c r="C1019">
        <v>89.610000610351506</v>
      </c>
      <c r="D1019">
        <v>91.769996643066406</v>
      </c>
      <c r="E1019">
        <v>89.199996948242102</v>
      </c>
      <c r="F1019">
        <v>90.489997863769503</v>
      </c>
      <c r="G1019" s="2">
        <v>41107600</v>
      </c>
      <c r="H1019" s="3">
        <f t="shared" si="15"/>
        <v>-1.8832785732057045E-2</v>
      </c>
      <c r="J1019" s="3">
        <v>-4.4130014680131557E-3</v>
      </c>
      <c r="K1019" s="3">
        <v>0.32002514932411191</v>
      </c>
    </row>
    <row r="1020" spans="1:11" x14ac:dyDescent="0.2">
      <c r="A1020" s="1">
        <v>43139</v>
      </c>
      <c r="B1020">
        <v>77.692939758300696</v>
      </c>
      <c r="C1020">
        <v>85.010002136230398</v>
      </c>
      <c r="D1020">
        <v>89.879997253417898</v>
      </c>
      <c r="E1020">
        <v>84.760002136230398</v>
      </c>
      <c r="F1020">
        <v>89.709999084472599</v>
      </c>
      <c r="G1020" s="2">
        <v>55628700</v>
      </c>
      <c r="H1020" s="3">
        <f t="shared" si="15"/>
        <v>-5.1333455619284152E-2</v>
      </c>
      <c r="J1020" s="3">
        <v>-4.4090214575474018E-3</v>
      </c>
      <c r="K1020" s="3">
        <v>0.32033951587551085</v>
      </c>
    </row>
    <row r="1021" spans="1:11" x14ac:dyDescent="0.2">
      <c r="A1021" s="1">
        <v>43140</v>
      </c>
      <c r="B1021">
        <v>80.590095520019503</v>
      </c>
      <c r="C1021">
        <v>88.180000305175696</v>
      </c>
      <c r="D1021">
        <v>88.930000305175696</v>
      </c>
      <c r="E1021">
        <v>83.830001831054602</v>
      </c>
      <c r="F1021">
        <v>86.300003051757798</v>
      </c>
      <c r="G1021" s="2">
        <v>63499100</v>
      </c>
      <c r="H1021" s="3">
        <f t="shared" si="15"/>
        <v>3.72898202942471E-2</v>
      </c>
      <c r="J1021" s="3">
        <v>-4.402531956217981E-3</v>
      </c>
      <c r="K1021" s="3">
        <v>0.32065388242690979</v>
      </c>
    </row>
    <row r="1022" spans="1:11" x14ac:dyDescent="0.2">
      <c r="A1022" s="1">
        <v>43143</v>
      </c>
      <c r="B1022">
        <v>81.458328247070298</v>
      </c>
      <c r="C1022">
        <v>89.129997253417898</v>
      </c>
      <c r="D1022">
        <v>89.779998779296804</v>
      </c>
      <c r="E1022">
        <v>87.930000305175696</v>
      </c>
      <c r="F1022">
        <v>88.739997863769503</v>
      </c>
      <c r="G1022" s="2">
        <v>35720300</v>
      </c>
      <c r="H1022" s="3">
        <f t="shared" si="15"/>
        <v>1.0773442089234253E-2</v>
      </c>
      <c r="J1022" s="3">
        <v>-4.3966482900369419E-3</v>
      </c>
      <c r="K1022" s="3">
        <v>0.32096824897830872</v>
      </c>
    </row>
    <row r="1023" spans="1:11" x14ac:dyDescent="0.2">
      <c r="A1023" s="1">
        <v>43144</v>
      </c>
      <c r="B1023">
        <v>82.098083496093693</v>
      </c>
      <c r="C1023">
        <v>89.830001831054602</v>
      </c>
      <c r="D1023">
        <v>90</v>
      </c>
      <c r="E1023">
        <v>87.800003051757798</v>
      </c>
      <c r="F1023">
        <v>88.930000305175696</v>
      </c>
      <c r="G1023" s="2">
        <v>26407700</v>
      </c>
      <c r="H1023" s="3">
        <f t="shared" si="15"/>
        <v>7.8537733684265199E-3</v>
      </c>
      <c r="J1023" s="3">
        <v>-4.3877105904693847E-3</v>
      </c>
      <c r="K1023" s="3">
        <v>0.32128261552970766</v>
      </c>
    </row>
    <row r="1024" spans="1:11" x14ac:dyDescent="0.2">
      <c r="A1024" s="1">
        <v>43145</v>
      </c>
      <c r="B1024">
        <v>83.383583068847599</v>
      </c>
      <c r="C1024">
        <v>90.809997558593693</v>
      </c>
      <c r="D1024">
        <v>90.989997863769503</v>
      </c>
      <c r="E1024">
        <v>88.410003662109304</v>
      </c>
      <c r="F1024">
        <v>88.510002136230398</v>
      </c>
      <c r="G1024" s="2">
        <v>34960900</v>
      </c>
      <c r="H1024" s="3">
        <f t="shared" si="15"/>
        <v>1.5658094781409559E-2</v>
      </c>
      <c r="J1024" s="3">
        <v>-4.3815730564296107E-3</v>
      </c>
      <c r="K1024" s="3">
        <v>0.3215969820811066</v>
      </c>
    </row>
    <row r="1025" spans="1:11" x14ac:dyDescent="0.2">
      <c r="A1025" s="1">
        <v>43146</v>
      </c>
      <c r="B1025">
        <v>85.082283020019503</v>
      </c>
      <c r="C1025">
        <v>92.660003662109304</v>
      </c>
      <c r="D1025">
        <v>92.720001220703097</v>
      </c>
      <c r="E1025">
        <v>90.620002746582003</v>
      </c>
      <c r="F1025">
        <v>91.209999084472599</v>
      </c>
      <c r="G1025" s="2">
        <v>27823900</v>
      </c>
      <c r="H1025" s="3">
        <f t="shared" si="15"/>
        <v>2.0372115093319154E-2</v>
      </c>
      <c r="J1025" s="3">
        <v>-4.3797106474602332E-3</v>
      </c>
      <c r="K1025" s="3">
        <v>0.32191134863250548</v>
      </c>
    </row>
    <row r="1026" spans="1:11" x14ac:dyDescent="0.2">
      <c r="A1026" s="1">
        <v>43147</v>
      </c>
      <c r="B1026">
        <v>84.476272583007798</v>
      </c>
      <c r="C1026">
        <v>92</v>
      </c>
      <c r="D1026">
        <v>93.5</v>
      </c>
      <c r="E1026">
        <v>91.800003051757798</v>
      </c>
      <c r="F1026">
        <v>92.449996948242102</v>
      </c>
      <c r="G1026" s="2">
        <v>30596900</v>
      </c>
      <c r="H1026" s="3">
        <f t="shared" ref="H1026:H1089" si="16">B1026/B1025-1</f>
        <v>-7.1226395848958957E-3</v>
      </c>
      <c r="J1026" s="3">
        <v>-4.3357116964777287E-3</v>
      </c>
      <c r="K1026" s="3">
        <v>0.32222571518390442</v>
      </c>
    </row>
    <row r="1027" spans="1:11" x14ac:dyDescent="0.2">
      <c r="A1027" s="1">
        <v>43151</v>
      </c>
      <c r="B1027">
        <v>85.137367248535099</v>
      </c>
      <c r="C1027">
        <v>92.720001220703097</v>
      </c>
      <c r="D1027">
        <v>93.059997558593693</v>
      </c>
      <c r="E1027">
        <v>91.010002136230398</v>
      </c>
      <c r="F1027">
        <v>91.480003356933594</v>
      </c>
      <c r="G1027" s="2">
        <v>30911700</v>
      </c>
      <c r="H1027" s="3">
        <f t="shared" si="16"/>
        <v>7.8258029777260596E-3</v>
      </c>
      <c r="J1027" s="3">
        <v>-4.3167792878174849E-3</v>
      </c>
      <c r="K1027" s="3">
        <v>0.32254008173530335</v>
      </c>
    </row>
    <row r="1028" spans="1:11" x14ac:dyDescent="0.2">
      <c r="A1028" s="1">
        <v>43152</v>
      </c>
      <c r="B1028">
        <v>84.007957458496094</v>
      </c>
      <c r="C1028">
        <v>91.489997863769503</v>
      </c>
      <c r="D1028">
        <v>93.360000610351506</v>
      </c>
      <c r="E1028">
        <v>91.489997863769503</v>
      </c>
      <c r="F1028">
        <v>92.980003356933594</v>
      </c>
      <c r="G1028" s="2">
        <v>26922500</v>
      </c>
      <c r="H1028" s="3">
        <f t="shared" si="16"/>
        <v>-1.3265735440726067E-2</v>
      </c>
      <c r="J1028" s="3">
        <v>-4.2925560020031783E-3</v>
      </c>
      <c r="K1028" s="3">
        <v>0.32285444828670229</v>
      </c>
    </row>
    <row r="1029" spans="1:11" x14ac:dyDescent="0.2">
      <c r="A1029" s="1">
        <v>43153</v>
      </c>
      <c r="B1029">
        <v>84.228347778320298</v>
      </c>
      <c r="C1029">
        <v>91.730003356933594</v>
      </c>
      <c r="D1029">
        <v>92.730003356933594</v>
      </c>
      <c r="E1029">
        <v>91.360000610351506</v>
      </c>
      <c r="F1029">
        <v>92.050003051757798</v>
      </c>
      <c r="G1029" s="2">
        <v>24392800</v>
      </c>
      <c r="H1029" s="3">
        <f t="shared" si="16"/>
        <v>2.623445760279175E-3</v>
      </c>
      <c r="J1029" s="3">
        <v>-4.2609203408324747E-3</v>
      </c>
      <c r="K1029" s="3">
        <v>0.32316881483810123</v>
      </c>
    </row>
    <row r="1030" spans="1:11" x14ac:dyDescent="0.2">
      <c r="A1030" s="1">
        <v>43154</v>
      </c>
      <c r="B1030">
        <v>86.367782592773395</v>
      </c>
      <c r="C1030">
        <v>94.059997558593693</v>
      </c>
      <c r="D1030">
        <v>94.069999694824205</v>
      </c>
      <c r="E1030">
        <v>92.360000610351506</v>
      </c>
      <c r="F1030">
        <v>93.599998474121094</v>
      </c>
      <c r="G1030" s="2">
        <v>26329200</v>
      </c>
      <c r="H1030" s="3">
        <f t="shared" si="16"/>
        <v>2.5400412935605132E-2</v>
      </c>
      <c r="J1030" s="3">
        <v>-4.2440807741414011E-3</v>
      </c>
      <c r="K1030" s="3">
        <v>0.32348318138950016</v>
      </c>
    </row>
    <row r="1031" spans="1:11" x14ac:dyDescent="0.2">
      <c r="A1031" s="1">
        <v>43157</v>
      </c>
      <c r="B1031">
        <v>87.616546630859304</v>
      </c>
      <c r="C1031">
        <v>95.419998168945298</v>
      </c>
      <c r="D1031">
        <v>95.449996948242102</v>
      </c>
      <c r="E1031">
        <v>94.25</v>
      </c>
      <c r="F1031">
        <v>94.400001525878906</v>
      </c>
      <c r="G1031" s="2">
        <v>30199800</v>
      </c>
      <c r="H1031" s="3">
        <f t="shared" si="16"/>
        <v>1.4458678926305923E-2</v>
      </c>
      <c r="J1031" s="3">
        <v>-4.2270425715378313E-3</v>
      </c>
      <c r="K1031" s="3">
        <v>0.3237975479408991</v>
      </c>
    </row>
    <row r="1032" spans="1:11" x14ac:dyDescent="0.2">
      <c r="A1032" s="1">
        <v>43158</v>
      </c>
      <c r="B1032">
        <v>86.496337890625</v>
      </c>
      <c r="C1032">
        <v>94.199996948242102</v>
      </c>
      <c r="D1032">
        <v>95.839996337890597</v>
      </c>
      <c r="E1032">
        <v>94.199996948242102</v>
      </c>
      <c r="F1032">
        <v>95.739997863769503</v>
      </c>
      <c r="G1032" s="2">
        <v>25869100</v>
      </c>
      <c r="H1032" s="3">
        <f t="shared" si="16"/>
        <v>-1.2785356000778014E-2</v>
      </c>
      <c r="J1032" s="3">
        <v>-4.2153439750516331E-3</v>
      </c>
      <c r="K1032" s="3">
        <v>0.32411191449229804</v>
      </c>
    </row>
    <row r="1033" spans="1:11" x14ac:dyDescent="0.2">
      <c r="A1033" s="1">
        <v>43159</v>
      </c>
      <c r="B1033">
        <v>86.101524353027301</v>
      </c>
      <c r="C1033">
        <v>93.769996643066406</v>
      </c>
      <c r="D1033">
        <v>95.709999084472599</v>
      </c>
      <c r="E1033">
        <v>93.629997253417898</v>
      </c>
      <c r="F1033">
        <v>94.839996337890597</v>
      </c>
      <c r="G1033" s="2">
        <v>31167300</v>
      </c>
      <c r="H1033" s="3">
        <f t="shared" si="16"/>
        <v>-4.5645115992880569E-3</v>
      </c>
      <c r="J1033" s="3">
        <v>-4.200871470185108E-3</v>
      </c>
      <c r="K1033" s="3">
        <v>0.32442628104369697</v>
      </c>
    </row>
    <row r="1034" spans="1:11" x14ac:dyDescent="0.2">
      <c r="A1034" s="1">
        <v>43160</v>
      </c>
      <c r="B1034">
        <v>85.256744384765597</v>
      </c>
      <c r="C1034">
        <v>92.849998474121094</v>
      </c>
      <c r="D1034">
        <v>94.569999694824205</v>
      </c>
      <c r="E1034">
        <v>91.839996337890597</v>
      </c>
      <c r="F1034">
        <v>93.989997863769503</v>
      </c>
      <c r="G1034" s="2">
        <v>37135600</v>
      </c>
      <c r="H1034" s="3">
        <f t="shared" si="16"/>
        <v>-9.8114403270956885E-3</v>
      </c>
      <c r="J1034" s="3">
        <v>-4.1881400272628655E-3</v>
      </c>
      <c r="K1034" s="3">
        <v>0.32474064759509585</v>
      </c>
    </row>
    <row r="1035" spans="1:11" x14ac:dyDescent="0.2">
      <c r="A1035" s="1">
        <v>43161</v>
      </c>
      <c r="B1035">
        <v>85.440391540527301</v>
      </c>
      <c r="C1035">
        <v>93.050003051757798</v>
      </c>
      <c r="D1035">
        <v>93.150001525878906</v>
      </c>
      <c r="E1035">
        <v>90.860000610351506</v>
      </c>
      <c r="F1035">
        <v>91.580001831054602</v>
      </c>
      <c r="G1035" s="2">
        <v>32830400</v>
      </c>
      <c r="H1035" s="3">
        <f t="shared" si="16"/>
        <v>2.1540484226432177E-3</v>
      </c>
      <c r="J1035" s="3">
        <v>-4.1849182109725547E-3</v>
      </c>
      <c r="K1035" s="3">
        <v>0.32505501414649479</v>
      </c>
    </row>
    <row r="1036" spans="1:11" x14ac:dyDescent="0.2">
      <c r="A1036" s="1">
        <v>43164</v>
      </c>
      <c r="B1036">
        <v>85.982139587402301</v>
      </c>
      <c r="C1036">
        <v>93.639999389648395</v>
      </c>
      <c r="D1036">
        <v>94.269996643066406</v>
      </c>
      <c r="E1036">
        <v>92.260002136230398</v>
      </c>
      <c r="F1036">
        <v>92.339996337890597</v>
      </c>
      <c r="G1036" s="2">
        <v>23901600</v>
      </c>
      <c r="H1036" s="3">
        <f t="shared" si="16"/>
        <v>6.3406550123079608E-3</v>
      </c>
      <c r="J1036" s="3">
        <v>-4.1611798071153894E-3</v>
      </c>
      <c r="K1036" s="3">
        <v>0.32536938069789373</v>
      </c>
    </row>
    <row r="1037" spans="1:11" x14ac:dyDescent="0.2">
      <c r="A1037" s="1">
        <v>43165</v>
      </c>
      <c r="B1037">
        <v>85.688293457031193</v>
      </c>
      <c r="C1037">
        <v>93.319999694824205</v>
      </c>
      <c r="D1037">
        <v>94.489997863769503</v>
      </c>
      <c r="E1037">
        <v>92.940002441406193</v>
      </c>
      <c r="F1037">
        <v>94.339996337890597</v>
      </c>
      <c r="G1037" s="2">
        <v>22175800</v>
      </c>
      <c r="H1037" s="3">
        <f t="shared" si="16"/>
        <v>-3.4175252183903382E-3</v>
      </c>
      <c r="J1037" s="3">
        <v>-4.106331120669271E-3</v>
      </c>
      <c r="K1037" s="3">
        <v>0.32568374724929267</v>
      </c>
    </row>
    <row r="1038" spans="1:11" x14ac:dyDescent="0.2">
      <c r="A1038" s="1">
        <v>43166</v>
      </c>
      <c r="B1038">
        <v>86.184158325195298</v>
      </c>
      <c r="C1038">
        <v>93.860000610351506</v>
      </c>
      <c r="D1038">
        <v>93.940002441406193</v>
      </c>
      <c r="E1038">
        <v>92.430000305175696</v>
      </c>
      <c r="F1038">
        <v>93.160003662109304</v>
      </c>
      <c r="G1038" s="2">
        <v>26716100</v>
      </c>
      <c r="H1038" s="3">
        <f t="shared" si="16"/>
        <v>5.7868449488116536E-3</v>
      </c>
      <c r="J1038" s="3">
        <v>-4.0926641392294849E-3</v>
      </c>
      <c r="K1038" s="3">
        <v>0.3259981138006916</v>
      </c>
    </row>
    <row r="1039" spans="1:11" x14ac:dyDescent="0.2">
      <c r="A1039" s="1">
        <v>43167</v>
      </c>
      <c r="B1039">
        <v>86.707542419433594</v>
      </c>
      <c r="C1039">
        <v>94.430000305175696</v>
      </c>
      <c r="D1039">
        <v>95.099998474121094</v>
      </c>
      <c r="E1039">
        <v>93.769996643066406</v>
      </c>
      <c r="F1039">
        <v>94.269996643066406</v>
      </c>
      <c r="G1039" s="2">
        <v>25887800</v>
      </c>
      <c r="H1039" s="3">
        <f t="shared" si="16"/>
        <v>6.0728572908193001E-3</v>
      </c>
      <c r="J1039" s="3">
        <v>-4.0742661549605375E-3</v>
      </c>
      <c r="K1039" s="3">
        <v>0.32631248035209054</v>
      </c>
    </row>
    <row r="1040" spans="1:11" x14ac:dyDescent="0.2">
      <c r="A1040" s="1">
        <v>43168</v>
      </c>
      <c r="B1040">
        <v>88.644981384277301</v>
      </c>
      <c r="C1040">
        <v>96.540000915527301</v>
      </c>
      <c r="D1040">
        <v>96.540000915527301</v>
      </c>
      <c r="E1040">
        <v>95</v>
      </c>
      <c r="F1040">
        <v>95.290000915527301</v>
      </c>
      <c r="G1040" s="2">
        <v>36937300</v>
      </c>
      <c r="H1040" s="3">
        <f t="shared" si="16"/>
        <v>2.2344526332803483E-2</v>
      </c>
      <c r="J1040" s="3">
        <v>-4.0581694172521221E-3</v>
      </c>
      <c r="K1040" s="3">
        <v>0.32662684690348948</v>
      </c>
    </row>
    <row r="1041" spans="1:11" x14ac:dyDescent="0.2">
      <c r="A1041" s="1">
        <v>43171</v>
      </c>
      <c r="B1041">
        <v>88.856170654296804</v>
      </c>
      <c r="C1041">
        <v>96.769996643066406</v>
      </c>
      <c r="D1041">
        <v>97.209999084472599</v>
      </c>
      <c r="E1041">
        <v>96.040000915527301</v>
      </c>
      <c r="F1041">
        <v>96.5</v>
      </c>
      <c r="G1041" s="2">
        <v>26073700</v>
      </c>
      <c r="H1041" s="3">
        <f t="shared" si="16"/>
        <v>2.3824165420487375E-3</v>
      </c>
      <c r="J1041" s="3">
        <v>-4.0433387111084018E-3</v>
      </c>
      <c r="K1041" s="3">
        <v>0.32694121345488841</v>
      </c>
    </row>
    <row r="1042" spans="1:11" x14ac:dyDescent="0.2">
      <c r="A1042" s="1">
        <v>43172</v>
      </c>
      <c r="B1042">
        <v>86.689170837402301</v>
      </c>
      <c r="C1042">
        <v>94.410003662109304</v>
      </c>
      <c r="D1042">
        <v>97.239997863769503</v>
      </c>
      <c r="E1042">
        <v>93.970001220703097</v>
      </c>
      <c r="F1042">
        <v>97</v>
      </c>
      <c r="G1042" s="2">
        <v>35387800</v>
      </c>
      <c r="H1042" s="3">
        <f t="shared" si="16"/>
        <v>-2.4387724577119352E-2</v>
      </c>
      <c r="J1042" s="3">
        <v>-4.0317629642384611E-3</v>
      </c>
      <c r="K1042" s="3">
        <v>0.32725558000628735</v>
      </c>
    </row>
    <row r="1043" spans="1:11" x14ac:dyDescent="0.2">
      <c r="A1043" s="1">
        <v>43173</v>
      </c>
      <c r="B1043">
        <v>86.174980163574205</v>
      </c>
      <c r="C1043">
        <v>93.849998474121094</v>
      </c>
      <c r="D1043">
        <v>95.410003662109304</v>
      </c>
      <c r="E1043">
        <v>93.5</v>
      </c>
      <c r="F1043">
        <v>95.120002746582003</v>
      </c>
      <c r="G1043" s="2">
        <v>32132000</v>
      </c>
      <c r="H1043" s="3">
        <f t="shared" si="16"/>
        <v>-5.9314291377008388E-3</v>
      </c>
      <c r="J1043" s="3">
        <v>-4.0003657342978505E-3</v>
      </c>
      <c r="K1043" s="3">
        <v>0.32756994655768629</v>
      </c>
    </row>
    <row r="1044" spans="1:11" x14ac:dyDescent="0.2">
      <c r="A1044" s="1">
        <v>43174</v>
      </c>
      <c r="B1044">
        <v>86.477981567382798</v>
      </c>
      <c r="C1044">
        <v>94.180000305175696</v>
      </c>
      <c r="D1044">
        <v>94.580001831054602</v>
      </c>
      <c r="E1044">
        <v>92.830001831054602</v>
      </c>
      <c r="F1044">
        <v>93.529998779296804</v>
      </c>
      <c r="G1044" s="2">
        <v>27611000</v>
      </c>
      <c r="H1044" s="3">
        <f t="shared" si="16"/>
        <v>3.51611805692853E-3</v>
      </c>
      <c r="J1044" s="3">
        <v>-3.9890256346685193E-3</v>
      </c>
      <c r="K1044" s="3">
        <v>0.32788431310908517</v>
      </c>
    </row>
    <row r="1045" spans="1:11" x14ac:dyDescent="0.2">
      <c r="A1045" s="1">
        <v>43175</v>
      </c>
      <c r="B1045">
        <v>86.863624572753906</v>
      </c>
      <c r="C1045">
        <v>94.599998474121094</v>
      </c>
      <c r="D1045">
        <v>95.379997253417898</v>
      </c>
      <c r="E1045">
        <v>93.919998168945298</v>
      </c>
      <c r="F1045">
        <v>94.680000305175696</v>
      </c>
      <c r="G1045" s="2">
        <v>49081300</v>
      </c>
      <c r="H1045" s="3">
        <f t="shared" si="16"/>
        <v>4.4594357821663433E-3</v>
      </c>
      <c r="J1045" s="3">
        <v>-3.9873439839465119E-3</v>
      </c>
      <c r="K1045" s="3">
        <v>0.32819867966048411</v>
      </c>
    </row>
    <row r="1046" spans="1:11" x14ac:dyDescent="0.2">
      <c r="A1046" s="1">
        <v>43178</v>
      </c>
      <c r="B1046">
        <v>85.29345703125</v>
      </c>
      <c r="C1046">
        <v>92.889999389648395</v>
      </c>
      <c r="D1046">
        <v>93.900001525878906</v>
      </c>
      <c r="E1046">
        <v>92.110000610351506</v>
      </c>
      <c r="F1046">
        <v>93.739997863769503</v>
      </c>
      <c r="G1046" s="2">
        <v>33344100</v>
      </c>
      <c r="H1046" s="3">
        <f t="shared" si="16"/>
        <v>-1.8076237886997082E-2</v>
      </c>
      <c r="J1046" s="3">
        <v>-3.9798953901334366E-3</v>
      </c>
      <c r="K1046" s="3">
        <v>0.32851304621188304</v>
      </c>
    </row>
    <row r="1047" spans="1:11" x14ac:dyDescent="0.2">
      <c r="A1047" s="1">
        <v>43179</v>
      </c>
      <c r="B1047">
        <v>85.513824462890597</v>
      </c>
      <c r="C1047">
        <v>93.129997253417898</v>
      </c>
      <c r="D1047">
        <v>93.769996643066406</v>
      </c>
      <c r="E1047">
        <v>93</v>
      </c>
      <c r="F1047">
        <v>93.050003051757798</v>
      </c>
      <c r="G1047" s="2">
        <v>23075200</v>
      </c>
      <c r="H1047" s="3">
        <f t="shared" si="16"/>
        <v>2.5836381747295079E-3</v>
      </c>
      <c r="J1047" s="3">
        <v>-3.9790155368915059E-3</v>
      </c>
      <c r="K1047" s="3">
        <v>0.32882741276328198</v>
      </c>
    </row>
    <row r="1048" spans="1:11" x14ac:dyDescent="0.2">
      <c r="A1048" s="1">
        <v>43180</v>
      </c>
      <c r="B1048">
        <v>84.917022705078097</v>
      </c>
      <c r="C1048">
        <v>92.480003356933594</v>
      </c>
      <c r="D1048">
        <v>94.050003051757798</v>
      </c>
      <c r="E1048">
        <v>92.209999084472599</v>
      </c>
      <c r="F1048">
        <v>92.930000305175696</v>
      </c>
      <c r="G1048" s="2">
        <v>24457100</v>
      </c>
      <c r="H1048" s="3">
        <f t="shared" si="16"/>
        <v>-6.9790090849168873E-3</v>
      </c>
      <c r="J1048" s="3">
        <v>-3.9748029255664008E-3</v>
      </c>
      <c r="K1048" s="3">
        <v>0.32914177931468092</v>
      </c>
    </row>
    <row r="1049" spans="1:11" x14ac:dyDescent="0.2">
      <c r="A1049" s="1">
        <v>43181</v>
      </c>
      <c r="B1049">
        <v>82.447013854980398</v>
      </c>
      <c r="C1049">
        <v>89.790000915527301</v>
      </c>
      <c r="D1049">
        <v>91.75</v>
      </c>
      <c r="E1049">
        <v>89.660003662109304</v>
      </c>
      <c r="F1049">
        <v>91.269996643066406</v>
      </c>
      <c r="G1049" s="2">
        <v>38604700</v>
      </c>
      <c r="H1049" s="3">
        <f t="shared" si="16"/>
        <v>-2.9087322793642789E-2</v>
      </c>
      <c r="J1049" s="3">
        <v>-3.9516119548251849E-3</v>
      </c>
      <c r="K1049" s="3">
        <v>0.32945614586607985</v>
      </c>
    </row>
    <row r="1050" spans="1:11" x14ac:dyDescent="0.2">
      <c r="A1050" s="1">
        <v>43182</v>
      </c>
      <c r="B1050">
        <v>80.050437927246094</v>
      </c>
      <c r="C1050">
        <v>87.180000305175696</v>
      </c>
      <c r="D1050">
        <v>90.459999084472599</v>
      </c>
      <c r="E1050">
        <v>87.080001831054602</v>
      </c>
      <c r="F1050">
        <v>89.5</v>
      </c>
      <c r="G1050" s="2">
        <v>44068900</v>
      </c>
      <c r="H1050" s="3">
        <f t="shared" si="16"/>
        <v>-2.9068074338626126E-2</v>
      </c>
      <c r="J1050" s="3">
        <v>-3.9499973919180364E-3</v>
      </c>
      <c r="K1050" s="3">
        <v>0.32977051241747879</v>
      </c>
    </row>
    <row r="1051" spans="1:11" x14ac:dyDescent="0.2">
      <c r="A1051" s="1">
        <v>43185</v>
      </c>
      <c r="B1051">
        <v>86.110679626464801</v>
      </c>
      <c r="C1051">
        <v>93.779998779296804</v>
      </c>
      <c r="D1051">
        <v>94</v>
      </c>
      <c r="E1051">
        <v>90.400001525878906</v>
      </c>
      <c r="F1051">
        <v>90.610000610351506</v>
      </c>
      <c r="G1051" s="2">
        <v>56396800</v>
      </c>
      <c r="H1051" s="3">
        <f t="shared" si="16"/>
        <v>7.5705291015728982E-2</v>
      </c>
      <c r="J1051" s="3">
        <v>-3.9477126701668031E-3</v>
      </c>
      <c r="K1051" s="3">
        <v>0.33008487896887773</v>
      </c>
    </row>
    <row r="1052" spans="1:11" x14ac:dyDescent="0.2">
      <c r="A1052" s="1">
        <v>43186</v>
      </c>
      <c r="B1052">
        <v>82.153144836425696</v>
      </c>
      <c r="C1052">
        <v>89.470001220703097</v>
      </c>
      <c r="D1052">
        <v>95.139999389648395</v>
      </c>
      <c r="E1052">
        <v>88.510002136230398</v>
      </c>
      <c r="F1052">
        <v>94.940002441406193</v>
      </c>
      <c r="G1052" s="2">
        <v>56569000</v>
      </c>
      <c r="H1052" s="3">
        <f t="shared" si="16"/>
        <v>-4.5958698818849175E-2</v>
      </c>
      <c r="J1052" s="3">
        <v>-3.9087256293318662E-3</v>
      </c>
      <c r="K1052" s="3">
        <v>0.33039924552027666</v>
      </c>
    </row>
    <row r="1053" spans="1:11" x14ac:dyDescent="0.2">
      <c r="A1053" s="1">
        <v>43187</v>
      </c>
      <c r="B1053">
        <v>82.079689025878906</v>
      </c>
      <c r="C1053">
        <v>89.389999389648395</v>
      </c>
      <c r="D1053">
        <v>91.230003356933594</v>
      </c>
      <c r="E1053">
        <v>88.870002746582003</v>
      </c>
      <c r="F1053">
        <v>89.819999694824205</v>
      </c>
      <c r="G1053" s="2">
        <v>52501100</v>
      </c>
      <c r="H1053" s="3">
        <f t="shared" si="16"/>
        <v>-8.9413266763005428E-4</v>
      </c>
      <c r="J1053" s="3">
        <v>-3.9068701464972655E-3</v>
      </c>
      <c r="K1053" s="3">
        <v>0.3307136120716756</v>
      </c>
    </row>
    <row r="1054" spans="1:11" x14ac:dyDescent="0.2">
      <c r="A1054" s="1">
        <v>43188</v>
      </c>
      <c r="B1054">
        <v>83.805961608886705</v>
      </c>
      <c r="C1054">
        <v>91.269996643066406</v>
      </c>
      <c r="D1054">
        <v>92.290000915527301</v>
      </c>
      <c r="E1054">
        <v>88.400001525878906</v>
      </c>
      <c r="F1054">
        <v>90.180000305175696</v>
      </c>
      <c r="G1054" s="2">
        <v>45867500</v>
      </c>
      <c r="H1054" s="3">
        <f t="shared" si="16"/>
        <v>2.1031665732353266E-2</v>
      </c>
      <c r="J1054" s="3">
        <v>-3.9036321157770448E-3</v>
      </c>
      <c r="K1054" s="3">
        <v>0.33102797862307448</v>
      </c>
    </row>
    <row r="1055" spans="1:11" x14ac:dyDescent="0.2">
      <c r="A1055" s="1">
        <v>43192</v>
      </c>
      <c r="B1055">
        <v>81.280853271484304</v>
      </c>
      <c r="C1055">
        <v>88.519996643066406</v>
      </c>
      <c r="D1055">
        <v>90.879997253417898</v>
      </c>
      <c r="E1055">
        <v>87.510002136230398</v>
      </c>
      <c r="F1055">
        <v>90.470001220703097</v>
      </c>
      <c r="G1055" s="2">
        <v>48515400</v>
      </c>
      <c r="H1055" s="3">
        <f t="shared" si="16"/>
        <v>-3.013041422025331E-2</v>
      </c>
      <c r="J1055" s="3">
        <v>-3.8972107944988954E-3</v>
      </c>
      <c r="K1055" s="3">
        <v>0.33134234517447342</v>
      </c>
    </row>
    <row r="1056" spans="1:11" x14ac:dyDescent="0.2">
      <c r="A1056" s="1">
        <v>43193</v>
      </c>
      <c r="B1056">
        <v>82.373542785644503</v>
      </c>
      <c r="C1056">
        <v>89.709999084472599</v>
      </c>
      <c r="D1056">
        <v>90.050003051757798</v>
      </c>
      <c r="E1056">
        <v>87.889999389648395</v>
      </c>
      <c r="F1056">
        <v>89.580001831054602</v>
      </c>
      <c r="G1056" s="2">
        <v>37213800</v>
      </c>
      <c r="H1056" s="3">
        <f t="shared" si="16"/>
        <v>1.3443381438314139E-2</v>
      </c>
      <c r="J1056" s="3">
        <v>-3.8924504291211193E-3</v>
      </c>
      <c r="K1056" s="3">
        <v>0.33165671172587236</v>
      </c>
    </row>
    <row r="1057" spans="1:11" x14ac:dyDescent="0.2">
      <c r="A1057" s="1">
        <v>43194</v>
      </c>
      <c r="B1057">
        <v>84.779266357421804</v>
      </c>
      <c r="C1057">
        <v>92.330001831054602</v>
      </c>
      <c r="D1057">
        <v>92.760002136230398</v>
      </c>
      <c r="E1057">
        <v>87.730003356933594</v>
      </c>
      <c r="F1057">
        <v>87.849998474121094</v>
      </c>
      <c r="G1057" s="2">
        <v>35560000</v>
      </c>
      <c r="H1057" s="3">
        <f t="shared" si="16"/>
        <v>2.9205051651566949E-2</v>
      </c>
      <c r="J1057" s="3">
        <v>-3.8851940731838841E-3</v>
      </c>
      <c r="K1057" s="3">
        <v>0.33197107827727129</v>
      </c>
    </row>
    <row r="1058" spans="1:11" x14ac:dyDescent="0.2">
      <c r="A1058" s="1">
        <v>43195</v>
      </c>
      <c r="B1058">
        <v>84.825180053710895</v>
      </c>
      <c r="C1058">
        <v>92.379997253417898</v>
      </c>
      <c r="D1058">
        <v>93.069999694824205</v>
      </c>
      <c r="E1058">
        <v>91.400001525878906</v>
      </c>
      <c r="F1058">
        <v>92.440002441406193</v>
      </c>
      <c r="G1058" s="2">
        <v>29771900</v>
      </c>
      <c r="H1058" s="3">
        <f t="shared" si="16"/>
        <v>5.4156751127720781E-4</v>
      </c>
      <c r="J1058" s="3">
        <v>-3.8805646296531382E-3</v>
      </c>
      <c r="K1058" s="3">
        <v>0.33228544482867023</v>
      </c>
    </row>
    <row r="1059" spans="1:11" x14ac:dyDescent="0.2">
      <c r="A1059" s="1">
        <v>43196</v>
      </c>
      <c r="B1059">
        <v>82.851020812988196</v>
      </c>
      <c r="C1059">
        <v>90.230003356933594</v>
      </c>
      <c r="D1059">
        <v>92.459999084472599</v>
      </c>
      <c r="E1059">
        <v>89.480003356933594</v>
      </c>
      <c r="F1059">
        <v>91.489997863769503</v>
      </c>
      <c r="G1059" s="2">
        <v>38026000</v>
      </c>
      <c r="H1059" s="3">
        <f t="shared" si="16"/>
        <v>-2.3273269086757864E-2</v>
      </c>
      <c r="J1059" s="3">
        <v>-3.8784075398073936E-3</v>
      </c>
      <c r="K1059" s="3">
        <v>0.33259981138006917</v>
      </c>
    </row>
    <row r="1060" spans="1:11" x14ac:dyDescent="0.2">
      <c r="A1060" s="1">
        <v>43199</v>
      </c>
      <c r="B1060">
        <v>83.346862792968693</v>
      </c>
      <c r="C1060">
        <v>90.769996643066406</v>
      </c>
      <c r="D1060">
        <v>93.169998168945298</v>
      </c>
      <c r="E1060">
        <v>90.620002746582003</v>
      </c>
      <c r="F1060">
        <v>91.040000915527301</v>
      </c>
      <c r="G1060" s="2">
        <v>31533900</v>
      </c>
      <c r="H1060" s="3">
        <f t="shared" si="16"/>
        <v>5.9847419514567068E-3</v>
      </c>
      <c r="J1060" s="3">
        <v>-3.8767694722198209E-3</v>
      </c>
      <c r="K1060" s="3">
        <v>0.3329141779314681</v>
      </c>
    </row>
    <row r="1061" spans="1:11" x14ac:dyDescent="0.2">
      <c r="A1061" s="1">
        <v>43200</v>
      </c>
      <c r="B1061">
        <v>85.284286499023395</v>
      </c>
      <c r="C1061">
        <v>92.879997253417898</v>
      </c>
      <c r="D1061">
        <v>93.279998779296804</v>
      </c>
      <c r="E1061">
        <v>91.639999389648395</v>
      </c>
      <c r="F1061">
        <v>92.389999389648395</v>
      </c>
      <c r="G1061" s="2">
        <v>26812000</v>
      </c>
      <c r="H1061" s="3">
        <f t="shared" si="16"/>
        <v>2.3245310514772521E-2</v>
      </c>
      <c r="J1061" s="3">
        <v>-3.8709366182875238E-3</v>
      </c>
      <c r="K1061" s="3">
        <v>0.33322854448286704</v>
      </c>
    </row>
    <row r="1062" spans="1:11" x14ac:dyDescent="0.2">
      <c r="A1062" s="1">
        <v>43201</v>
      </c>
      <c r="B1062">
        <v>84.347717285156193</v>
      </c>
      <c r="C1062">
        <v>91.860000610351506</v>
      </c>
      <c r="D1062">
        <v>93.290000915527301</v>
      </c>
      <c r="E1062">
        <v>91.480003356933594</v>
      </c>
      <c r="F1062">
        <v>92.010002136230398</v>
      </c>
      <c r="G1062" s="2">
        <v>24872100</v>
      </c>
      <c r="H1062" s="3">
        <f t="shared" si="16"/>
        <v>-1.098173241887801E-2</v>
      </c>
      <c r="J1062" s="3">
        <v>-3.865657167561265E-3</v>
      </c>
      <c r="K1062" s="3">
        <v>0.33354291103426598</v>
      </c>
    </row>
    <row r="1063" spans="1:11" x14ac:dyDescent="0.2">
      <c r="A1063" s="1">
        <v>43202</v>
      </c>
      <c r="B1063">
        <v>85.927040100097599</v>
      </c>
      <c r="C1063">
        <v>93.580001831054602</v>
      </c>
      <c r="D1063">
        <v>94.160003662109304</v>
      </c>
      <c r="E1063">
        <v>92.430000305175696</v>
      </c>
      <c r="F1063">
        <v>92.430000305175696</v>
      </c>
      <c r="G1063" s="2">
        <v>26758900</v>
      </c>
      <c r="H1063" s="3">
        <f t="shared" si="16"/>
        <v>1.8723954432603662E-2</v>
      </c>
      <c r="J1063" s="3">
        <v>-3.8528753997503218E-3</v>
      </c>
      <c r="K1063" s="3">
        <v>0.33385727758566486</v>
      </c>
    </row>
    <row r="1064" spans="1:11" x14ac:dyDescent="0.2">
      <c r="A1064" s="1">
        <v>43203</v>
      </c>
      <c r="B1064">
        <v>85.467948913574205</v>
      </c>
      <c r="C1064">
        <v>93.080001831054602</v>
      </c>
      <c r="D1064">
        <v>94.180000305175696</v>
      </c>
      <c r="E1064">
        <v>92.440002441406193</v>
      </c>
      <c r="F1064">
        <v>94.050003051757798</v>
      </c>
      <c r="G1064" s="2">
        <v>23346100</v>
      </c>
      <c r="H1064" s="3">
        <f t="shared" si="16"/>
        <v>-5.3428022888789561E-3</v>
      </c>
      <c r="J1064" s="3">
        <v>-3.8433991665332012E-3</v>
      </c>
      <c r="K1064" s="3">
        <v>0.33417164413706379</v>
      </c>
    </row>
    <row r="1065" spans="1:11" x14ac:dyDescent="0.2">
      <c r="A1065" s="1">
        <v>43206</v>
      </c>
      <c r="B1065">
        <v>86.468795776367102</v>
      </c>
      <c r="C1065">
        <v>94.169998168945298</v>
      </c>
      <c r="D1065">
        <v>94.660003662109304</v>
      </c>
      <c r="E1065">
        <v>93.419998168945298</v>
      </c>
      <c r="F1065">
        <v>94.069999694824205</v>
      </c>
      <c r="G1065" s="2">
        <v>20288100</v>
      </c>
      <c r="H1065" s="3">
        <f t="shared" si="16"/>
        <v>1.1710201022899991E-2</v>
      </c>
      <c r="J1065" s="3">
        <v>-3.839402800000502E-3</v>
      </c>
      <c r="K1065" s="3">
        <v>0.33448601068846273</v>
      </c>
    </row>
    <row r="1066" spans="1:11" x14ac:dyDescent="0.2">
      <c r="A1066" s="1">
        <v>43207</v>
      </c>
      <c r="B1066">
        <v>88.213432312011705</v>
      </c>
      <c r="C1066">
        <v>96.069999694824205</v>
      </c>
      <c r="D1066">
        <v>96.540000915527301</v>
      </c>
      <c r="E1066">
        <v>94.879997253417898</v>
      </c>
      <c r="F1066">
        <v>95</v>
      </c>
      <c r="G1066" s="2">
        <v>26771000</v>
      </c>
      <c r="H1066" s="3">
        <f t="shared" si="16"/>
        <v>2.0176487020320266E-2</v>
      </c>
      <c r="J1066" s="3">
        <v>-3.8267182490315799E-3</v>
      </c>
      <c r="K1066" s="3">
        <v>0.33480037723986167</v>
      </c>
    </row>
    <row r="1067" spans="1:11" x14ac:dyDescent="0.2">
      <c r="A1067" s="1">
        <v>43208</v>
      </c>
      <c r="B1067">
        <v>88.553153991699205</v>
      </c>
      <c r="C1067">
        <v>96.440002441406193</v>
      </c>
      <c r="D1067">
        <v>96.720001220703097</v>
      </c>
      <c r="E1067">
        <v>95.519996643066406</v>
      </c>
      <c r="F1067">
        <v>96.220001220703097</v>
      </c>
      <c r="G1067" s="2">
        <v>21043300</v>
      </c>
      <c r="H1067" s="3">
        <f t="shared" si="16"/>
        <v>3.851133220685643E-3</v>
      </c>
      <c r="J1067" s="3">
        <v>-3.8183381018287443E-3</v>
      </c>
      <c r="K1067" s="3">
        <v>0.33511474379126061</v>
      </c>
    </row>
    <row r="1068" spans="1:11" x14ac:dyDescent="0.2">
      <c r="A1068" s="1">
        <v>43209</v>
      </c>
      <c r="B1068">
        <v>88.250152587890597</v>
      </c>
      <c r="C1068">
        <v>96.110000610351506</v>
      </c>
      <c r="D1068">
        <v>97.069999694824205</v>
      </c>
      <c r="E1068">
        <v>95.339996337890597</v>
      </c>
      <c r="F1068">
        <v>96.440002441406193</v>
      </c>
      <c r="G1068" s="2">
        <v>23552500</v>
      </c>
      <c r="H1068" s="3">
        <f t="shared" si="16"/>
        <v>-3.42168957456912E-3</v>
      </c>
      <c r="J1068" s="3">
        <v>-3.8109750761641248E-3</v>
      </c>
      <c r="K1068" s="3">
        <v>0.33542911034265954</v>
      </c>
    </row>
    <row r="1069" spans="1:11" x14ac:dyDescent="0.2">
      <c r="A1069" s="1">
        <v>43210</v>
      </c>
      <c r="B1069">
        <v>87.230926513671804</v>
      </c>
      <c r="C1069">
        <v>95</v>
      </c>
      <c r="D1069">
        <v>96.110000610351506</v>
      </c>
      <c r="E1069">
        <v>94.050003051757798</v>
      </c>
      <c r="F1069">
        <v>95.910003662109304</v>
      </c>
      <c r="G1069" s="2">
        <v>31154400</v>
      </c>
      <c r="H1069" s="3">
        <f t="shared" si="16"/>
        <v>-1.1549283987964953E-2</v>
      </c>
      <c r="J1069" s="3">
        <v>-3.7930964534733658E-3</v>
      </c>
      <c r="K1069" s="3">
        <v>0.33574347689405848</v>
      </c>
    </row>
    <row r="1070" spans="1:11" x14ac:dyDescent="0.2">
      <c r="A1070" s="1">
        <v>43213</v>
      </c>
      <c r="B1070">
        <v>87.552291870117102</v>
      </c>
      <c r="C1070">
        <v>95.349998474121094</v>
      </c>
      <c r="D1070">
        <v>96.290000915527301</v>
      </c>
      <c r="E1070">
        <v>94.629997253417898</v>
      </c>
      <c r="F1070">
        <v>95.739997863769503</v>
      </c>
      <c r="G1070" s="2">
        <v>22331800</v>
      </c>
      <c r="H1070" s="3">
        <f t="shared" si="16"/>
        <v>3.6840759268437218E-3</v>
      </c>
      <c r="J1070" s="3">
        <v>-3.790405237849348E-3</v>
      </c>
      <c r="K1070" s="3">
        <v>0.33605784344545742</v>
      </c>
    </row>
    <row r="1071" spans="1:11" x14ac:dyDescent="0.2">
      <c r="A1071" s="1">
        <v>43214</v>
      </c>
      <c r="B1071">
        <v>85.504684448242102</v>
      </c>
      <c r="C1071">
        <v>93.120002746582003</v>
      </c>
      <c r="D1071">
        <v>96.470001220703097</v>
      </c>
      <c r="E1071">
        <v>92.410003662109304</v>
      </c>
      <c r="F1071">
        <v>96.239997863769503</v>
      </c>
      <c r="G1071" s="2">
        <v>34524800</v>
      </c>
      <c r="H1071" s="3">
        <f t="shared" si="16"/>
        <v>-2.33872509575489E-2</v>
      </c>
      <c r="J1071" s="3">
        <v>-3.7826264660764108E-3</v>
      </c>
      <c r="K1071" s="3">
        <v>0.33637220999685635</v>
      </c>
    </row>
    <row r="1072" spans="1:11" x14ac:dyDescent="0.2">
      <c r="A1072" s="1">
        <v>43215</v>
      </c>
      <c r="B1072">
        <v>84.760887145996094</v>
      </c>
      <c r="C1072">
        <v>92.309997558593693</v>
      </c>
      <c r="D1072">
        <v>93.300003051757798</v>
      </c>
      <c r="E1072">
        <v>90.279998779296804</v>
      </c>
      <c r="F1072">
        <v>93.300003051757798</v>
      </c>
      <c r="G1072" s="2">
        <v>33729300</v>
      </c>
      <c r="H1072" s="3">
        <f t="shared" si="16"/>
        <v>-8.6989070487272224E-3</v>
      </c>
      <c r="J1072" s="3">
        <v>-3.770694524134699E-3</v>
      </c>
      <c r="K1072" s="3">
        <v>0.33668657654825529</v>
      </c>
    </row>
    <row r="1073" spans="1:11" x14ac:dyDescent="0.2">
      <c r="A1073" s="1">
        <v>43216</v>
      </c>
      <c r="B1073">
        <v>86.551452636718693</v>
      </c>
      <c r="C1073">
        <v>94.260002136230398</v>
      </c>
      <c r="D1073">
        <v>95.150001525878906</v>
      </c>
      <c r="E1073">
        <v>93.099998474121094</v>
      </c>
      <c r="F1073">
        <v>93.550003051757798</v>
      </c>
      <c r="G1073" s="2">
        <v>42529000</v>
      </c>
      <c r="H1073" s="3">
        <f t="shared" si="16"/>
        <v>2.1124902664579892E-2</v>
      </c>
      <c r="J1073" s="3">
        <v>-3.7664685374356743E-3</v>
      </c>
      <c r="K1073" s="3">
        <v>0.33700094309965417</v>
      </c>
    </row>
    <row r="1074" spans="1:11" x14ac:dyDescent="0.2">
      <c r="A1074" s="1">
        <v>43217</v>
      </c>
      <c r="B1074">
        <v>87.983863830566406</v>
      </c>
      <c r="C1074">
        <v>95.819999694824205</v>
      </c>
      <c r="D1074">
        <v>97.900001525878906</v>
      </c>
      <c r="E1074">
        <v>93.910003662109304</v>
      </c>
      <c r="F1074">
        <v>97.599998474121094</v>
      </c>
      <c r="G1074" s="2">
        <v>48272800</v>
      </c>
      <c r="H1074" s="3">
        <f t="shared" si="16"/>
        <v>1.6549822680157034E-2</v>
      </c>
      <c r="J1074" s="3">
        <v>-3.7449824186901459E-3</v>
      </c>
      <c r="K1074" s="3">
        <v>0.33731530965105311</v>
      </c>
    </row>
    <row r="1075" spans="1:11" x14ac:dyDescent="0.2">
      <c r="A1075" s="1">
        <v>43220</v>
      </c>
      <c r="B1075">
        <v>85.871932983398395</v>
      </c>
      <c r="C1075">
        <v>93.519996643066406</v>
      </c>
      <c r="D1075">
        <v>96.400001525878906</v>
      </c>
      <c r="E1075">
        <v>93.150001525878906</v>
      </c>
      <c r="F1075">
        <v>96.330001831054602</v>
      </c>
      <c r="G1075" s="2">
        <v>41523600</v>
      </c>
      <c r="H1075" s="3">
        <f t="shared" si="16"/>
        <v>-2.4003615608823803E-2</v>
      </c>
      <c r="J1075" s="3">
        <v>-3.7112600310432731E-3</v>
      </c>
      <c r="K1075" s="3">
        <v>0.33762967620245204</v>
      </c>
    </row>
    <row r="1076" spans="1:11" x14ac:dyDescent="0.2">
      <c r="A1076" s="1">
        <v>43221</v>
      </c>
      <c r="B1076">
        <v>87.230926513671804</v>
      </c>
      <c r="C1076">
        <v>95</v>
      </c>
      <c r="D1076">
        <v>95.290000915527301</v>
      </c>
      <c r="E1076">
        <v>92.790000915527301</v>
      </c>
      <c r="F1076">
        <v>93.209999084472599</v>
      </c>
      <c r="G1076" s="2">
        <v>31408900</v>
      </c>
      <c r="H1076" s="3">
        <f t="shared" si="16"/>
        <v>1.5825817389439001E-2</v>
      </c>
      <c r="J1076" s="3">
        <v>-3.7019380381508871E-3</v>
      </c>
      <c r="K1076" s="3">
        <v>0.33794404275385098</v>
      </c>
    </row>
    <row r="1077" spans="1:11" x14ac:dyDescent="0.2">
      <c r="A1077" s="1">
        <v>43222</v>
      </c>
      <c r="B1077">
        <v>85.862785339355398</v>
      </c>
      <c r="C1077">
        <v>93.510002136230398</v>
      </c>
      <c r="D1077">
        <v>95.169998168945298</v>
      </c>
      <c r="E1077">
        <v>93.190002441406193</v>
      </c>
      <c r="F1077">
        <v>94.989997863769503</v>
      </c>
      <c r="G1077" s="2">
        <v>27471000</v>
      </c>
      <c r="H1077" s="3">
        <f t="shared" si="16"/>
        <v>-1.5684129803458791E-2</v>
      </c>
      <c r="J1077" s="3">
        <v>-3.6993888371837924E-3</v>
      </c>
      <c r="K1077" s="3">
        <v>0.33825840930524992</v>
      </c>
    </row>
    <row r="1078" spans="1:11" x14ac:dyDescent="0.2">
      <c r="A1078" s="1">
        <v>43223</v>
      </c>
      <c r="B1078">
        <v>86.376976013183594</v>
      </c>
      <c r="C1078">
        <v>94.069999694824205</v>
      </c>
      <c r="D1078">
        <v>94.930000305175696</v>
      </c>
      <c r="E1078">
        <v>92.449996948242102</v>
      </c>
      <c r="F1078">
        <v>92.959999084472599</v>
      </c>
      <c r="G1078" s="2">
        <v>31142500</v>
      </c>
      <c r="H1078" s="3">
        <f t="shared" si="16"/>
        <v>5.9885161166850498E-3</v>
      </c>
      <c r="J1078" s="3">
        <v>-3.6868163098670026E-3</v>
      </c>
      <c r="K1078" s="3">
        <v>0.33857277585664886</v>
      </c>
    </row>
    <row r="1079" spans="1:11" x14ac:dyDescent="0.2">
      <c r="A1079" s="1">
        <v>43224</v>
      </c>
      <c r="B1079">
        <v>87.377845764160099</v>
      </c>
      <c r="C1079">
        <v>95.160003662109304</v>
      </c>
      <c r="D1079">
        <v>95.370002746582003</v>
      </c>
      <c r="E1079">
        <v>92.919998168945298</v>
      </c>
      <c r="F1079">
        <v>93.319999694824205</v>
      </c>
      <c r="G1079" s="2">
        <v>22531300</v>
      </c>
      <c r="H1079" s="3">
        <f t="shared" si="16"/>
        <v>1.1587228416328754E-2</v>
      </c>
      <c r="J1079" s="3">
        <v>-3.6761095060667826E-3</v>
      </c>
      <c r="K1079" s="3">
        <v>0.33888714240804779</v>
      </c>
    </row>
    <row r="1080" spans="1:11" x14ac:dyDescent="0.2">
      <c r="A1080" s="1">
        <v>43227</v>
      </c>
      <c r="B1080">
        <v>88.351150512695298</v>
      </c>
      <c r="C1080">
        <v>96.220001220703097</v>
      </c>
      <c r="D1080">
        <v>96.709999084472599</v>
      </c>
      <c r="E1080">
        <v>95.099998474121094</v>
      </c>
      <c r="F1080">
        <v>95.169998168945298</v>
      </c>
      <c r="G1080" s="2">
        <v>24242000</v>
      </c>
      <c r="H1080" s="3">
        <f t="shared" si="16"/>
        <v>1.1139033470362936E-2</v>
      </c>
      <c r="J1080" s="3">
        <v>-3.6640730916508435E-3</v>
      </c>
      <c r="K1080" s="3">
        <v>0.33920150895944673</v>
      </c>
    </row>
    <row r="1081" spans="1:11" x14ac:dyDescent="0.2">
      <c r="A1081" s="1">
        <v>43228</v>
      </c>
      <c r="B1081">
        <v>87.974693298339801</v>
      </c>
      <c r="C1081">
        <v>95.809997558593693</v>
      </c>
      <c r="D1081">
        <v>96.160003662109304</v>
      </c>
      <c r="E1081">
        <v>95.059997558593693</v>
      </c>
      <c r="F1081">
        <v>95.849998474121094</v>
      </c>
      <c r="G1081" s="2">
        <v>23484600</v>
      </c>
      <c r="H1081" s="3">
        <f t="shared" si="16"/>
        <v>-4.2609203408324747E-3</v>
      </c>
      <c r="J1081" s="3">
        <v>-3.6502428819374932E-3</v>
      </c>
      <c r="K1081" s="3">
        <v>0.33951587551084567</v>
      </c>
    </row>
    <row r="1082" spans="1:11" x14ac:dyDescent="0.2">
      <c r="A1082" s="1">
        <v>43229</v>
      </c>
      <c r="B1082">
        <v>89.012283325195298</v>
      </c>
      <c r="C1082">
        <v>96.940002441406193</v>
      </c>
      <c r="D1082">
        <v>96.970001220703097</v>
      </c>
      <c r="E1082">
        <v>95.050003051757798</v>
      </c>
      <c r="F1082">
        <v>96.010002136230398</v>
      </c>
      <c r="G1082" s="2">
        <v>27327400</v>
      </c>
      <c r="H1082" s="3">
        <f t="shared" si="16"/>
        <v>1.1794187486813046E-2</v>
      </c>
      <c r="J1082" s="3">
        <v>-3.647497623400775E-3</v>
      </c>
      <c r="K1082" s="3">
        <v>0.3398302420622446</v>
      </c>
    </row>
    <row r="1083" spans="1:11" x14ac:dyDescent="0.2">
      <c r="A1083" s="1">
        <v>43230</v>
      </c>
      <c r="B1083">
        <v>89.902931213378906</v>
      </c>
      <c r="C1083">
        <v>97.910003662109304</v>
      </c>
      <c r="D1083">
        <v>97.949996948242102</v>
      </c>
      <c r="E1083">
        <v>97.050003051757798</v>
      </c>
      <c r="F1083">
        <v>97.459999084472599</v>
      </c>
      <c r="G1083" s="2">
        <v>22388100</v>
      </c>
      <c r="H1083" s="3">
        <f t="shared" si="16"/>
        <v>1.0005898679508407E-2</v>
      </c>
      <c r="J1083" s="3">
        <v>-3.6474572652209769E-3</v>
      </c>
      <c r="K1083" s="3">
        <v>0.34014460861364348</v>
      </c>
    </row>
    <row r="1084" spans="1:11" x14ac:dyDescent="0.2">
      <c r="A1084" s="1">
        <v>43231</v>
      </c>
      <c r="B1084">
        <v>89.710098266601506</v>
      </c>
      <c r="C1084">
        <v>97.699996948242102</v>
      </c>
      <c r="D1084">
        <v>97.870002746582003</v>
      </c>
      <c r="E1084">
        <v>97.040000915527301</v>
      </c>
      <c r="F1084">
        <v>97.800003051757798</v>
      </c>
      <c r="G1084" s="2">
        <v>16778300</v>
      </c>
      <c r="H1084" s="3">
        <f t="shared" si="16"/>
        <v>-2.1449016642152152E-3</v>
      </c>
      <c r="J1084" s="3">
        <v>-3.6435734692723543E-3</v>
      </c>
      <c r="K1084" s="3">
        <v>0.34045897516504242</v>
      </c>
    </row>
    <row r="1085" spans="1:11" x14ac:dyDescent="0.2">
      <c r="A1085" s="1">
        <v>43234</v>
      </c>
      <c r="B1085">
        <v>90.013137817382798</v>
      </c>
      <c r="C1085">
        <v>98.029998779296804</v>
      </c>
      <c r="D1085">
        <v>98.690002441406193</v>
      </c>
      <c r="E1085">
        <v>97.309997558593693</v>
      </c>
      <c r="F1085">
        <v>97.919998168945298</v>
      </c>
      <c r="G1085" s="2">
        <v>19454100</v>
      </c>
      <c r="H1085" s="3">
        <f t="shared" si="16"/>
        <v>3.3779870564929482E-3</v>
      </c>
      <c r="J1085" s="3">
        <v>-3.6435024342555966E-3</v>
      </c>
      <c r="K1085" s="3">
        <v>0.34077334171644136</v>
      </c>
    </row>
    <row r="1086" spans="1:11" x14ac:dyDescent="0.2">
      <c r="A1086" s="1">
        <v>43235</v>
      </c>
      <c r="B1086">
        <v>89.361183166503906</v>
      </c>
      <c r="C1086">
        <v>97.319999694824205</v>
      </c>
      <c r="D1086">
        <v>97.849998474121094</v>
      </c>
      <c r="E1086">
        <v>96.339996337890597</v>
      </c>
      <c r="F1086">
        <v>97.239997863769503</v>
      </c>
      <c r="G1086" s="2">
        <v>24594000</v>
      </c>
      <c r="H1086" s="3">
        <f t="shared" si="16"/>
        <v>-7.2428832800115472E-3</v>
      </c>
      <c r="J1086" s="3">
        <v>-3.6143979656092506E-3</v>
      </c>
      <c r="K1086" s="3">
        <v>0.34108770826784029</v>
      </c>
    </row>
    <row r="1087" spans="1:11" x14ac:dyDescent="0.2">
      <c r="A1087" s="1">
        <v>43236</v>
      </c>
      <c r="B1087">
        <v>89.591751098632798</v>
      </c>
      <c r="C1087">
        <v>97.150001525878906</v>
      </c>
      <c r="D1087">
        <v>97.400001525878906</v>
      </c>
      <c r="E1087">
        <v>96.620002746582003</v>
      </c>
      <c r="F1087">
        <v>97.360000610351506</v>
      </c>
      <c r="G1087" s="2">
        <v>17384700</v>
      </c>
      <c r="H1087" s="3">
        <f t="shared" si="16"/>
        <v>2.5801799389706392E-3</v>
      </c>
      <c r="J1087" s="3">
        <v>-3.6119871638624623E-3</v>
      </c>
      <c r="K1087" s="3">
        <v>0.34140207481923923</v>
      </c>
    </row>
    <row r="1088" spans="1:11" x14ac:dyDescent="0.2">
      <c r="A1088" s="1">
        <v>43237</v>
      </c>
      <c r="B1088">
        <v>88.697219848632798</v>
      </c>
      <c r="C1088">
        <v>96.180000305175696</v>
      </c>
      <c r="D1088">
        <v>97.540000915527301</v>
      </c>
      <c r="E1088">
        <v>95.830001831054602</v>
      </c>
      <c r="F1088">
        <v>96.760002136230398</v>
      </c>
      <c r="G1088" s="2">
        <v>17246700</v>
      </c>
      <c r="H1088" s="3">
        <f t="shared" si="16"/>
        <v>-9.9845269126975777E-3</v>
      </c>
      <c r="J1088" s="3">
        <v>-3.6029825383493419E-3</v>
      </c>
      <c r="K1088" s="3">
        <v>0.34171644137063817</v>
      </c>
    </row>
    <row r="1089" spans="1:11" x14ac:dyDescent="0.2">
      <c r="A1089" s="1">
        <v>43238</v>
      </c>
      <c r="B1089">
        <v>88.863204956054602</v>
      </c>
      <c r="C1089">
        <v>96.360000610351506</v>
      </c>
      <c r="D1089">
        <v>96.930000305175696</v>
      </c>
      <c r="E1089">
        <v>96.010002136230398</v>
      </c>
      <c r="F1089">
        <v>96.010002136230398</v>
      </c>
      <c r="G1089" s="2">
        <v>17865800</v>
      </c>
      <c r="H1089" s="3">
        <f t="shared" si="16"/>
        <v>1.8713676449506611E-3</v>
      </c>
      <c r="J1089" s="3">
        <v>-3.6009770300075017E-3</v>
      </c>
      <c r="K1089" s="3">
        <v>0.34203080792203711</v>
      </c>
    </row>
    <row r="1090" spans="1:11" x14ac:dyDescent="0.2">
      <c r="A1090" s="1">
        <v>43241</v>
      </c>
      <c r="B1090">
        <v>90.006744384765597</v>
      </c>
      <c r="C1090">
        <v>97.599998474121094</v>
      </c>
      <c r="D1090">
        <v>98.010002136230398</v>
      </c>
      <c r="E1090">
        <v>96.800003051757798</v>
      </c>
      <c r="F1090">
        <v>97</v>
      </c>
      <c r="G1090" s="2">
        <v>19422500</v>
      </c>
      <c r="H1090" s="3">
        <f t="shared" ref="H1090:H1153" si="17">B1090/B1089-1</f>
        <v>1.2868536862658875E-2</v>
      </c>
      <c r="J1090" s="3">
        <v>-3.5905911201437046E-3</v>
      </c>
      <c r="K1090" s="3">
        <v>0.34234517447343604</v>
      </c>
    </row>
    <row r="1091" spans="1:11" x14ac:dyDescent="0.2">
      <c r="A1091" s="1">
        <v>43242</v>
      </c>
      <c r="B1091">
        <v>89.914489746093693</v>
      </c>
      <c r="C1091">
        <v>97.5</v>
      </c>
      <c r="D1091">
        <v>98.169998168945298</v>
      </c>
      <c r="E1091">
        <v>97.199996948242102</v>
      </c>
      <c r="F1091">
        <v>97.680000305175696</v>
      </c>
      <c r="G1091" s="2">
        <v>15441200</v>
      </c>
      <c r="H1091" s="3">
        <f t="shared" si="17"/>
        <v>-1.0249747316437574E-3</v>
      </c>
      <c r="J1091" s="3">
        <v>-3.5639908503994899E-3</v>
      </c>
      <c r="K1091" s="3">
        <v>0.34265954102483498</v>
      </c>
    </row>
    <row r="1092" spans="1:11" x14ac:dyDescent="0.2">
      <c r="A1092" s="1">
        <v>43243</v>
      </c>
      <c r="B1092">
        <v>90.984245300292898</v>
      </c>
      <c r="C1092">
        <v>98.660003662109304</v>
      </c>
      <c r="D1092">
        <v>98.730003356933594</v>
      </c>
      <c r="E1092">
        <v>96.319999694824205</v>
      </c>
      <c r="F1092">
        <v>96.709999084472599</v>
      </c>
      <c r="G1092" s="2">
        <v>21251200</v>
      </c>
      <c r="H1092" s="3">
        <f t="shared" si="17"/>
        <v>1.1897476782886107E-2</v>
      </c>
      <c r="J1092" s="3">
        <v>-3.5580115608876417E-3</v>
      </c>
      <c r="K1092" s="3">
        <v>0.34297390757623392</v>
      </c>
    </row>
    <row r="1093" spans="1:11" x14ac:dyDescent="0.2">
      <c r="A1093" s="1">
        <v>43244</v>
      </c>
      <c r="B1093">
        <v>90.661483764648395</v>
      </c>
      <c r="C1093">
        <v>98.309997558593693</v>
      </c>
      <c r="D1093">
        <v>98.940002441406193</v>
      </c>
      <c r="E1093">
        <v>96.809997558593693</v>
      </c>
      <c r="F1093">
        <v>98.730003356933594</v>
      </c>
      <c r="G1093" s="2">
        <v>26649300</v>
      </c>
      <c r="H1093" s="3">
        <f t="shared" si="17"/>
        <v>-3.5474442259672001E-3</v>
      </c>
      <c r="J1093" s="3">
        <v>-3.5474442259672001E-3</v>
      </c>
      <c r="K1093" s="3">
        <v>0.3432882741276328</v>
      </c>
    </row>
    <row r="1094" spans="1:11" x14ac:dyDescent="0.2">
      <c r="A1094" s="1">
        <v>43245</v>
      </c>
      <c r="B1094">
        <v>90.707588195800696</v>
      </c>
      <c r="C1094">
        <v>98.360000610351506</v>
      </c>
      <c r="D1094">
        <v>98.980003356933594</v>
      </c>
      <c r="E1094">
        <v>97.860000610351506</v>
      </c>
      <c r="F1094">
        <v>98.300003051757798</v>
      </c>
      <c r="G1094" s="2">
        <v>18363900</v>
      </c>
      <c r="H1094" s="3">
        <f t="shared" si="17"/>
        <v>5.0853382536719671E-4</v>
      </c>
      <c r="J1094" s="3">
        <v>-3.5449015873759704E-3</v>
      </c>
      <c r="K1094" s="3">
        <v>0.34360264067903173</v>
      </c>
    </row>
    <row r="1095" spans="1:11" x14ac:dyDescent="0.2">
      <c r="A1095" s="1">
        <v>43249</v>
      </c>
      <c r="B1095">
        <v>90.384849548339801</v>
      </c>
      <c r="C1095">
        <v>98.010002136230398</v>
      </c>
      <c r="D1095">
        <v>98.879997253417898</v>
      </c>
      <c r="E1095">
        <v>97.230003356933594</v>
      </c>
      <c r="F1095">
        <v>97.839996337890597</v>
      </c>
      <c r="G1095" s="2">
        <v>28671000</v>
      </c>
      <c r="H1095" s="3">
        <f t="shared" si="17"/>
        <v>-3.5580115608876417E-3</v>
      </c>
      <c r="J1095" s="3">
        <v>-3.5418351624429967E-3</v>
      </c>
      <c r="K1095" s="3">
        <v>0.34391700723043067</v>
      </c>
    </row>
    <row r="1096" spans="1:11" x14ac:dyDescent="0.2">
      <c r="A1096" s="1">
        <v>43250</v>
      </c>
      <c r="B1096">
        <v>91.251708984375</v>
      </c>
      <c r="C1096">
        <v>98.949996948242102</v>
      </c>
      <c r="D1096">
        <v>99.25</v>
      </c>
      <c r="E1096">
        <v>97.910003662109304</v>
      </c>
      <c r="F1096">
        <v>98.309997558593693</v>
      </c>
      <c r="G1096" s="2">
        <v>22158500</v>
      </c>
      <c r="H1096" s="3">
        <f t="shared" si="17"/>
        <v>9.5907604025118331E-3</v>
      </c>
      <c r="J1096" s="3">
        <v>-3.5128116756144578E-3</v>
      </c>
      <c r="K1096" s="3">
        <v>0.34423137378182961</v>
      </c>
    </row>
    <row r="1097" spans="1:11" x14ac:dyDescent="0.2">
      <c r="A1097" s="1">
        <v>43251</v>
      </c>
      <c r="B1097">
        <v>91.150253295898395</v>
      </c>
      <c r="C1097">
        <v>98.839996337890597</v>
      </c>
      <c r="D1097">
        <v>99.989997863769503</v>
      </c>
      <c r="E1097">
        <v>98.610000610351506</v>
      </c>
      <c r="F1097">
        <v>99.290000915527301</v>
      </c>
      <c r="G1097" s="2">
        <v>34140900</v>
      </c>
      <c r="H1097" s="3">
        <f t="shared" si="17"/>
        <v>-1.1118223385161441E-3</v>
      </c>
      <c r="J1097" s="3">
        <v>-3.5043412438132693E-3</v>
      </c>
      <c r="K1097" s="3">
        <v>0.34454574033322855</v>
      </c>
    </row>
    <row r="1098" spans="1:11" x14ac:dyDescent="0.2">
      <c r="A1098" s="1">
        <v>43252</v>
      </c>
      <c r="B1098">
        <v>92.948547363281193</v>
      </c>
      <c r="C1098">
        <v>100.790000915527</v>
      </c>
      <c r="D1098">
        <v>100.86000061035099</v>
      </c>
      <c r="E1098">
        <v>99.169998168945298</v>
      </c>
      <c r="F1098">
        <v>99.279998779296804</v>
      </c>
      <c r="G1098" s="2">
        <v>28655600</v>
      </c>
      <c r="H1098" s="3">
        <f t="shared" si="17"/>
        <v>1.972889819126511E-2</v>
      </c>
      <c r="J1098" s="3">
        <v>-3.5036468967718504E-3</v>
      </c>
      <c r="K1098" s="3">
        <v>0.34486010688462748</v>
      </c>
    </row>
    <row r="1099" spans="1:11" x14ac:dyDescent="0.2">
      <c r="A1099" s="1">
        <v>43255</v>
      </c>
      <c r="B1099">
        <v>93.760101318359304</v>
      </c>
      <c r="C1099">
        <v>101.669998168945</v>
      </c>
      <c r="D1099">
        <v>101.86000061035099</v>
      </c>
      <c r="E1099">
        <v>100.84999847412099</v>
      </c>
      <c r="F1099">
        <v>101.26000213623</v>
      </c>
      <c r="G1099" s="2">
        <v>27281600</v>
      </c>
      <c r="H1099" s="3">
        <f t="shared" si="17"/>
        <v>8.731217195963481E-3</v>
      </c>
      <c r="J1099" s="3">
        <v>-3.4831771878971463E-3</v>
      </c>
      <c r="K1099" s="3">
        <v>0.34517447343602642</v>
      </c>
    </row>
    <row r="1100" spans="1:11" x14ac:dyDescent="0.2">
      <c r="A1100" s="1">
        <v>43256</v>
      </c>
      <c r="B1100">
        <v>94.239631652832003</v>
      </c>
      <c r="C1100">
        <v>102.19000244140599</v>
      </c>
      <c r="D1100">
        <v>102.33000183105401</v>
      </c>
      <c r="E1100">
        <v>101.52999877929599</v>
      </c>
      <c r="F1100">
        <v>102</v>
      </c>
      <c r="G1100" s="2">
        <v>23514400</v>
      </c>
      <c r="H1100" s="3">
        <f t="shared" si="17"/>
        <v>5.1144391668740408E-3</v>
      </c>
      <c r="J1100" s="3">
        <v>-3.4280440672395107E-3</v>
      </c>
      <c r="K1100" s="3">
        <v>0.34548883998742536</v>
      </c>
    </row>
    <row r="1101" spans="1:11" x14ac:dyDescent="0.2">
      <c r="A1101" s="1">
        <v>43257</v>
      </c>
      <c r="B1101">
        <v>94.516288757324205</v>
      </c>
      <c r="C1101">
        <v>102.48999786376901</v>
      </c>
      <c r="D1101">
        <v>102.59999847412099</v>
      </c>
      <c r="E1101">
        <v>101.900001525878</v>
      </c>
      <c r="F1101">
        <v>102.480003356933</v>
      </c>
      <c r="G1101" s="2">
        <v>21122900</v>
      </c>
      <c r="H1101" s="3">
        <f t="shared" si="17"/>
        <v>2.9356768446566761E-3</v>
      </c>
      <c r="J1101" s="3">
        <v>-3.42168957456912E-3</v>
      </c>
      <c r="K1101" s="3">
        <v>0.34580320653882429</v>
      </c>
    </row>
    <row r="1102" spans="1:11" x14ac:dyDescent="0.2">
      <c r="A1102" s="1">
        <v>43258</v>
      </c>
      <c r="B1102">
        <v>93.031555175781193</v>
      </c>
      <c r="C1102">
        <v>100.879997253417</v>
      </c>
      <c r="D1102">
        <v>102.69000244140599</v>
      </c>
      <c r="E1102">
        <v>100.379997253417</v>
      </c>
      <c r="F1102">
        <v>102.650001525878</v>
      </c>
      <c r="G1102" s="2">
        <v>28232200</v>
      </c>
      <c r="H1102" s="3">
        <f t="shared" si="17"/>
        <v>-1.5708758787124522E-2</v>
      </c>
      <c r="J1102" s="3">
        <v>-3.4175252183903382E-3</v>
      </c>
      <c r="K1102" s="3">
        <v>0.34611757309022317</v>
      </c>
    </row>
    <row r="1103" spans="1:11" x14ac:dyDescent="0.2">
      <c r="A1103" s="1">
        <v>43259</v>
      </c>
      <c r="B1103">
        <v>93.723190307617102</v>
      </c>
      <c r="C1103">
        <v>101.629997253417</v>
      </c>
      <c r="D1103">
        <v>101.949996948242</v>
      </c>
      <c r="E1103">
        <v>100.540000915527</v>
      </c>
      <c r="F1103">
        <v>101.08999633789</v>
      </c>
      <c r="G1103" s="2">
        <v>22165100</v>
      </c>
      <c r="H1103" s="3">
        <f t="shared" si="17"/>
        <v>7.4344143826154951E-3</v>
      </c>
      <c r="J1103" s="3">
        <v>-3.3879985743828778E-3</v>
      </c>
      <c r="K1103" s="3">
        <v>0.34643193964162211</v>
      </c>
    </row>
    <row r="1104" spans="1:11" x14ac:dyDescent="0.2">
      <c r="A1104" s="1">
        <v>43262</v>
      </c>
      <c r="B1104">
        <v>93.188301086425696</v>
      </c>
      <c r="C1104">
        <v>101.050003051757</v>
      </c>
      <c r="D1104">
        <v>101.58999633789</v>
      </c>
      <c r="E1104">
        <v>100.669998168945</v>
      </c>
      <c r="F1104">
        <v>101.01000213623</v>
      </c>
      <c r="G1104" s="2">
        <v>23490900</v>
      </c>
      <c r="H1104" s="3">
        <f t="shared" si="17"/>
        <v>-5.7071170906133339E-3</v>
      </c>
      <c r="J1104" s="3">
        <v>-3.3860019786505768E-3</v>
      </c>
      <c r="K1104" s="3">
        <v>0.34674630619302105</v>
      </c>
    </row>
    <row r="1105" spans="1:11" x14ac:dyDescent="0.2">
      <c r="A1105" s="1">
        <v>43263</v>
      </c>
      <c r="B1105">
        <v>93.428092956542898</v>
      </c>
      <c r="C1105">
        <v>101.309997558593</v>
      </c>
      <c r="D1105">
        <v>101.449996948242</v>
      </c>
      <c r="E1105">
        <v>100.75</v>
      </c>
      <c r="F1105">
        <v>101.09999847412099</v>
      </c>
      <c r="G1105" s="2">
        <v>18325200</v>
      </c>
      <c r="H1105" s="3">
        <f t="shared" si="17"/>
        <v>2.5731971430063005E-3</v>
      </c>
      <c r="J1105" s="3">
        <v>-3.3659290381612417E-3</v>
      </c>
      <c r="K1105" s="3">
        <v>0.34706067274441998</v>
      </c>
    </row>
    <row r="1106" spans="1:11" x14ac:dyDescent="0.2">
      <c r="A1106" s="1">
        <v>43264</v>
      </c>
      <c r="B1106">
        <v>93.003883361816406</v>
      </c>
      <c r="C1106">
        <v>100.84999847412099</v>
      </c>
      <c r="D1106">
        <v>102.01000213623</v>
      </c>
      <c r="E1106">
        <v>100.559997558593</v>
      </c>
      <c r="F1106">
        <v>101.720001220703</v>
      </c>
      <c r="G1106" s="2">
        <v>29492900</v>
      </c>
      <c r="H1106" s="3">
        <f t="shared" si="17"/>
        <v>-4.5404929213722633E-3</v>
      </c>
      <c r="J1106" s="3">
        <v>-3.3627177392888674E-3</v>
      </c>
      <c r="K1106" s="3">
        <v>0.34737503929581892</v>
      </c>
    </row>
    <row r="1107" spans="1:11" x14ac:dyDescent="0.2">
      <c r="A1107" s="1">
        <v>43265</v>
      </c>
      <c r="B1107">
        <v>93.529518127441406</v>
      </c>
      <c r="C1107">
        <v>101.419998168945</v>
      </c>
      <c r="D1107">
        <v>102.02999877929599</v>
      </c>
      <c r="E1107">
        <v>101</v>
      </c>
      <c r="F1107">
        <v>101.650001525878</v>
      </c>
      <c r="G1107" s="2">
        <v>25691800</v>
      </c>
      <c r="H1107" s="3">
        <f t="shared" si="17"/>
        <v>5.6517507293765146E-3</v>
      </c>
      <c r="J1107" s="3">
        <v>-3.3611689834314173E-3</v>
      </c>
      <c r="K1107" s="3">
        <v>0.34768940584721786</v>
      </c>
    </row>
    <row r="1108" spans="1:11" x14ac:dyDescent="0.2">
      <c r="A1108" s="1">
        <v>43266</v>
      </c>
      <c r="B1108">
        <v>92.339912414550696</v>
      </c>
      <c r="C1108">
        <v>100.129997253417</v>
      </c>
      <c r="D1108">
        <v>101.52999877929599</v>
      </c>
      <c r="E1108">
        <v>100.06999969482401</v>
      </c>
      <c r="F1108">
        <v>101.51000213623</v>
      </c>
      <c r="G1108" s="2">
        <v>65738600</v>
      </c>
      <c r="H1108" s="3">
        <f t="shared" si="17"/>
        <v>-1.2719040327672571E-2</v>
      </c>
      <c r="J1108" s="3">
        <v>-3.3605986143249167E-3</v>
      </c>
      <c r="K1108" s="3">
        <v>0.3480037723986168</v>
      </c>
    </row>
    <row r="1109" spans="1:11" x14ac:dyDescent="0.2">
      <c r="A1109" s="1">
        <v>43269</v>
      </c>
      <c r="B1109">
        <v>93.013092041015597</v>
      </c>
      <c r="C1109">
        <v>100.86000061035099</v>
      </c>
      <c r="D1109">
        <v>101.11000061035099</v>
      </c>
      <c r="E1109">
        <v>99.419998168945298</v>
      </c>
      <c r="F1109">
        <v>100.01000213623</v>
      </c>
      <c r="G1109" s="2">
        <v>23586000</v>
      </c>
      <c r="H1109" s="3">
        <f t="shared" si="17"/>
        <v>7.2902346218688407E-3</v>
      </c>
      <c r="J1109" s="3">
        <v>-3.331835101212155E-3</v>
      </c>
      <c r="K1109" s="3">
        <v>0.34831813895001573</v>
      </c>
    </row>
    <row r="1110" spans="1:11" x14ac:dyDescent="0.2">
      <c r="A1110" s="1">
        <v>43270</v>
      </c>
      <c r="B1110">
        <v>93.013092041015597</v>
      </c>
      <c r="C1110">
        <v>100.86000061035099</v>
      </c>
      <c r="D1110">
        <v>101</v>
      </c>
      <c r="E1110">
        <v>99.5</v>
      </c>
      <c r="F1110">
        <v>99.650001525878906</v>
      </c>
      <c r="G1110" s="2">
        <v>28653100</v>
      </c>
      <c r="H1110" s="3">
        <f t="shared" si="17"/>
        <v>0</v>
      </c>
      <c r="J1110" s="3">
        <v>-3.3269652003869998E-3</v>
      </c>
      <c r="K1110" s="3">
        <v>0.34863250550141467</v>
      </c>
    </row>
    <row r="1111" spans="1:11" x14ac:dyDescent="0.2">
      <c r="A1111" s="1">
        <v>43271</v>
      </c>
      <c r="B1111">
        <v>93.944541931152301</v>
      </c>
      <c r="C1111">
        <v>101.870002746582</v>
      </c>
      <c r="D1111">
        <v>102.51999664306599</v>
      </c>
      <c r="E1111">
        <v>101.120002746582</v>
      </c>
      <c r="F1111">
        <v>101.370002746582</v>
      </c>
      <c r="G1111" s="2">
        <v>26180800</v>
      </c>
      <c r="H1111" s="3">
        <f t="shared" si="17"/>
        <v>1.0014180473926881E-2</v>
      </c>
      <c r="J1111" s="3">
        <v>-3.3073830653715941E-3</v>
      </c>
      <c r="K1111" s="3">
        <v>0.34894687205281361</v>
      </c>
    </row>
    <row r="1112" spans="1:11" x14ac:dyDescent="0.2">
      <c r="A1112" s="1">
        <v>43272</v>
      </c>
      <c r="B1112">
        <v>93.271316528320298</v>
      </c>
      <c r="C1112">
        <v>101.139999389648</v>
      </c>
      <c r="D1112">
        <v>102.459999084472</v>
      </c>
      <c r="E1112">
        <v>100.879997253417</v>
      </c>
      <c r="F1112">
        <v>102.08000183105401</v>
      </c>
      <c r="G1112" s="2">
        <v>23198200</v>
      </c>
      <c r="H1112" s="3">
        <f t="shared" si="17"/>
        <v>-7.1662002814956161E-3</v>
      </c>
      <c r="J1112" s="3">
        <v>-3.2998757199248496E-3</v>
      </c>
      <c r="K1112" s="3">
        <v>0.34926123860421249</v>
      </c>
    </row>
    <row r="1113" spans="1:11" x14ac:dyDescent="0.2">
      <c r="A1113" s="1">
        <v>43273</v>
      </c>
      <c r="B1113">
        <v>92.598129272460895</v>
      </c>
      <c r="C1113">
        <v>100.41000366210901</v>
      </c>
      <c r="D1113">
        <v>100.76999664306599</v>
      </c>
      <c r="E1113">
        <v>99.629997253417898</v>
      </c>
      <c r="F1113">
        <v>100.41000366210901</v>
      </c>
      <c r="G1113" s="2">
        <v>38923100</v>
      </c>
      <c r="H1113" s="3">
        <f t="shared" si="17"/>
        <v>-7.2175163910653817E-3</v>
      </c>
      <c r="J1113" s="3">
        <v>-3.2908207618408403E-3</v>
      </c>
      <c r="K1113" s="3">
        <v>0.34957560515561142</v>
      </c>
    </row>
    <row r="1114" spans="1:11" x14ac:dyDescent="0.2">
      <c r="A1114" s="1">
        <v>43276</v>
      </c>
      <c r="B1114">
        <v>90.735290527343693</v>
      </c>
      <c r="C1114">
        <v>98.389999389648395</v>
      </c>
      <c r="D1114">
        <v>100.11000061035099</v>
      </c>
      <c r="E1114">
        <v>97.300003051757798</v>
      </c>
      <c r="F1114">
        <v>100</v>
      </c>
      <c r="G1114" s="2">
        <v>35433300</v>
      </c>
      <c r="H1114" s="3">
        <f t="shared" si="17"/>
        <v>-2.0117455501028392E-2</v>
      </c>
      <c r="J1114" s="3">
        <v>-3.2245474683881836E-3</v>
      </c>
      <c r="K1114" s="3">
        <v>0.34988997170701036</v>
      </c>
    </row>
    <row r="1115" spans="1:11" x14ac:dyDescent="0.2">
      <c r="A1115" s="1">
        <v>43277</v>
      </c>
      <c r="B1115">
        <v>91.371589660644503</v>
      </c>
      <c r="C1115">
        <v>99.080001831054602</v>
      </c>
      <c r="D1115">
        <v>100.08000183105401</v>
      </c>
      <c r="E1115">
        <v>98.75</v>
      </c>
      <c r="F1115">
        <v>98.819999694824205</v>
      </c>
      <c r="G1115" s="2">
        <v>26897200</v>
      </c>
      <c r="H1115" s="3">
        <f t="shared" si="17"/>
        <v>7.0126973705899598E-3</v>
      </c>
      <c r="J1115" s="3">
        <v>-3.2000975507109342E-3</v>
      </c>
      <c r="K1115" s="3">
        <v>0.3502043382584093</v>
      </c>
    </row>
    <row r="1116" spans="1:11" x14ac:dyDescent="0.2">
      <c r="A1116" s="1">
        <v>43278</v>
      </c>
      <c r="B1116">
        <v>89.951393127441406</v>
      </c>
      <c r="C1116">
        <v>97.540000915527301</v>
      </c>
      <c r="D1116">
        <v>100.01999664306599</v>
      </c>
      <c r="E1116">
        <v>97.400001525878906</v>
      </c>
      <c r="F1116">
        <v>99.580001831054602</v>
      </c>
      <c r="G1116" s="2">
        <v>31298400</v>
      </c>
      <c r="H1116" s="3">
        <f t="shared" si="17"/>
        <v>-1.5543086625478764E-2</v>
      </c>
      <c r="J1116" s="3">
        <v>-3.1874207856902315E-3</v>
      </c>
      <c r="K1116" s="3">
        <v>0.35051870480980823</v>
      </c>
    </row>
    <row r="1117" spans="1:11" x14ac:dyDescent="0.2">
      <c r="A1117" s="1">
        <v>43279</v>
      </c>
      <c r="B1117">
        <v>90.956596374511705</v>
      </c>
      <c r="C1117">
        <v>98.629997253417898</v>
      </c>
      <c r="D1117">
        <v>99.110000610351506</v>
      </c>
      <c r="E1117">
        <v>97.260002136230398</v>
      </c>
      <c r="F1117">
        <v>97.379997253417898</v>
      </c>
      <c r="G1117" s="2">
        <v>26650700</v>
      </c>
      <c r="H1117" s="3">
        <f t="shared" si="17"/>
        <v>1.1174960299349168E-2</v>
      </c>
      <c r="J1117" s="3">
        <v>-3.1829872002818727E-3</v>
      </c>
      <c r="K1117" s="3">
        <v>0.35083307136120717</v>
      </c>
    </row>
    <row r="1118" spans="1:11" x14ac:dyDescent="0.2">
      <c r="A1118" s="1">
        <v>43280</v>
      </c>
      <c r="B1118">
        <v>90.938156127929602</v>
      </c>
      <c r="C1118">
        <v>98.610000610351506</v>
      </c>
      <c r="D1118">
        <v>99.910003662109304</v>
      </c>
      <c r="E1118">
        <v>98.330001831054602</v>
      </c>
      <c r="F1118">
        <v>98.930000305175696</v>
      </c>
      <c r="G1118" s="2">
        <v>28053200</v>
      </c>
      <c r="H1118" s="3">
        <f t="shared" si="17"/>
        <v>-2.0273677025217651E-4</v>
      </c>
      <c r="J1118" s="3">
        <v>-3.1824248644501951E-3</v>
      </c>
      <c r="K1118" s="3">
        <v>0.35114743791260611</v>
      </c>
    </row>
    <row r="1119" spans="1:11" x14ac:dyDescent="0.2">
      <c r="A1119" s="1">
        <v>43283</v>
      </c>
      <c r="B1119">
        <v>92.229263305664006</v>
      </c>
      <c r="C1119">
        <v>100.01000213623</v>
      </c>
      <c r="D1119">
        <v>100.059997558593</v>
      </c>
      <c r="E1119">
        <v>98</v>
      </c>
      <c r="F1119">
        <v>98.099998474121094</v>
      </c>
      <c r="G1119" s="2">
        <v>19564500</v>
      </c>
      <c r="H1119" s="3">
        <f t="shared" si="17"/>
        <v>1.4197639722517641E-2</v>
      </c>
      <c r="J1119" s="3">
        <v>-3.1743536947934636E-3</v>
      </c>
      <c r="K1119" s="3">
        <v>0.35146180446400505</v>
      </c>
    </row>
    <row r="1120" spans="1:11" x14ac:dyDescent="0.2">
      <c r="A1120" s="1">
        <v>43284</v>
      </c>
      <c r="B1120">
        <v>91.343910217285099</v>
      </c>
      <c r="C1120">
        <v>99.050003051757798</v>
      </c>
      <c r="D1120">
        <v>100.629997253417</v>
      </c>
      <c r="E1120">
        <v>98.940002441406193</v>
      </c>
      <c r="F1120">
        <v>100.480003356933</v>
      </c>
      <c r="G1120" s="2">
        <v>14670300</v>
      </c>
      <c r="H1120" s="3">
        <f t="shared" si="17"/>
        <v>-9.5994812996033074E-3</v>
      </c>
      <c r="J1120" s="3">
        <v>-3.1430323008564409E-3</v>
      </c>
      <c r="K1120" s="3">
        <v>0.35177617101540398</v>
      </c>
    </row>
    <row r="1121" spans="1:11" x14ac:dyDescent="0.2">
      <c r="A1121" s="1">
        <v>43286</v>
      </c>
      <c r="B1121">
        <v>91.998695373535099</v>
      </c>
      <c r="C1121">
        <v>99.760002136230398</v>
      </c>
      <c r="D1121">
        <v>99.919998168945298</v>
      </c>
      <c r="E1121">
        <v>99.029998779296804</v>
      </c>
      <c r="F1121">
        <v>99.5</v>
      </c>
      <c r="G1121" s="2">
        <v>18977400</v>
      </c>
      <c r="H1121" s="3">
        <f t="shared" si="17"/>
        <v>7.1683504099224749E-3</v>
      </c>
      <c r="J1121" s="3">
        <v>-3.1347547253997021E-3</v>
      </c>
      <c r="K1121" s="3">
        <v>0.35209053756680292</v>
      </c>
    </row>
    <row r="1122" spans="1:11" x14ac:dyDescent="0.2">
      <c r="A1122" s="1">
        <v>43287</v>
      </c>
      <c r="B1122">
        <v>93.289756774902301</v>
      </c>
      <c r="C1122">
        <v>101.16000366210901</v>
      </c>
      <c r="D1122">
        <v>101.430000305175</v>
      </c>
      <c r="E1122">
        <v>99.669998168945298</v>
      </c>
      <c r="F1122">
        <v>99.889999389648395</v>
      </c>
      <c r="G1122" s="2">
        <v>19234600</v>
      </c>
      <c r="H1122" s="3">
        <f t="shared" si="17"/>
        <v>1.4033475106632887E-2</v>
      </c>
      <c r="J1122" s="3">
        <v>-3.1326391206945026E-3</v>
      </c>
      <c r="K1122" s="3">
        <v>0.3524049041182018</v>
      </c>
    </row>
    <row r="1123" spans="1:11" x14ac:dyDescent="0.2">
      <c r="A1123" s="1">
        <v>43290</v>
      </c>
      <c r="B1123">
        <v>93.926086425781193</v>
      </c>
      <c r="C1123">
        <v>101.84999847412099</v>
      </c>
      <c r="D1123">
        <v>102.25</v>
      </c>
      <c r="E1123">
        <v>101.25</v>
      </c>
      <c r="F1123">
        <v>101.650001525878</v>
      </c>
      <c r="G1123" s="2">
        <v>18212000</v>
      </c>
      <c r="H1123" s="3">
        <f t="shared" si="17"/>
        <v>6.8210023573571643E-3</v>
      </c>
      <c r="J1123" s="3">
        <v>-3.1251817963507955E-3</v>
      </c>
      <c r="K1123" s="3">
        <v>0.35271927066960074</v>
      </c>
    </row>
    <row r="1124" spans="1:11" x14ac:dyDescent="0.2">
      <c r="A1124" s="1">
        <v>43291</v>
      </c>
      <c r="B1124">
        <v>94.175079345703097</v>
      </c>
      <c r="C1124">
        <v>102.120002746582</v>
      </c>
      <c r="D1124">
        <v>102.51000213623</v>
      </c>
      <c r="E1124">
        <v>101.86000061035099</v>
      </c>
      <c r="F1124">
        <v>102</v>
      </c>
      <c r="G1124" s="2">
        <v>19293100</v>
      </c>
      <c r="H1124" s="3">
        <f t="shared" si="17"/>
        <v>2.6509453272989258E-3</v>
      </c>
      <c r="J1124" s="3">
        <v>-3.110284923849016E-3</v>
      </c>
      <c r="K1124" s="3">
        <v>0.35303363722099967</v>
      </c>
    </row>
    <row r="1125" spans="1:11" x14ac:dyDescent="0.2">
      <c r="A1125" s="1">
        <v>43292</v>
      </c>
      <c r="B1125">
        <v>94.045974731445298</v>
      </c>
      <c r="C1125">
        <v>101.980003356933</v>
      </c>
      <c r="D1125">
        <v>102.33999633789</v>
      </c>
      <c r="E1125">
        <v>101.09999847412099</v>
      </c>
      <c r="F1125">
        <v>101.150001525878</v>
      </c>
      <c r="G1125" s="2">
        <v>19644600</v>
      </c>
      <c r="H1125" s="3">
        <f t="shared" si="17"/>
        <v>-1.3708999785800868E-3</v>
      </c>
      <c r="J1125" s="3">
        <v>-3.1018839540700727E-3</v>
      </c>
      <c r="K1125" s="3">
        <v>0.35334800377239861</v>
      </c>
    </row>
    <row r="1126" spans="1:11" x14ac:dyDescent="0.2">
      <c r="A1126" s="1">
        <v>43293</v>
      </c>
      <c r="B1126">
        <v>96.084045410156193</v>
      </c>
      <c r="C1126">
        <v>104.19000244140599</v>
      </c>
      <c r="D1126">
        <v>104.41000366210901</v>
      </c>
      <c r="E1126">
        <v>102.730003356933</v>
      </c>
      <c r="F1126">
        <v>102.76999664306599</v>
      </c>
      <c r="G1126" s="2">
        <v>24335900</v>
      </c>
      <c r="H1126" s="3">
        <f t="shared" si="17"/>
        <v>2.1671003831166047E-2</v>
      </c>
      <c r="J1126" s="3">
        <v>-3.0986061403610599E-3</v>
      </c>
      <c r="K1126" s="3">
        <v>0.35366237032379755</v>
      </c>
    </row>
    <row r="1127" spans="1:11" x14ac:dyDescent="0.2">
      <c r="A1127" s="1">
        <v>43294</v>
      </c>
      <c r="B1127">
        <v>97.227577209472599</v>
      </c>
      <c r="C1127">
        <v>105.430000305175</v>
      </c>
      <c r="D1127">
        <v>105.59999847412099</v>
      </c>
      <c r="E1127">
        <v>104.08999633789</v>
      </c>
      <c r="F1127">
        <v>104.370002746582</v>
      </c>
      <c r="G1127" s="2">
        <v>24635200</v>
      </c>
      <c r="H1127" s="3">
        <f t="shared" si="17"/>
        <v>1.1901370247630494E-2</v>
      </c>
      <c r="J1127" s="3">
        <v>-3.092929986306836E-3</v>
      </c>
      <c r="K1127" s="3">
        <v>0.35397673687519648</v>
      </c>
    </row>
    <row r="1128" spans="1:11" x14ac:dyDescent="0.2">
      <c r="A1128" s="1">
        <v>43297</v>
      </c>
      <c r="B1128">
        <v>96.747993469238196</v>
      </c>
      <c r="C1128">
        <v>104.91000366210901</v>
      </c>
      <c r="D1128">
        <v>105.81999969482401</v>
      </c>
      <c r="E1128">
        <v>104.51999664306599</v>
      </c>
      <c r="F1128">
        <v>105.400001525878</v>
      </c>
      <c r="G1128" s="2">
        <v>21786900</v>
      </c>
      <c r="H1128" s="3">
        <f t="shared" si="17"/>
        <v>-4.9325896417347082E-3</v>
      </c>
      <c r="J1128" s="3">
        <v>-3.0920728537613407E-3</v>
      </c>
      <c r="K1128" s="3">
        <v>0.35429110342659542</v>
      </c>
    </row>
    <row r="1129" spans="1:11" x14ac:dyDescent="0.2">
      <c r="A1129" s="1">
        <v>43298</v>
      </c>
      <c r="B1129">
        <v>97.707115173339801</v>
      </c>
      <c r="C1129">
        <v>105.949996948242</v>
      </c>
      <c r="D1129">
        <v>106.5</v>
      </c>
      <c r="E1129">
        <v>104.31999969482401</v>
      </c>
      <c r="F1129">
        <v>104.61000061035099</v>
      </c>
      <c r="G1129" s="2">
        <v>25901700</v>
      </c>
      <c r="H1129" s="3">
        <f t="shared" si="17"/>
        <v>9.9136082280255611E-3</v>
      </c>
      <c r="J1129" s="3">
        <v>-3.086887081773293E-3</v>
      </c>
      <c r="K1129" s="3">
        <v>0.35460546997799436</v>
      </c>
    </row>
    <row r="1130" spans="1:11" x14ac:dyDescent="0.2">
      <c r="A1130" s="1">
        <v>43299</v>
      </c>
      <c r="B1130">
        <v>96.941680908203097</v>
      </c>
      <c r="C1130">
        <v>105.120002746582</v>
      </c>
      <c r="D1130">
        <v>106.050003051757</v>
      </c>
      <c r="E1130">
        <v>104.720001220703</v>
      </c>
      <c r="F1130">
        <v>105.94000244140599</v>
      </c>
      <c r="G1130" s="2">
        <v>29493900</v>
      </c>
      <c r="H1130" s="3">
        <f t="shared" si="17"/>
        <v>-7.8339664801152509E-3</v>
      </c>
      <c r="J1130" s="3">
        <v>-3.0860245502425387E-3</v>
      </c>
      <c r="K1130" s="3">
        <v>0.3549198365293933</v>
      </c>
    </row>
    <row r="1131" spans="1:11" x14ac:dyDescent="0.2">
      <c r="A1131" s="1">
        <v>43300</v>
      </c>
      <c r="B1131">
        <v>96.277694702148395</v>
      </c>
      <c r="C1131">
        <v>104.400001525878</v>
      </c>
      <c r="D1131">
        <v>105.309997558593</v>
      </c>
      <c r="E1131">
        <v>103.889999389648</v>
      </c>
      <c r="F1131">
        <v>104.930000305175</v>
      </c>
      <c r="G1131" s="2">
        <v>40171600</v>
      </c>
      <c r="H1131" s="3">
        <f t="shared" si="17"/>
        <v>-6.8493366303752357E-3</v>
      </c>
      <c r="J1131" s="3">
        <v>-3.0783145271754409E-3</v>
      </c>
      <c r="K1131" s="3">
        <v>0.35523420308079218</v>
      </c>
    </row>
    <row r="1132" spans="1:11" x14ac:dyDescent="0.2">
      <c r="A1132" s="1">
        <v>43301</v>
      </c>
      <c r="B1132">
        <v>98.002189636230398</v>
      </c>
      <c r="C1132">
        <v>106.26999664306599</v>
      </c>
      <c r="D1132">
        <v>108.199996948242</v>
      </c>
      <c r="E1132">
        <v>106.08000183105401</v>
      </c>
      <c r="F1132">
        <v>108.08000183105401</v>
      </c>
      <c r="G1132" s="2">
        <v>56004000</v>
      </c>
      <c r="H1132" s="3">
        <f t="shared" si="17"/>
        <v>1.7911676628912021E-2</v>
      </c>
      <c r="J1132" s="3">
        <v>-3.0673807553934784E-3</v>
      </c>
      <c r="K1132" s="3">
        <v>0.35554856963219111</v>
      </c>
    </row>
    <row r="1133" spans="1:11" x14ac:dyDescent="0.2">
      <c r="A1133" s="1">
        <v>43304</v>
      </c>
      <c r="B1133">
        <v>99.5699462890625</v>
      </c>
      <c r="C1133">
        <v>107.970001220703</v>
      </c>
      <c r="D1133">
        <v>108.139999389648</v>
      </c>
      <c r="E1133">
        <v>106.129997253417</v>
      </c>
      <c r="F1133">
        <v>106.300003051757</v>
      </c>
      <c r="G1133" s="2">
        <v>29707000</v>
      </c>
      <c r="H1133" s="3">
        <f t="shared" si="17"/>
        <v>1.5997159437471486E-2</v>
      </c>
      <c r="J1133" s="3">
        <v>-3.0597489392015786E-3</v>
      </c>
      <c r="K1133" s="3">
        <v>0.35586293618359005</v>
      </c>
    </row>
    <row r="1134" spans="1:11" x14ac:dyDescent="0.2">
      <c r="A1134" s="1">
        <v>43305</v>
      </c>
      <c r="B1134">
        <v>99.284065246582003</v>
      </c>
      <c r="C1134">
        <v>107.66000366210901</v>
      </c>
      <c r="D1134">
        <v>108.81999969482401</v>
      </c>
      <c r="E1134">
        <v>107.26000213623</v>
      </c>
      <c r="F1134">
        <v>108.56999969482401</v>
      </c>
      <c r="G1134" s="2">
        <v>26316600</v>
      </c>
      <c r="H1134" s="3">
        <f t="shared" si="17"/>
        <v>-2.8711579460990455E-3</v>
      </c>
      <c r="J1134" s="3">
        <v>-3.0506664181132459E-3</v>
      </c>
      <c r="K1134" s="3">
        <v>0.35617730273498899</v>
      </c>
    </row>
    <row r="1135" spans="1:11" x14ac:dyDescent="0.2">
      <c r="A1135" s="1">
        <v>43306</v>
      </c>
      <c r="B1135">
        <v>102.20743560791</v>
      </c>
      <c r="C1135">
        <v>110.83000183105401</v>
      </c>
      <c r="D1135">
        <v>111.150001525878</v>
      </c>
      <c r="E1135">
        <v>107.59999847412099</v>
      </c>
      <c r="F1135">
        <v>107.959999084472</v>
      </c>
      <c r="G1135" s="2">
        <v>30702100</v>
      </c>
      <c r="H1135" s="3">
        <f t="shared" si="17"/>
        <v>2.9444507072383885E-2</v>
      </c>
      <c r="J1135" s="3">
        <v>-3.0355209103430925E-3</v>
      </c>
      <c r="K1135" s="3">
        <v>0.35649166928638792</v>
      </c>
    </row>
    <row r="1136" spans="1:11" x14ac:dyDescent="0.2">
      <c r="A1136" s="1">
        <v>43307</v>
      </c>
      <c r="B1136">
        <v>101.09156036376901</v>
      </c>
      <c r="C1136">
        <v>109.620002746582</v>
      </c>
      <c r="D1136">
        <v>111</v>
      </c>
      <c r="E1136">
        <v>109.5</v>
      </c>
      <c r="F1136">
        <v>110.73999786376901</v>
      </c>
      <c r="G1136" s="2">
        <v>31372100</v>
      </c>
      <c r="H1136" s="3">
        <f t="shared" si="17"/>
        <v>-1.0917750137296567E-2</v>
      </c>
      <c r="J1136" s="3">
        <v>-3.0328163744627323E-3</v>
      </c>
      <c r="K1136" s="3">
        <v>0.35680603583778686</v>
      </c>
    </row>
    <row r="1137" spans="1:11" x14ac:dyDescent="0.2">
      <c r="A1137" s="1">
        <v>43308</v>
      </c>
      <c r="B1137">
        <v>99.302513122558594</v>
      </c>
      <c r="C1137">
        <v>107.680000305175</v>
      </c>
      <c r="D1137">
        <v>110.180000305175</v>
      </c>
      <c r="E1137">
        <v>106.139999389648</v>
      </c>
      <c r="F1137">
        <v>110.180000305175</v>
      </c>
      <c r="G1137" s="2">
        <v>37005300</v>
      </c>
      <c r="H1137" s="3">
        <f t="shared" si="17"/>
        <v>-1.7697295746278763E-2</v>
      </c>
      <c r="J1137" s="3">
        <v>-2.97861612557071E-3</v>
      </c>
      <c r="K1137" s="3">
        <v>0.3571204023891858</v>
      </c>
    </row>
    <row r="1138" spans="1:11" x14ac:dyDescent="0.2">
      <c r="A1138" s="1">
        <v>43311</v>
      </c>
      <c r="B1138">
        <v>97.172218322753906</v>
      </c>
      <c r="C1138">
        <v>105.370002746582</v>
      </c>
      <c r="D1138">
        <v>107.52999877929599</v>
      </c>
      <c r="E1138">
        <v>104.76000213623</v>
      </c>
      <c r="F1138">
        <v>107.19000244140599</v>
      </c>
      <c r="G1138" s="2">
        <v>34668300</v>
      </c>
      <c r="H1138" s="3">
        <f t="shared" si="17"/>
        <v>-2.14525769068451E-2</v>
      </c>
      <c r="J1138" s="3">
        <v>-2.96413881968427E-3</v>
      </c>
      <c r="K1138" s="3">
        <v>0.35743476894058474</v>
      </c>
    </row>
    <row r="1139" spans="1:11" x14ac:dyDescent="0.2">
      <c r="A1139" s="1">
        <v>43312</v>
      </c>
      <c r="B1139">
        <v>97.827003479003906</v>
      </c>
      <c r="C1139">
        <v>106.08000183105401</v>
      </c>
      <c r="D1139">
        <v>106.720001220703</v>
      </c>
      <c r="E1139">
        <v>105.379997253417</v>
      </c>
      <c r="F1139">
        <v>106.48999786376901</v>
      </c>
      <c r="G1139" s="2">
        <v>27655200</v>
      </c>
      <c r="H1139" s="3">
        <f t="shared" si="17"/>
        <v>6.7383987682070323E-3</v>
      </c>
      <c r="J1139" s="3">
        <v>-2.9581376873161203E-3</v>
      </c>
      <c r="K1139" s="3">
        <v>0.35774913549198367</v>
      </c>
    </row>
    <row r="1140" spans="1:11" x14ac:dyDescent="0.2">
      <c r="A1140" s="1">
        <v>43313</v>
      </c>
      <c r="B1140">
        <v>98.011436462402301</v>
      </c>
      <c r="C1140">
        <v>106.27999877929599</v>
      </c>
      <c r="D1140">
        <v>106.449996948242</v>
      </c>
      <c r="E1140">
        <v>105.419998168945</v>
      </c>
      <c r="F1140">
        <v>106.02999877929599</v>
      </c>
      <c r="G1140" s="2">
        <v>23628700</v>
      </c>
      <c r="H1140" s="3">
        <f t="shared" si="17"/>
        <v>1.8852972782508193E-3</v>
      </c>
      <c r="J1140" s="3">
        <v>-2.9529998345463326E-3</v>
      </c>
      <c r="K1140" s="3">
        <v>0.35806350204338261</v>
      </c>
    </row>
    <row r="1141" spans="1:11" x14ac:dyDescent="0.2">
      <c r="A1141" s="1">
        <v>43314</v>
      </c>
      <c r="B1141">
        <v>99.2010498046875</v>
      </c>
      <c r="C1141">
        <v>107.56999969482401</v>
      </c>
      <c r="D1141">
        <v>108.08999633789</v>
      </c>
      <c r="E1141">
        <v>104.83999633789</v>
      </c>
      <c r="F1141">
        <v>105.400001525878</v>
      </c>
      <c r="G1141" s="2">
        <v>26104300</v>
      </c>
      <c r="H1141" s="3">
        <f t="shared" si="17"/>
        <v>1.2137495227320105E-2</v>
      </c>
      <c r="J1141" s="3">
        <v>-2.9165526972688705E-3</v>
      </c>
      <c r="K1141" s="3">
        <v>0.35837786859478149</v>
      </c>
    </row>
    <row r="1142" spans="1:11" x14ac:dyDescent="0.2">
      <c r="A1142" s="1">
        <v>43315</v>
      </c>
      <c r="B1142">
        <v>99.634521484375</v>
      </c>
      <c r="C1142">
        <v>108.040000915527</v>
      </c>
      <c r="D1142">
        <v>108.050003051757</v>
      </c>
      <c r="E1142">
        <v>106.81999969482401</v>
      </c>
      <c r="F1142">
        <v>107.800003051757</v>
      </c>
      <c r="G1142" s="2">
        <v>18659600</v>
      </c>
      <c r="H1142" s="3">
        <f t="shared" si="17"/>
        <v>4.3696279478990796E-3</v>
      </c>
      <c r="J1142" s="3">
        <v>-2.9101159249236286E-3</v>
      </c>
      <c r="K1142" s="3">
        <v>0.35869223514618043</v>
      </c>
    </row>
    <row r="1143" spans="1:11" x14ac:dyDescent="0.2">
      <c r="A1143" s="1">
        <v>43318</v>
      </c>
      <c r="B1143">
        <v>99.717498779296804</v>
      </c>
      <c r="C1143">
        <v>108.129997253417</v>
      </c>
      <c r="D1143">
        <v>108.419998168945</v>
      </c>
      <c r="E1143">
        <v>107.559997558593</v>
      </c>
      <c r="F1143">
        <v>108.120002746582</v>
      </c>
      <c r="G1143" s="2">
        <v>20265900</v>
      </c>
      <c r="H1143" s="3">
        <f t="shared" si="17"/>
        <v>8.3281671538726343E-4</v>
      </c>
      <c r="J1143" s="3">
        <v>-2.8830400775139431E-3</v>
      </c>
      <c r="K1143" s="3">
        <v>0.35900660169757936</v>
      </c>
    </row>
    <row r="1144" spans="1:11" x14ac:dyDescent="0.2">
      <c r="A1144" s="1">
        <v>43319</v>
      </c>
      <c r="B1144">
        <v>100.40914916992099</v>
      </c>
      <c r="C1144">
        <v>108.879997253417</v>
      </c>
      <c r="D1144">
        <v>109.09999847412099</v>
      </c>
      <c r="E1144">
        <v>108.169998168945</v>
      </c>
      <c r="F1144">
        <v>108.559997558593</v>
      </c>
      <c r="G1144" s="2">
        <v>16080200</v>
      </c>
      <c r="H1144" s="3">
        <f t="shared" si="17"/>
        <v>6.9360984690862715E-3</v>
      </c>
      <c r="J1144" s="3">
        <v>-2.8711579460990455E-3</v>
      </c>
      <c r="K1144" s="3">
        <v>0.3593209682489783</v>
      </c>
    </row>
    <row r="1145" spans="1:11" x14ac:dyDescent="0.2">
      <c r="A1145" s="1">
        <v>43320</v>
      </c>
      <c r="B1145">
        <v>100.971702575683</v>
      </c>
      <c r="C1145">
        <v>109.48999786376901</v>
      </c>
      <c r="D1145">
        <v>109.75</v>
      </c>
      <c r="E1145">
        <v>108.76000213623</v>
      </c>
      <c r="F1145">
        <v>109.33000183105401</v>
      </c>
      <c r="G1145" s="2">
        <v>15487500</v>
      </c>
      <c r="H1145" s="3">
        <f t="shared" si="17"/>
        <v>5.6026110211331304E-3</v>
      </c>
      <c r="J1145" s="3">
        <v>-2.8646093691840901E-3</v>
      </c>
      <c r="K1145" s="3">
        <v>0.35963533480037724</v>
      </c>
    </row>
    <row r="1146" spans="1:11" x14ac:dyDescent="0.2">
      <c r="A1146" s="1">
        <v>43321</v>
      </c>
      <c r="B1146">
        <v>101.137687683105</v>
      </c>
      <c r="C1146">
        <v>109.669998168945</v>
      </c>
      <c r="D1146">
        <v>110.16000366210901</v>
      </c>
      <c r="E1146">
        <v>109.59999847412099</v>
      </c>
      <c r="F1146">
        <v>109.709999084472</v>
      </c>
      <c r="G1146" s="2">
        <v>13677200</v>
      </c>
      <c r="H1146" s="3">
        <f t="shared" si="17"/>
        <v>1.6438774744595985E-3</v>
      </c>
      <c r="J1146" s="3">
        <v>-2.8613716882156526E-3</v>
      </c>
      <c r="K1146" s="3">
        <v>0.35994970135177617</v>
      </c>
    </row>
    <row r="1147" spans="1:11" x14ac:dyDescent="0.2">
      <c r="A1147" s="1">
        <v>43322</v>
      </c>
      <c r="B1147">
        <v>100.51982879638599</v>
      </c>
      <c r="C1147">
        <v>109</v>
      </c>
      <c r="D1147">
        <v>109.69000244140599</v>
      </c>
      <c r="E1147">
        <v>108.379997253417</v>
      </c>
      <c r="F1147">
        <v>109.419998168945</v>
      </c>
      <c r="G1147" s="2">
        <v>18183700</v>
      </c>
      <c r="H1147" s="3">
        <f t="shared" si="17"/>
        <v>-6.10908654205089E-3</v>
      </c>
      <c r="J1147" s="3">
        <v>-2.8529585981932337E-3</v>
      </c>
      <c r="K1147" s="3">
        <v>0.36026406790317511</v>
      </c>
    </row>
    <row r="1148" spans="1:11" x14ac:dyDescent="0.2">
      <c r="A1148" s="1">
        <v>43325</v>
      </c>
      <c r="B1148">
        <v>99.791282653808594</v>
      </c>
      <c r="C1148">
        <v>108.209999084472</v>
      </c>
      <c r="D1148">
        <v>109.58000183105401</v>
      </c>
      <c r="E1148">
        <v>108.09999847412099</v>
      </c>
      <c r="F1148">
        <v>109.23999786376901</v>
      </c>
      <c r="G1148" s="2">
        <v>18472500</v>
      </c>
      <c r="H1148" s="3">
        <f t="shared" si="17"/>
        <v>-7.2477853504222534E-3</v>
      </c>
      <c r="J1148" s="3">
        <v>-2.8301054248726087E-3</v>
      </c>
      <c r="K1148" s="3">
        <v>0.36057843445457405</v>
      </c>
    </row>
    <row r="1149" spans="1:11" x14ac:dyDescent="0.2">
      <c r="A1149" s="1">
        <v>43326</v>
      </c>
      <c r="B1149">
        <v>101.036239624023</v>
      </c>
      <c r="C1149">
        <v>109.559997558593</v>
      </c>
      <c r="D1149">
        <v>109.75</v>
      </c>
      <c r="E1149">
        <v>108.040000915527</v>
      </c>
      <c r="F1149">
        <v>108.559997558593</v>
      </c>
      <c r="G1149" s="2">
        <v>16788300</v>
      </c>
      <c r="H1149" s="3">
        <f t="shared" si="17"/>
        <v>1.2475608461045118E-2</v>
      </c>
      <c r="J1149" s="3">
        <v>-2.8231340773484659E-3</v>
      </c>
      <c r="K1149" s="3">
        <v>0.36089280100597299</v>
      </c>
    </row>
    <row r="1150" spans="1:11" x14ac:dyDescent="0.2">
      <c r="A1150" s="1">
        <v>43327</v>
      </c>
      <c r="B1150">
        <v>99.666145324707003</v>
      </c>
      <c r="C1150">
        <v>107.66000366210901</v>
      </c>
      <c r="D1150">
        <v>108.98999786376901</v>
      </c>
      <c r="E1150">
        <v>106.81999969482401</v>
      </c>
      <c r="F1150">
        <v>108.48999786376901</v>
      </c>
      <c r="G1150" s="2">
        <v>29982800</v>
      </c>
      <c r="H1150" s="3">
        <f t="shared" si="17"/>
        <v>-1.3560424501291801E-2</v>
      </c>
      <c r="J1150" s="3">
        <v>-2.8186698914075548E-3</v>
      </c>
      <c r="K1150" s="3">
        <v>0.36120716755737192</v>
      </c>
    </row>
    <row r="1151" spans="1:11" x14ac:dyDescent="0.2">
      <c r="A1151" s="1">
        <v>43328</v>
      </c>
      <c r="B1151">
        <v>99.647613525390597</v>
      </c>
      <c r="C1151">
        <v>107.639999389648</v>
      </c>
      <c r="D1151">
        <v>108.86000061035099</v>
      </c>
      <c r="E1151">
        <v>107.300003051757</v>
      </c>
      <c r="F1151">
        <v>108.300003051757</v>
      </c>
      <c r="G1151" s="2">
        <v>21384300</v>
      </c>
      <c r="H1151" s="3">
        <f t="shared" si="17"/>
        <v>-1.8593875840211549E-4</v>
      </c>
      <c r="J1151" s="3">
        <v>-2.8094929388341461E-3</v>
      </c>
      <c r="K1151" s="3">
        <v>0.3615215341087708</v>
      </c>
    </row>
    <row r="1152" spans="1:11" x14ac:dyDescent="0.2">
      <c r="A1152" s="1">
        <v>43329</v>
      </c>
      <c r="B1152">
        <v>99.592056274414006</v>
      </c>
      <c r="C1152">
        <v>107.58000183105401</v>
      </c>
      <c r="D1152">
        <v>107.900001525878</v>
      </c>
      <c r="E1152">
        <v>106.69000244140599</v>
      </c>
      <c r="F1152">
        <v>107.36000061035099</v>
      </c>
      <c r="G1152" s="2">
        <v>18061500</v>
      </c>
      <c r="H1152" s="3">
        <f t="shared" si="17"/>
        <v>-5.5753719543349956E-4</v>
      </c>
      <c r="J1152" s="3">
        <v>-2.7768828534012746E-3</v>
      </c>
      <c r="K1152" s="3">
        <v>0.36183590066016974</v>
      </c>
    </row>
    <row r="1153" spans="1:11" x14ac:dyDescent="0.2">
      <c r="A1153" s="1">
        <v>43332</v>
      </c>
      <c r="B1153">
        <v>98.934791564941406</v>
      </c>
      <c r="C1153">
        <v>106.870002746582</v>
      </c>
      <c r="D1153">
        <v>107.900001525878</v>
      </c>
      <c r="E1153">
        <v>106.480003356933</v>
      </c>
      <c r="F1153">
        <v>107.51000213623</v>
      </c>
      <c r="G1153" s="2">
        <v>17914200</v>
      </c>
      <c r="H1153" s="3">
        <f t="shared" si="17"/>
        <v>-6.5995696249265823E-3</v>
      </c>
      <c r="J1153" s="3">
        <v>-2.768787381659088E-3</v>
      </c>
      <c r="K1153" s="3">
        <v>0.36215026721156868</v>
      </c>
    </row>
    <row r="1154" spans="1:11" x14ac:dyDescent="0.2">
      <c r="A1154" s="1">
        <v>43333</v>
      </c>
      <c r="B1154">
        <v>98.110885620117102</v>
      </c>
      <c r="C1154">
        <v>105.980003356933</v>
      </c>
      <c r="D1154">
        <v>107.34999847412099</v>
      </c>
      <c r="E1154">
        <v>105.84999847412099</v>
      </c>
      <c r="F1154">
        <v>106.919998168945</v>
      </c>
      <c r="G1154" s="2">
        <v>22881900</v>
      </c>
      <c r="H1154" s="3">
        <f t="shared" ref="H1154:H1217" si="18">B1154/B1153-1</f>
        <v>-8.3277675304292975E-3</v>
      </c>
      <c r="J1154" s="3">
        <v>-2.7581430491538939E-3</v>
      </c>
      <c r="K1154" s="3">
        <v>0.36246463376296761</v>
      </c>
    </row>
    <row r="1155" spans="1:11" x14ac:dyDescent="0.2">
      <c r="A1155" s="1">
        <v>43334</v>
      </c>
      <c r="B1155">
        <v>99.110679626464801</v>
      </c>
      <c r="C1155">
        <v>107.059997558593</v>
      </c>
      <c r="D1155">
        <v>107.33999633789</v>
      </c>
      <c r="E1155">
        <v>105.77999877929599</v>
      </c>
      <c r="F1155">
        <v>105.84999847412099</v>
      </c>
      <c r="G1155" s="2">
        <v>18000600</v>
      </c>
      <c r="H1155" s="3">
        <f t="shared" si="18"/>
        <v>1.0190449306704652E-2</v>
      </c>
      <c r="J1155" s="3">
        <v>-2.7568471417451779E-3</v>
      </c>
      <c r="K1155" s="3">
        <v>0.36277900031436655</v>
      </c>
    </row>
    <row r="1156" spans="1:11" x14ac:dyDescent="0.2">
      <c r="A1156" s="1">
        <v>43335</v>
      </c>
      <c r="B1156">
        <v>99.573577880859304</v>
      </c>
      <c r="C1156">
        <v>107.559997558593</v>
      </c>
      <c r="D1156">
        <v>108.180000305175</v>
      </c>
      <c r="E1156">
        <v>106.870002746582</v>
      </c>
      <c r="F1156">
        <v>107.150001525878</v>
      </c>
      <c r="G1156" s="2">
        <v>18167700</v>
      </c>
      <c r="H1156" s="3">
        <f t="shared" si="18"/>
        <v>4.6705184157660451E-3</v>
      </c>
      <c r="J1156" s="3">
        <v>-2.7146837454637973E-3</v>
      </c>
      <c r="K1156" s="3">
        <v>0.36309336686576549</v>
      </c>
    </row>
    <row r="1157" spans="1:11" x14ac:dyDescent="0.2">
      <c r="A1157" s="1">
        <v>43336</v>
      </c>
      <c r="B1157">
        <v>100.351196289062</v>
      </c>
      <c r="C1157">
        <v>108.400001525878</v>
      </c>
      <c r="D1157">
        <v>108.559997558593</v>
      </c>
      <c r="E1157">
        <v>107.559997558593</v>
      </c>
      <c r="F1157">
        <v>107.669998168945</v>
      </c>
      <c r="G1157" s="2">
        <v>17234000</v>
      </c>
      <c r="H1157" s="3">
        <f t="shared" si="18"/>
        <v>7.8094854553998339E-3</v>
      </c>
      <c r="J1157" s="3">
        <v>-2.7121535581198231E-3</v>
      </c>
      <c r="K1157" s="3">
        <v>0.36340773341716442</v>
      </c>
    </row>
    <row r="1158" spans="1:11" x14ac:dyDescent="0.2">
      <c r="A1158" s="1">
        <v>43339</v>
      </c>
      <c r="B1158">
        <v>101.46208190917901</v>
      </c>
      <c r="C1158">
        <v>109.59999847412099</v>
      </c>
      <c r="D1158">
        <v>109.639999389648</v>
      </c>
      <c r="E1158">
        <v>108.51000213623</v>
      </c>
      <c r="F1158">
        <v>109.26999664306599</v>
      </c>
      <c r="G1158" s="2">
        <v>19662300</v>
      </c>
      <c r="H1158" s="3">
        <f t="shared" si="18"/>
        <v>1.1069978846262041E-2</v>
      </c>
      <c r="J1158" s="3">
        <v>-2.711315199868336E-3</v>
      </c>
      <c r="K1158" s="3">
        <v>0.36372209996856336</v>
      </c>
    </row>
    <row r="1159" spans="1:11" x14ac:dyDescent="0.2">
      <c r="A1159" s="1">
        <v>43340</v>
      </c>
      <c r="B1159">
        <v>102.073097229003</v>
      </c>
      <c r="C1159">
        <v>110.26000213623</v>
      </c>
      <c r="D1159">
        <v>110.5</v>
      </c>
      <c r="E1159">
        <v>109.790000915527</v>
      </c>
      <c r="F1159">
        <v>109.94000244140599</v>
      </c>
      <c r="G1159" s="2">
        <v>19151500</v>
      </c>
      <c r="H1159" s="3">
        <f t="shared" si="18"/>
        <v>6.0221050891793304E-3</v>
      </c>
      <c r="J1159" s="3">
        <v>-2.6931700125630842E-3</v>
      </c>
      <c r="K1159" s="3">
        <v>0.3640364665199623</v>
      </c>
    </row>
    <row r="1160" spans="1:11" x14ac:dyDescent="0.2">
      <c r="A1160" s="1">
        <v>43341</v>
      </c>
      <c r="B1160">
        <v>103.702415466308</v>
      </c>
      <c r="C1160">
        <v>112.01999664306599</v>
      </c>
      <c r="D1160">
        <v>112.02999877929599</v>
      </c>
      <c r="E1160">
        <v>110.26999664306599</v>
      </c>
      <c r="F1160">
        <v>110.449996948242</v>
      </c>
      <c r="G1160" s="2">
        <v>20818000</v>
      </c>
      <c r="H1160" s="3">
        <f t="shared" si="18"/>
        <v>1.5962269016385422E-2</v>
      </c>
      <c r="J1160" s="3">
        <v>-2.6873730630789794E-3</v>
      </c>
      <c r="K1160" s="3">
        <v>0.36435083307136118</v>
      </c>
    </row>
    <row r="1161" spans="1:11" x14ac:dyDescent="0.2">
      <c r="A1161" s="1">
        <v>43342</v>
      </c>
      <c r="B1161">
        <v>103.63761901855401</v>
      </c>
      <c r="C1161">
        <v>111.949996948242</v>
      </c>
      <c r="D1161">
        <v>112.61000061035099</v>
      </c>
      <c r="E1161">
        <v>111.44000244140599</v>
      </c>
      <c r="F1161">
        <v>111.669998168945</v>
      </c>
      <c r="G1161" s="2">
        <v>22798700</v>
      </c>
      <c r="H1161" s="3">
        <f t="shared" si="18"/>
        <v>-6.2483065088336787E-4</v>
      </c>
      <c r="J1161" s="3">
        <v>-2.6868674317728214E-3</v>
      </c>
      <c r="K1161" s="3">
        <v>0.36466519962276012</v>
      </c>
    </row>
    <row r="1162" spans="1:11" x14ac:dyDescent="0.2">
      <c r="A1162" s="1">
        <v>43343</v>
      </c>
      <c r="B1162">
        <v>103.98939514160099</v>
      </c>
      <c r="C1162">
        <v>112.33000183105401</v>
      </c>
      <c r="D1162">
        <v>112.77999877929599</v>
      </c>
      <c r="E1162">
        <v>111.51999664306599</v>
      </c>
      <c r="F1162">
        <v>111.69000244140599</v>
      </c>
      <c r="G1162" s="2">
        <v>23222700</v>
      </c>
      <c r="H1162" s="3">
        <f t="shared" si="18"/>
        <v>3.3942898956798029E-3</v>
      </c>
      <c r="J1162" s="3">
        <v>-2.672398382647434E-3</v>
      </c>
      <c r="K1162" s="3">
        <v>0.36497956617415905</v>
      </c>
    </row>
    <row r="1163" spans="1:11" x14ac:dyDescent="0.2">
      <c r="A1163" s="1">
        <v>43347</v>
      </c>
      <c r="B1163">
        <v>103.41542816162099</v>
      </c>
      <c r="C1163">
        <v>111.709999084472</v>
      </c>
      <c r="D1163">
        <v>111.959999084472</v>
      </c>
      <c r="E1163">
        <v>110.220001220703</v>
      </c>
      <c r="F1163">
        <v>110.84999847412099</v>
      </c>
      <c r="G1163" s="2">
        <v>22634600</v>
      </c>
      <c r="H1163" s="3">
        <f t="shared" si="18"/>
        <v>-5.5194760888688243E-3</v>
      </c>
      <c r="J1163" s="3">
        <v>-2.6603879804701913E-3</v>
      </c>
      <c r="K1163" s="3">
        <v>0.36529393272555799</v>
      </c>
    </row>
    <row r="1164" spans="1:11" x14ac:dyDescent="0.2">
      <c r="A1164" s="1">
        <v>43348</v>
      </c>
      <c r="B1164">
        <v>100.434509277343</v>
      </c>
      <c r="C1164">
        <v>108.48999786376901</v>
      </c>
      <c r="D1164">
        <v>111.419998168945</v>
      </c>
      <c r="E1164">
        <v>108.09999847412099</v>
      </c>
      <c r="F1164">
        <v>111.01000213623</v>
      </c>
      <c r="G1164" s="2">
        <v>32872400</v>
      </c>
      <c r="H1164" s="3">
        <f t="shared" si="18"/>
        <v>-2.8824701858017887E-2</v>
      </c>
      <c r="J1164" s="3">
        <v>-2.6487221011463058E-3</v>
      </c>
      <c r="K1164" s="3">
        <v>0.36560829927695693</v>
      </c>
    </row>
    <row r="1165" spans="1:11" x14ac:dyDescent="0.2">
      <c r="A1165" s="1">
        <v>43349</v>
      </c>
      <c r="B1165">
        <v>100.665954589843</v>
      </c>
      <c r="C1165">
        <v>108.73999786376901</v>
      </c>
      <c r="D1165">
        <v>108.98999786376901</v>
      </c>
      <c r="E1165">
        <v>107.51000213623</v>
      </c>
      <c r="F1165">
        <v>108.25</v>
      </c>
      <c r="G1165" s="2">
        <v>23477600</v>
      </c>
      <c r="H1165" s="3">
        <f t="shared" si="18"/>
        <v>2.3044401188925256E-3</v>
      </c>
      <c r="J1165" s="3">
        <v>-2.6358473512410052E-3</v>
      </c>
      <c r="K1165" s="3">
        <v>0.36592266582835586</v>
      </c>
    </row>
    <row r="1166" spans="1:11" x14ac:dyDescent="0.2">
      <c r="A1166" s="1">
        <v>43350</v>
      </c>
      <c r="B1166">
        <v>100.17530059814401</v>
      </c>
      <c r="C1166">
        <v>108.209999084472</v>
      </c>
      <c r="D1166">
        <v>108.720001220703</v>
      </c>
      <c r="E1166">
        <v>107.230003356933</v>
      </c>
      <c r="F1166">
        <v>108.230003356933</v>
      </c>
      <c r="G1166" s="2">
        <v>22498600</v>
      </c>
      <c r="H1166" s="3">
        <f t="shared" si="18"/>
        <v>-4.8740807525059493E-3</v>
      </c>
      <c r="J1166" s="3">
        <v>-2.6341337213446891E-3</v>
      </c>
      <c r="K1166" s="3">
        <v>0.3662370323797548</v>
      </c>
    </row>
    <row r="1167" spans="1:11" x14ac:dyDescent="0.2">
      <c r="A1167" s="1">
        <v>43353</v>
      </c>
      <c r="B1167">
        <v>101.258422851562</v>
      </c>
      <c r="C1167">
        <v>109.379997253417</v>
      </c>
      <c r="D1167">
        <v>109.639999389648</v>
      </c>
      <c r="E1167">
        <v>108.36000061035099</v>
      </c>
      <c r="F1167">
        <v>108.83999633789</v>
      </c>
      <c r="G1167" s="2">
        <v>20727900</v>
      </c>
      <c r="H1167" s="3">
        <f t="shared" si="18"/>
        <v>1.0812268562716554E-2</v>
      </c>
      <c r="J1167" s="3">
        <v>-2.6329355769060259E-3</v>
      </c>
      <c r="K1167" s="3">
        <v>0.36655139893115374</v>
      </c>
    </row>
    <row r="1168" spans="1:11" x14ac:dyDescent="0.2">
      <c r="A1168" s="1">
        <v>43354</v>
      </c>
      <c r="B1168">
        <v>102.98031616210901</v>
      </c>
      <c r="C1168">
        <v>111.23999786376901</v>
      </c>
      <c r="D1168">
        <v>111.58999633789</v>
      </c>
      <c r="E1168">
        <v>108.889999389648</v>
      </c>
      <c r="F1168">
        <v>108.900001525878</v>
      </c>
      <c r="G1168" s="2">
        <v>24301800</v>
      </c>
      <c r="H1168" s="3">
        <f t="shared" si="18"/>
        <v>1.7004939066364688E-2</v>
      </c>
      <c r="J1168" s="3">
        <v>-2.6312618468442572E-3</v>
      </c>
      <c r="K1168" s="3">
        <v>0.36686576548255267</v>
      </c>
    </row>
    <row r="1169" spans="1:11" x14ac:dyDescent="0.2">
      <c r="A1169" s="1">
        <v>43355</v>
      </c>
      <c r="B1169">
        <v>103.41542816162099</v>
      </c>
      <c r="C1169">
        <v>111.709999084472</v>
      </c>
      <c r="D1169">
        <v>111.84999847412099</v>
      </c>
      <c r="E1169">
        <v>110.51000213623</v>
      </c>
      <c r="F1169">
        <v>111.430000305175</v>
      </c>
      <c r="G1169" s="2">
        <v>18891100</v>
      </c>
      <c r="H1169" s="3">
        <f t="shared" si="18"/>
        <v>4.225195801759396E-3</v>
      </c>
      <c r="J1169" s="3">
        <v>-2.6159291417334751E-3</v>
      </c>
      <c r="K1169" s="3">
        <v>0.36718013203395161</v>
      </c>
    </row>
    <row r="1170" spans="1:11" x14ac:dyDescent="0.2">
      <c r="A1170" s="1">
        <v>43356</v>
      </c>
      <c r="B1170">
        <v>104.526321411132</v>
      </c>
      <c r="C1170">
        <v>112.91000366210901</v>
      </c>
      <c r="D1170">
        <v>113.730003356933</v>
      </c>
      <c r="E1170">
        <v>112.120002746582</v>
      </c>
      <c r="F1170">
        <v>112.120002746582</v>
      </c>
      <c r="G1170" s="2">
        <v>26055600</v>
      </c>
      <c r="H1170" s="3">
        <f t="shared" si="18"/>
        <v>1.074204564308201E-2</v>
      </c>
      <c r="J1170" s="3">
        <v>-2.6127212126264565E-3</v>
      </c>
      <c r="K1170" s="3">
        <v>0.36749449858535049</v>
      </c>
    </row>
    <row r="1171" spans="1:11" x14ac:dyDescent="0.2">
      <c r="A1171" s="1">
        <v>43357</v>
      </c>
      <c r="B1171">
        <v>104.952178955078</v>
      </c>
      <c r="C1171">
        <v>113.370002746582</v>
      </c>
      <c r="D1171">
        <v>113.730003356933</v>
      </c>
      <c r="E1171">
        <v>112.44000244140599</v>
      </c>
      <c r="F1171">
        <v>113.36000061035099</v>
      </c>
      <c r="G1171" s="2">
        <v>19122300</v>
      </c>
      <c r="H1171" s="3">
        <f t="shared" si="18"/>
        <v>4.0741656091671796E-3</v>
      </c>
      <c r="J1171" s="3">
        <v>-2.6086293883524903E-3</v>
      </c>
      <c r="K1171" s="3">
        <v>0.36780886513674943</v>
      </c>
    </row>
    <row r="1172" spans="1:11" x14ac:dyDescent="0.2">
      <c r="A1172" s="1">
        <v>43360</v>
      </c>
      <c r="B1172">
        <v>103.81349182128901</v>
      </c>
      <c r="C1172">
        <v>112.139999389648</v>
      </c>
      <c r="D1172">
        <v>113.699996948242</v>
      </c>
      <c r="E1172">
        <v>111.86000061035099</v>
      </c>
      <c r="F1172">
        <v>113.69000244140599</v>
      </c>
      <c r="G1172" s="2">
        <v>20736500</v>
      </c>
      <c r="H1172" s="3">
        <f t="shared" si="18"/>
        <v>-1.0849580686422722E-2</v>
      </c>
      <c r="J1172" s="3">
        <v>-2.6082631282052793E-3</v>
      </c>
      <c r="K1172" s="3">
        <v>0.36812323168814837</v>
      </c>
    </row>
    <row r="1173" spans="1:11" x14ac:dyDescent="0.2">
      <c r="A1173" s="1">
        <v>43361</v>
      </c>
      <c r="B1173">
        <v>104.80403137207</v>
      </c>
      <c r="C1173">
        <v>113.209999084472</v>
      </c>
      <c r="D1173">
        <v>113.699996948242</v>
      </c>
      <c r="E1173">
        <v>111.720001220703</v>
      </c>
      <c r="F1173">
        <v>112.19000244140599</v>
      </c>
      <c r="G1173" s="2">
        <v>22170900</v>
      </c>
      <c r="H1173" s="3">
        <f t="shared" si="18"/>
        <v>9.5415300401047176E-3</v>
      </c>
      <c r="J1173" s="3">
        <v>-2.5897178402800591E-3</v>
      </c>
      <c r="K1173" s="3">
        <v>0.3684375982395473</v>
      </c>
    </row>
    <row r="1174" spans="1:11" x14ac:dyDescent="0.2">
      <c r="A1174" s="1">
        <v>43362</v>
      </c>
      <c r="B1174">
        <v>103.406158447265</v>
      </c>
      <c r="C1174">
        <v>111.699996948242</v>
      </c>
      <c r="D1174">
        <v>113.31999969482401</v>
      </c>
      <c r="E1174">
        <v>111.040000915527</v>
      </c>
      <c r="F1174">
        <v>113.050003051757</v>
      </c>
      <c r="G1174" s="2">
        <v>21728400</v>
      </c>
      <c r="H1174" s="3">
        <f t="shared" si="18"/>
        <v>-1.3337969031385288E-2</v>
      </c>
      <c r="J1174" s="3">
        <v>-2.586617986497175E-3</v>
      </c>
      <c r="K1174" s="3">
        <v>0.36875196479094624</v>
      </c>
    </row>
    <row r="1175" spans="1:11" x14ac:dyDescent="0.2">
      <c r="A1175" s="1">
        <v>43363</v>
      </c>
      <c r="B1175">
        <v>105.137313842773</v>
      </c>
      <c r="C1175">
        <v>113.56999969482401</v>
      </c>
      <c r="D1175">
        <v>113.800003051757</v>
      </c>
      <c r="E1175">
        <v>111.930000305175</v>
      </c>
      <c r="F1175">
        <v>112.27999877929599</v>
      </c>
      <c r="G1175" s="2">
        <v>23714500</v>
      </c>
      <c r="H1175" s="3">
        <f t="shared" si="18"/>
        <v>1.6741318133299155E-2</v>
      </c>
      <c r="J1175" s="3">
        <v>-2.5750570609235357E-3</v>
      </c>
      <c r="K1175" s="3">
        <v>0.36906633134234518</v>
      </c>
    </row>
    <row r="1176" spans="1:11" x14ac:dyDescent="0.2">
      <c r="A1176" s="1">
        <v>43364</v>
      </c>
      <c r="B1176">
        <v>105.776084899902</v>
      </c>
      <c r="C1176">
        <v>114.26000213623</v>
      </c>
      <c r="D1176">
        <v>115.290000915527</v>
      </c>
      <c r="E1176">
        <v>113.51000213623</v>
      </c>
      <c r="F1176">
        <v>114</v>
      </c>
      <c r="G1176" s="2">
        <v>71229700</v>
      </c>
      <c r="H1176" s="3">
        <f t="shared" si="18"/>
        <v>6.0755885211625227E-3</v>
      </c>
      <c r="J1176" s="3">
        <v>-2.5697140990573741E-3</v>
      </c>
      <c r="K1176" s="3">
        <v>0.36938069789374411</v>
      </c>
    </row>
    <row r="1177" spans="1:11" x14ac:dyDescent="0.2">
      <c r="A1177" s="1">
        <v>43367</v>
      </c>
      <c r="B1177">
        <v>106.155632019042</v>
      </c>
      <c r="C1177">
        <v>114.669998168945</v>
      </c>
      <c r="D1177">
        <v>114.900001525878</v>
      </c>
      <c r="E1177">
        <v>112.220001220703</v>
      </c>
      <c r="F1177">
        <v>113.02999877929599</v>
      </c>
      <c r="G1177" s="2">
        <v>27334500</v>
      </c>
      <c r="H1177" s="3">
        <f t="shared" si="18"/>
        <v>3.5882129641986449E-3</v>
      </c>
      <c r="J1177" s="3">
        <v>-2.5650410893970355E-3</v>
      </c>
      <c r="K1177" s="3">
        <v>0.36969506444514305</v>
      </c>
    </row>
    <row r="1178" spans="1:11" x14ac:dyDescent="0.2">
      <c r="A1178" s="1">
        <v>43368</v>
      </c>
      <c r="B1178">
        <v>105.95196533203099</v>
      </c>
      <c r="C1178">
        <v>114.449996948242</v>
      </c>
      <c r="D1178">
        <v>115.09999847412099</v>
      </c>
      <c r="E1178">
        <v>113.75</v>
      </c>
      <c r="F1178">
        <v>114.800003051757</v>
      </c>
      <c r="G1178" s="2">
        <v>22668000</v>
      </c>
      <c r="H1178" s="3">
        <f t="shared" si="18"/>
        <v>-1.9185669487086221E-3</v>
      </c>
      <c r="J1178" s="3">
        <v>-2.5291105542301073E-3</v>
      </c>
      <c r="K1178" s="3">
        <v>0.37000943099654199</v>
      </c>
    </row>
    <row r="1179" spans="1:11" x14ac:dyDescent="0.2">
      <c r="A1179" s="1">
        <v>43369</v>
      </c>
      <c r="B1179">
        <v>105.516891479492</v>
      </c>
      <c r="C1179">
        <v>113.980003356933</v>
      </c>
      <c r="D1179">
        <v>115.059997558593</v>
      </c>
      <c r="E1179">
        <v>113.73999786376901</v>
      </c>
      <c r="F1179">
        <v>114.470001220703</v>
      </c>
      <c r="G1179" s="2">
        <v>19352000</v>
      </c>
      <c r="H1179" s="3">
        <f t="shared" si="18"/>
        <v>-4.106331120669271E-3</v>
      </c>
      <c r="J1179" s="3">
        <v>-2.5270219220613344E-3</v>
      </c>
      <c r="K1179" s="3">
        <v>0.37032379754794092</v>
      </c>
    </row>
    <row r="1180" spans="1:11" x14ac:dyDescent="0.2">
      <c r="A1180" s="1">
        <v>43370</v>
      </c>
      <c r="B1180">
        <v>105.91496276855401</v>
      </c>
      <c r="C1180">
        <v>114.41000366210901</v>
      </c>
      <c r="D1180">
        <v>114.91000366210901</v>
      </c>
      <c r="E1180">
        <v>114.199996948242</v>
      </c>
      <c r="F1180">
        <v>114.77999877929599</v>
      </c>
      <c r="G1180" s="2">
        <v>19091300</v>
      </c>
      <c r="H1180" s="3">
        <f t="shared" si="18"/>
        <v>3.7725835501831728E-3</v>
      </c>
      <c r="J1180" s="3">
        <v>-2.5229219932502156E-3</v>
      </c>
      <c r="K1180" s="3">
        <v>0.37063816409933981</v>
      </c>
    </row>
    <row r="1181" spans="1:11" x14ac:dyDescent="0.2">
      <c r="A1181" s="1">
        <v>43371</v>
      </c>
      <c r="B1181">
        <v>105.8779296875</v>
      </c>
      <c r="C1181">
        <v>114.370002746582</v>
      </c>
      <c r="D1181">
        <v>114.56999969482401</v>
      </c>
      <c r="E1181">
        <v>113.680000305175</v>
      </c>
      <c r="F1181">
        <v>114.19000244140599</v>
      </c>
      <c r="G1181" s="2">
        <v>21647800</v>
      </c>
      <c r="H1181" s="3">
        <f t="shared" si="18"/>
        <v>-3.4964919106783565E-4</v>
      </c>
      <c r="J1181" s="3">
        <v>-2.5227417493315363E-3</v>
      </c>
      <c r="K1181" s="3">
        <v>0.37095253065073874</v>
      </c>
    </row>
    <row r="1182" spans="1:11" x14ac:dyDescent="0.2">
      <c r="A1182" s="1">
        <v>43374</v>
      </c>
      <c r="B1182">
        <v>107.02585601806599</v>
      </c>
      <c r="C1182">
        <v>115.61000061035099</v>
      </c>
      <c r="D1182">
        <v>115.680000305175</v>
      </c>
      <c r="E1182">
        <v>114.730003356933</v>
      </c>
      <c r="F1182">
        <v>114.75</v>
      </c>
      <c r="G1182" s="2">
        <v>18883100</v>
      </c>
      <c r="H1182" s="3">
        <f t="shared" si="18"/>
        <v>1.0841979380916467E-2</v>
      </c>
      <c r="J1182" s="3">
        <v>-2.5216041172397841E-3</v>
      </c>
      <c r="K1182" s="3">
        <v>0.37126689720213768</v>
      </c>
    </row>
    <row r="1183" spans="1:11" x14ac:dyDescent="0.2">
      <c r="A1183" s="1">
        <v>43375</v>
      </c>
      <c r="B1183">
        <v>106.59999847412099</v>
      </c>
      <c r="C1183">
        <v>115.150001525878</v>
      </c>
      <c r="D1183">
        <v>115.83999633789</v>
      </c>
      <c r="E1183">
        <v>114.44000244140599</v>
      </c>
      <c r="F1183">
        <v>115.300003051757</v>
      </c>
      <c r="G1183" s="2">
        <v>20787200</v>
      </c>
      <c r="H1183" s="3">
        <f t="shared" si="18"/>
        <v>-3.9790155368915059E-3</v>
      </c>
      <c r="J1183" s="3">
        <v>-2.5192091657226801E-3</v>
      </c>
      <c r="K1183" s="3">
        <v>0.37158126375353662</v>
      </c>
    </row>
    <row r="1184" spans="1:11" x14ac:dyDescent="0.2">
      <c r="A1184" s="1">
        <v>43376</v>
      </c>
      <c r="B1184">
        <v>106.618507385253</v>
      </c>
      <c r="C1184">
        <v>115.169998168945</v>
      </c>
      <c r="D1184">
        <v>116.180000305175</v>
      </c>
      <c r="E1184">
        <v>114.930000305175</v>
      </c>
      <c r="F1184">
        <v>115.419998168945</v>
      </c>
      <c r="G1184" s="2">
        <v>16648000</v>
      </c>
      <c r="H1184" s="3">
        <f t="shared" si="18"/>
        <v>1.7362956282318542E-4</v>
      </c>
      <c r="J1184" s="3">
        <v>-2.5158794456813238E-3</v>
      </c>
      <c r="K1184" s="3">
        <v>0.37189563030493555</v>
      </c>
    </row>
    <row r="1185" spans="1:11" x14ac:dyDescent="0.2">
      <c r="A1185" s="1">
        <v>43377</v>
      </c>
      <c r="B1185">
        <v>104.415229797363</v>
      </c>
      <c r="C1185">
        <v>112.790000915527</v>
      </c>
      <c r="D1185">
        <v>114.76000213623</v>
      </c>
      <c r="E1185">
        <v>111.629997253417</v>
      </c>
      <c r="F1185">
        <v>114.61000061035099</v>
      </c>
      <c r="G1185" s="2">
        <v>34821700</v>
      </c>
      <c r="H1185" s="3">
        <f t="shared" si="18"/>
        <v>-2.0665057520724117E-2</v>
      </c>
      <c r="J1185" s="3">
        <v>-2.4604700095153254E-3</v>
      </c>
      <c r="K1185" s="3">
        <v>0.37220999685633449</v>
      </c>
    </row>
    <row r="1186" spans="1:11" x14ac:dyDescent="0.2">
      <c r="A1186" s="1">
        <v>43378</v>
      </c>
      <c r="B1186">
        <v>103.804237365722</v>
      </c>
      <c r="C1186">
        <v>112.129997253417</v>
      </c>
      <c r="D1186">
        <v>113.169998168945</v>
      </c>
      <c r="E1186">
        <v>110.639999389648</v>
      </c>
      <c r="F1186">
        <v>112.629997253417</v>
      </c>
      <c r="G1186" s="2">
        <v>29068900</v>
      </c>
      <c r="H1186" s="3">
        <f t="shared" si="18"/>
        <v>-5.8515643055782052E-3</v>
      </c>
      <c r="J1186" s="3">
        <v>-2.4595783879952648E-3</v>
      </c>
      <c r="K1186" s="3">
        <v>0.37252436340773343</v>
      </c>
    </row>
    <row r="1187" spans="1:11" x14ac:dyDescent="0.2">
      <c r="A1187" s="1">
        <v>43381</v>
      </c>
      <c r="B1187">
        <v>102.61927795410099</v>
      </c>
      <c r="C1187">
        <v>110.84999847412099</v>
      </c>
      <c r="D1187">
        <v>112.02999877929599</v>
      </c>
      <c r="E1187">
        <v>109.33999633789</v>
      </c>
      <c r="F1187">
        <v>111.66000366210901</v>
      </c>
      <c r="G1187" s="2">
        <v>29640600</v>
      </c>
      <c r="H1187" s="3">
        <f t="shared" si="18"/>
        <v>-1.1415327945102804E-2</v>
      </c>
      <c r="J1187" s="3">
        <v>-2.4283400469581329E-3</v>
      </c>
      <c r="K1187" s="3">
        <v>0.37283872995913236</v>
      </c>
    </row>
    <row r="1188" spans="1:11" x14ac:dyDescent="0.2">
      <c r="A1188" s="1">
        <v>43382</v>
      </c>
      <c r="B1188">
        <v>103.924591064453</v>
      </c>
      <c r="C1188">
        <v>112.26000213623</v>
      </c>
      <c r="D1188">
        <v>113.08000183105401</v>
      </c>
      <c r="E1188">
        <v>110.800003051757</v>
      </c>
      <c r="F1188">
        <v>111.139999389648</v>
      </c>
      <c r="G1188" s="2">
        <v>26198600</v>
      </c>
      <c r="H1188" s="3">
        <f t="shared" si="18"/>
        <v>1.2719959995585173E-2</v>
      </c>
      <c r="J1188" s="3">
        <v>-2.4199385975097742E-3</v>
      </c>
      <c r="K1188" s="3">
        <v>0.3731530965105313</v>
      </c>
    </row>
    <row r="1189" spans="1:11" x14ac:dyDescent="0.2">
      <c r="A1189" s="1">
        <v>43383</v>
      </c>
      <c r="B1189">
        <v>98.277534484863196</v>
      </c>
      <c r="C1189">
        <v>106.16000366210901</v>
      </c>
      <c r="D1189">
        <v>111.5</v>
      </c>
      <c r="E1189">
        <v>105.790000915527</v>
      </c>
      <c r="F1189">
        <v>111.23999786376901</v>
      </c>
      <c r="G1189" s="2">
        <v>61376300</v>
      </c>
      <c r="H1189" s="3">
        <f t="shared" si="18"/>
        <v>-5.4338020691248601E-2</v>
      </c>
      <c r="J1189" s="3">
        <v>-2.4067725511695004E-3</v>
      </c>
      <c r="K1189" s="3">
        <v>0.37346746306193024</v>
      </c>
    </row>
    <row r="1190" spans="1:11" x14ac:dyDescent="0.2">
      <c r="A1190" s="1">
        <v>43384</v>
      </c>
      <c r="B1190">
        <v>98.046051025390597</v>
      </c>
      <c r="C1190">
        <v>105.91000366210901</v>
      </c>
      <c r="D1190">
        <v>108.930000305175</v>
      </c>
      <c r="E1190">
        <v>104.199996948242</v>
      </c>
      <c r="F1190">
        <v>105.34999847412099</v>
      </c>
      <c r="G1190" s="2">
        <v>63904300</v>
      </c>
      <c r="H1190" s="3">
        <f t="shared" si="18"/>
        <v>-2.3554056446974947E-3</v>
      </c>
      <c r="J1190" s="3">
        <v>-2.4040133560176979E-3</v>
      </c>
      <c r="K1190" s="3">
        <v>0.37378182961332912</v>
      </c>
    </row>
    <row r="1191" spans="1:11" x14ac:dyDescent="0.2">
      <c r="A1191" s="1">
        <v>43385</v>
      </c>
      <c r="B1191">
        <v>101.434310913085</v>
      </c>
      <c r="C1191">
        <v>109.56999969482401</v>
      </c>
      <c r="D1191">
        <v>111.23999786376901</v>
      </c>
      <c r="E1191">
        <v>107.120002746582</v>
      </c>
      <c r="F1191">
        <v>109.01000213623</v>
      </c>
      <c r="G1191" s="2">
        <v>47742100</v>
      </c>
      <c r="H1191" s="3">
        <f t="shared" si="18"/>
        <v>3.4557841465914452E-2</v>
      </c>
      <c r="J1191" s="3">
        <v>-2.3993026969799658E-3</v>
      </c>
      <c r="K1191" s="3">
        <v>0.37409619616472806</v>
      </c>
    </row>
    <row r="1192" spans="1:11" x14ac:dyDescent="0.2">
      <c r="A1192" s="1">
        <v>43388</v>
      </c>
      <c r="B1192">
        <v>99.610603332519503</v>
      </c>
      <c r="C1192">
        <v>107.59999847412099</v>
      </c>
      <c r="D1192">
        <v>109.480003356933</v>
      </c>
      <c r="E1192">
        <v>106.949996948242</v>
      </c>
      <c r="F1192">
        <v>108.91000366210901</v>
      </c>
      <c r="G1192" s="2">
        <v>32068100</v>
      </c>
      <c r="H1192" s="3">
        <f t="shared" si="18"/>
        <v>-1.7979198203733615E-2</v>
      </c>
      <c r="J1192" s="3">
        <v>-2.3866034142774328E-3</v>
      </c>
      <c r="K1192" s="3">
        <v>0.37441056271612699</v>
      </c>
    </row>
    <row r="1193" spans="1:11" x14ac:dyDescent="0.2">
      <c r="A1193" s="1">
        <v>43389</v>
      </c>
      <c r="B1193">
        <v>102.75814819335901</v>
      </c>
      <c r="C1193">
        <v>111</v>
      </c>
      <c r="D1193">
        <v>111.41000366210901</v>
      </c>
      <c r="E1193">
        <v>108.949996948242</v>
      </c>
      <c r="F1193">
        <v>109.540000915527</v>
      </c>
      <c r="G1193" s="2">
        <v>31610200</v>
      </c>
      <c r="H1193" s="3">
        <f t="shared" si="18"/>
        <v>3.1598492083542373E-2</v>
      </c>
      <c r="J1193" s="3">
        <v>-2.3822621696140134E-3</v>
      </c>
      <c r="K1193" s="3">
        <v>0.37472492926752593</v>
      </c>
    </row>
    <row r="1194" spans="1:11" x14ac:dyDescent="0.2">
      <c r="A1194" s="1">
        <v>43390</v>
      </c>
      <c r="B1194">
        <v>102.48966979980401</v>
      </c>
      <c r="C1194">
        <v>110.709999084472</v>
      </c>
      <c r="D1194">
        <v>111.809997558593</v>
      </c>
      <c r="E1194">
        <v>109.550003051757</v>
      </c>
      <c r="F1194">
        <v>111.680000305175</v>
      </c>
      <c r="G1194" s="2">
        <v>26548200</v>
      </c>
      <c r="H1194" s="3">
        <f t="shared" si="18"/>
        <v>-2.6127212126264565E-3</v>
      </c>
      <c r="J1194" s="3">
        <v>-2.3675728043287547E-3</v>
      </c>
      <c r="K1194" s="3">
        <v>0.37503929581892487</v>
      </c>
    </row>
    <row r="1195" spans="1:11" x14ac:dyDescent="0.2">
      <c r="A1195" s="1">
        <v>43391</v>
      </c>
      <c r="B1195">
        <v>100.44377136230401</v>
      </c>
      <c r="C1195">
        <v>108.5</v>
      </c>
      <c r="D1195">
        <v>110.52999877929599</v>
      </c>
      <c r="E1195">
        <v>107.83000183105401</v>
      </c>
      <c r="F1195">
        <v>110.09999847412099</v>
      </c>
      <c r="G1195" s="2">
        <v>32506200</v>
      </c>
      <c r="H1195" s="3">
        <f t="shared" si="18"/>
        <v>-1.9961996574838325E-2</v>
      </c>
      <c r="J1195" s="3">
        <v>-2.3665750088407433E-3</v>
      </c>
      <c r="K1195" s="3">
        <v>0.3753536623703238</v>
      </c>
    </row>
    <row r="1196" spans="1:11" x14ac:dyDescent="0.2">
      <c r="A1196" s="1">
        <v>43392</v>
      </c>
      <c r="B1196">
        <v>100.59188842773401</v>
      </c>
      <c r="C1196">
        <v>108.66000366210901</v>
      </c>
      <c r="D1196">
        <v>110.86000061035099</v>
      </c>
      <c r="E1196">
        <v>108.209999084472</v>
      </c>
      <c r="F1196">
        <v>108.930000305175</v>
      </c>
      <c r="G1196" s="2">
        <v>32785500</v>
      </c>
      <c r="H1196" s="3">
        <f t="shared" si="18"/>
        <v>1.4746266833782773E-3</v>
      </c>
      <c r="J1196" s="3">
        <v>-2.3554056446974947E-3</v>
      </c>
      <c r="K1196" s="3">
        <v>0.37566802892172274</v>
      </c>
    </row>
    <row r="1197" spans="1:11" x14ac:dyDescent="0.2">
      <c r="A1197" s="1">
        <v>43395</v>
      </c>
      <c r="B1197">
        <v>101.489845275878</v>
      </c>
      <c r="C1197">
        <v>109.629997253417</v>
      </c>
      <c r="D1197">
        <v>110.540000915527</v>
      </c>
      <c r="E1197">
        <v>108.23999786376901</v>
      </c>
      <c r="F1197">
        <v>109.31999969482401</v>
      </c>
      <c r="G1197" s="2">
        <v>26545600</v>
      </c>
      <c r="H1197" s="3">
        <f t="shared" si="18"/>
        <v>8.9267321866524085E-3</v>
      </c>
      <c r="J1197" s="3">
        <v>-2.3553438799056581E-3</v>
      </c>
      <c r="K1197" s="3">
        <v>0.37598239547312168</v>
      </c>
    </row>
    <row r="1198" spans="1:11" x14ac:dyDescent="0.2">
      <c r="A1198" s="1">
        <v>43396</v>
      </c>
      <c r="B1198">
        <v>100.07346343994099</v>
      </c>
      <c r="C1198">
        <v>108.09999847412099</v>
      </c>
      <c r="D1198">
        <v>108.970001220703</v>
      </c>
      <c r="E1198">
        <v>105.11000061035099</v>
      </c>
      <c r="F1198">
        <v>107.76999664306599</v>
      </c>
      <c r="G1198" s="2">
        <v>43770400</v>
      </c>
      <c r="H1198" s="3">
        <f t="shared" si="18"/>
        <v>-1.3955897085928926E-2</v>
      </c>
      <c r="J1198" s="3">
        <v>-2.3513672505269811E-3</v>
      </c>
      <c r="K1198" s="3">
        <v>0.37629676202452061</v>
      </c>
    </row>
    <row r="1199" spans="1:11" x14ac:dyDescent="0.2">
      <c r="A1199" s="1">
        <v>43397</v>
      </c>
      <c r="B1199">
        <v>94.722633361816406</v>
      </c>
      <c r="C1199">
        <v>102.31999969482401</v>
      </c>
      <c r="D1199">
        <v>108.48999786376901</v>
      </c>
      <c r="E1199">
        <v>101.58999633789</v>
      </c>
      <c r="F1199">
        <v>108.41000366210901</v>
      </c>
      <c r="G1199" s="2">
        <v>63897800</v>
      </c>
      <c r="H1199" s="3">
        <f t="shared" si="18"/>
        <v>-5.3469020599410833E-2</v>
      </c>
      <c r="J1199" s="3">
        <v>-2.349016624274336E-3</v>
      </c>
      <c r="K1199" s="3">
        <v>0.3766111285759195</v>
      </c>
    </row>
    <row r="1200" spans="1:11" x14ac:dyDescent="0.2">
      <c r="A1200" s="1">
        <v>43398</v>
      </c>
      <c r="B1200">
        <v>100.25862884521401</v>
      </c>
      <c r="C1200">
        <v>108.300003051757</v>
      </c>
      <c r="D1200">
        <v>109.26999664306599</v>
      </c>
      <c r="E1200">
        <v>106.150001525878</v>
      </c>
      <c r="F1200">
        <v>106.550003051757</v>
      </c>
      <c r="G1200" s="2">
        <v>61646800</v>
      </c>
      <c r="H1200" s="3">
        <f t="shared" si="18"/>
        <v>5.8444273421448312E-2</v>
      </c>
      <c r="J1200" s="3">
        <v>-2.3422527667783521E-3</v>
      </c>
      <c r="K1200" s="3">
        <v>0.37692549512731843</v>
      </c>
    </row>
    <row r="1201" spans="1:11" x14ac:dyDescent="0.2">
      <c r="A1201" s="1">
        <v>43399</v>
      </c>
      <c r="B1201">
        <v>99.018127441406193</v>
      </c>
      <c r="C1201">
        <v>106.959999084472</v>
      </c>
      <c r="D1201">
        <v>108.75</v>
      </c>
      <c r="E1201">
        <v>104.76000213623</v>
      </c>
      <c r="F1201">
        <v>105.69000244140599</v>
      </c>
      <c r="G1201" s="2">
        <v>55523100</v>
      </c>
      <c r="H1201" s="3">
        <f t="shared" si="18"/>
        <v>-1.2373013855226156E-2</v>
      </c>
      <c r="J1201" s="3">
        <v>-2.3403494042786299E-3</v>
      </c>
      <c r="K1201" s="3">
        <v>0.37723986167871737</v>
      </c>
    </row>
    <row r="1202" spans="1:11" x14ac:dyDescent="0.2">
      <c r="A1202" s="1">
        <v>43402</v>
      </c>
      <c r="B1202">
        <v>96.1390380859375</v>
      </c>
      <c r="C1202">
        <v>103.84999847412099</v>
      </c>
      <c r="D1202">
        <v>108.699996948242</v>
      </c>
      <c r="E1202">
        <v>101.629997253417</v>
      </c>
      <c r="F1202">
        <v>108.11000061035099</v>
      </c>
      <c r="G1202" s="2">
        <v>55162000</v>
      </c>
      <c r="H1202" s="3">
        <f t="shared" si="18"/>
        <v>-2.9076386615899064E-2</v>
      </c>
      <c r="J1202" s="3">
        <v>-2.3346980122133099E-3</v>
      </c>
      <c r="K1202" s="3">
        <v>0.37755422823011631</v>
      </c>
    </row>
    <row r="1203" spans="1:11" x14ac:dyDescent="0.2">
      <c r="A1203" s="1">
        <v>43403</v>
      </c>
      <c r="B1203">
        <v>96.027976989746094</v>
      </c>
      <c r="C1203">
        <v>103.730003356933</v>
      </c>
      <c r="D1203">
        <v>104.379997253417</v>
      </c>
      <c r="E1203">
        <v>100.11000061035099</v>
      </c>
      <c r="F1203">
        <v>103.66000366210901</v>
      </c>
      <c r="G1203" s="2">
        <v>65350900</v>
      </c>
      <c r="H1203" s="3">
        <f t="shared" si="18"/>
        <v>-1.1552133077525895E-3</v>
      </c>
      <c r="J1203" s="3">
        <v>-2.3217262162991137E-3</v>
      </c>
      <c r="K1203" s="3">
        <v>0.37786859478151524</v>
      </c>
    </row>
    <row r="1204" spans="1:11" x14ac:dyDescent="0.2">
      <c r="A1204" s="1">
        <v>43404</v>
      </c>
      <c r="B1204">
        <v>98.879264831542898</v>
      </c>
      <c r="C1204">
        <v>106.809997558593</v>
      </c>
      <c r="D1204">
        <v>108.139999389648</v>
      </c>
      <c r="E1204">
        <v>105.389999389648</v>
      </c>
      <c r="F1204">
        <v>105.44000244140599</v>
      </c>
      <c r="G1204" s="2">
        <v>51062400</v>
      </c>
      <c r="H1204" s="3">
        <f t="shared" si="18"/>
        <v>2.9692261892607208E-2</v>
      </c>
      <c r="J1204" s="3">
        <v>-2.3131854201533519E-3</v>
      </c>
      <c r="K1204" s="3">
        <v>0.37818296133291418</v>
      </c>
    </row>
    <row r="1205" spans="1:11" x14ac:dyDescent="0.2">
      <c r="A1205" s="1">
        <v>43405</v>
      </c>
      <c r="B1205">
        <v>98.055335998535099</v>
      </c>
      <c r="C1205">
        <v>105.919998168945</v>
      </c>
      <c r="D1205">
        <v>107.31999969482401</v>
      </c>
      <c r="E1205">
        <v>105.52999877929599</v>
      </c>
      <c r="F1205">
        <v>107.050003051757</v>
      </c>
      <c r="G1205" s="2">
        <v>33384200</v>
      </c>
      <c r="H1205" s="3">
        <f t="shared" si="18"/>
        <v>-8.3326755555018783E-3</v>
      </c>
      <c r="J1205" s="3">
        <v>-2.3057159776357361E-3</v>
      </c>
      <c r="K1205" s="3">
        <v>0.37849732788431312</v>
      </c>
    </row>
    <row r="1206" spans="1:11" x14ac:dyDescent="0.2">
      <c r="A1206" s="1">
        <v>43406</v>
      </c>
      <c r="B1206">
        <v>98.277534484863196</v>
      </c>
      <c r="C1206">
        <v>106.16000366210901</v>
      </c>
      <c r="D1206">
        <v>107.31999969482401</v>
      </c>
      <c r="E1206">
        <v>104.980003356933</v>
      </c>
      <c r="F1206">
        <v>106.480003356933</v>
      </c>
      <c r="G1206" s="2">
        <v>37680200</v>
      </c>
      <c r="H1206" s="3">
        <f t="shared" si="18"/>
        <v>2.2660519600015139E-3</v>
      </c>
      <c r="J1206" s="3">
        <v>-2.2957811580005538E-3</v>
      </c>
      <c r="K1206" s="3">
        <v>0.37881169443571205</v>
      </c>
    </row>
    <row r="1207" spans="1:11" x14ac:dyDescent="0.2">
      <c r="A1207" s="1">
        <v>43409</v>
      </c>
      <c r="B1207">
        <v>99.527275085449205</v>
      </c>
      <c r="C1207">
        <v>107.51000213623</v>
      </c>
      <c r="D1207">
        <v>107.73999786376901</v>
      </c>
      <c r="E1207">
        <v>105.900001525878</v>
      </c>
      <c r="F1207">
        <v>106.370002746582</v>
      </c>
      <c r="G1207" s="2">
        <v>27922100</v>
      </c>
      <c r="H1207" s="3">
        <f t="shared" si="18"/>
        <v>1.2716442339917311E-2</v>
      </c>
      <c r="J1207" s="3">
        <v>-2.292100595436164E-3</v>
      </c>
      <c r="K1207" s="3">
        <v>0.37912606098711099</v>
      </c>
    </row>
    <row r="1208" spans="1:11" x14ac:dyDescent="0.2">
      <c r="A1208" s="1">
        <v>43410</v>
      </c>
      <c r="B1208">
        <v>99.721687316894503</v>
      </c>
      <c r="C1208">
        <v>107.720001220703</v>
      </c>
      <c r="D1208">
        <v>108.83999633789</v>
      </c>
      <c r="E1208">
        <v>106.27999877929599</v>
      </c>
      <c r="F1208">
        <v>107.379997253417</v>
      </c>
      <c r="G1208" s="2">
        <v>24340200</v>
      </c>
      <c r="H1208" s="3">
        <f t="shared" si="18"/>
        <v>1.9533563164306766E-3</v>
      </c>
      <c r="J1208" s="3">
        <v>-2.2913043038608194E-3</v>
      </c>
      <c r="K1208" s="3">
        <v>0.37944042753850993</v>
      </c>
    </row>
    <row r="1209" spans="1:11" x14ac:dyDescent="0.2">
      <c r="A1209" s="1">
        <v>43411</v>
      </c>
      <c r="B1209">
        <v>103.64686584472599</v>
      </c>
      <c r="C1209">
        <v>111.959999084472</v>
      </c>
      <c r="D1209">
        <v>112.23999786376901</v>
      </c>
      <c r="E1209">
        <v>109.400001525878</v>
      </c>
      <c r="F1209">
        <v>109.44000244140599</v>
      </c>
      <c r="G1209" s="2">
        <v>37901700</v>
      </c>
      <c r="H1209" s="3">
        <f t="shared" si="18"/>
        <v>3.9361332859903397E-2</v>
      </c>
      <c r="J1209" s="3">
        <v>-2.2835884692290476E-3</v>
      </c>
      <c r="K1209" s="3">
        <v>0.37975479408990881</v>
      </c>
    </row>
    <row r="1210" spans="1:11" x14ac:dyDescent="0.2">
      <c r="A1210" s="1">
        <v>43412</v>
      </c>
      <c r="B1210">
        <v>103.45244598388599</v>
      </c>
      <c r="C1210">
        <v>111.75</v>
      </c>
      <c r="D1210">
        <v>112.209999084472</v>
      </c>
      <c r="E1210">
        <v>110.91000366210901</v>
      </c>
      <c r="F1210">
        <v>111.800003051757</v>
      </c>
      <c r="G1210" s="2">
        <v>25644100</v>
      </c>
      <c r="H1210" s="3">
        <f t="shared" si="18"/>
        <v>-1.8757910261489874E-3</v>
      </c>
      <c r="J1210" s="3">
        <v>-2.2682457162054304E-3</v>
      </c>
      <c r="K1210" s="3">
        <v>0.38006916064130775</v>
      </c>
    </row>
    <row r="1211" spans="1:11" x14ac:dyDescent="0.2">
      <c r="A1211" s="1">
        <v>43413</v>
      </c>
      <c r="B1211">
        <v>101.434310913085</v>
      </c>
      <c r="C1211">
        <v>109.56999969482401</v>
      </c>
      <c r="D1211">
        <v>111.449996948242</v>
      </c>
      <c r="E1211">
        <v>108.76000213623</v>
      </c>
      <c r="F1211">
        <v>110.84999847412099</v>
      </c>
      <c r="G1211" s="2">
        <v>32039200</v>
      </c>
      <c r="H1211" s="3">
        <f t="shared" si="18"/>
        <v>-1.9507852633231515E-2</v>
      </c>
      <c r="J1211" s="3">
        <v>-2.2551420990747362E-3</v>
      </c>
      <c r="K1211" s="3">
        <v>0.38038352719270668</v>
      </c>
    </row>
    <row r="1212" spans="1:11" x14ac:dyDescent="0.2">
      <c r="A1212" s="1">
        <v>43416</v>
      </c>
      <c r="B1212">
        <v>98.934791564941406</v>
      </c>
      <c r="C1212">
        <v>106.870002746582</v>
      </c>
      <c r="D1212">
        <v>109.959999084472</v>
      </c>
      <c r="E1212">
        <v>106.09999847412099</v>
      </c>
      <c r="F1212">
        <v>109.419998168945</v>
      </c>
      <c r="G1212" s="2">
        <v>33621800</v>
      </c>
      <c r="H1212" s="3">
        <f t="shared" si="18"/>
        <v>-2.4641754113017389E-2</v>
      </c>
      <c r="J1212" s="3">
        <v>-2.2544625827318754E-3</v>
      </c>
      <c r="K1212" s="3">
        <v>0.38069789374410562</v>
      </c>
    </row>
    <row r="1213" spans="1:11" x14ac:dyDescent="0.2">
      <c r="A1213" s="1">
        <v>43417</v>
      </c>
      <c r="B1213">
        <v>98.999603271484304</v>
      </c>
      <c r="C1213">
        <v>106.94000244140599</v>
      </c>
      <c r="D1213">
        <v>108.73999786376901</v>
      </c>
      <c r="E1213">
        <v>106.639999389648</v>
      </c>
      <c r="F1213">
        <v>107.550003051757</v>
      </c>
      <c r="G1213" s="2">
        <v>35374600</v>
      </c>
      <c r="H1213" s="3">
        <f t="shared" si="18"/>
        <v>6.5509519470063893E-4</v>
      </c>
      <c r="J1213" s="3">
        <v>-2.2528319216085224E-3</v>
      </c>
      <c r="K1213" s="3">
        <v>0.38101226029550456</v>
      </c>
    </row>
    <row r="1214" spans="1:11" x14ac:dyDescent="0.2">
      <c r="A1214" s="1">
        <v>43418</v>
      </c>
      <c r="B1214">
        <v>97.595687866210895</v>
      </c>
      <c r="C1214">
        <v>104.970001220703</v>
      </c>
      <c r="D1214">
        <v>108.26000213623</v>
      </c>
      <c r="E1214">
        <v>104.470001220703</v>
      </c>
      <c r="F1214">
        <v>108.09999847412099</v>
      </c>
      <c r="G1214" s="2">
        <v>39495100</v>
      </c>
      <c r="H1214" s="3">
        <f t="shared" si="18"/>
        <v>-1.4181020518067022E-2</v>
      </c>
      <c r="J1214" s="3">
        <v>-2.2452134373734944E-3</v>
      </c>
      <c r="K1214" s="3">
        <v>0.38132662684690349</v>
      </c>
    </row>
    <row r="1215" spans="1:11" x14ac:dyDescent="0.2">
      <c r="A1215" s="1">
        <v>43419</v>
      </c>
      <c r="B1215">
        <v>99.743400573730398</v>
      </c>
      <c r="C1215">
        <v>107.27999877929599</v>
      </c>
      <c r="D1215">
        <v>107.800003051757</v>
      </c>
      <c r="E1215">
        <v>103.91000366210901</v>
      </c>
      <c r="F1215">
        <v>104.98999786376901</v>
      </c>
      <c r="G1215" s="2">
        <v>38505200</v>
      </c>
      <c r="H1215" s="3">
        <f t="shared" si="18"/>
        <v>2.2006225423234937E-2</v>
      </c>
      <c r="J1215" s="3">
        <v>-2.2391437500699496E-3</v>
      </c>
      <c r="K1215" s="3">
        <v>0.38164099339830243</v>
      </c>
    </row>
    <row r="1216" spans="1:11" x14ac:dyDescent="0.2">
      <c r="A1216" s="1">
        <v>43420</v>
      </c>
      <c r="B1216">
        <v>100.682441711425</v>
      </c>
      <c r="C1216">
        <v>108.290000915527</v>
      </c>
      <c r="D1216">
        <v>108.879997253417</v>
      </c>
      <c r="E1216">
        <v>106.800003051757</v>
      </c>
      <c r="F1216">
        <v>107.08000183105401</v>
      </c>
      <c r="G1216" s="2">
        <v>33502100</v>
      </c>
      <c r="H1216" s="3">
        <f t="shared" si="18"/>
        <v>9.4145691072609061E-3</v>
      </c>
      <c r="J1216" s="3">
        <v>-2.2308443634737607E-3</v>
      </c>
      <c r="K1216" s="3">
        <v>0.38195535994970137</v>
      </c>
    </row>
    <row r="1217" spans="1:11" x14ac:dyDescent="0.2">
      <c r="A1217" s="1">
        <v>43423</v>
      </c>
      <c r="B1217">
        <v>97.270278930664006</v>
      </c>
      <c r="C1217">
        <v>104.620002746582</v>
      </c>
      <c r="D1217">
        <v>108.559997558593</v>
      </c>
      <c r="E1217">
        <v>103.550003051757</v>
      </c>
      <c r="F1217">
        <v>108.26999664306599</v>
      </c>
      <c r="G1217" s="2">
        <v>44773900</v>
      </c>
      <c r="H1217" s="3">
        <f t="shared" si="18"/>
        <v>-3.3890345950696177E-2</v>
      </c>
      <c r="J1217" s="3">
        <v>-2.2261227657484062E-3</v>
      </c>
      <c r="K1217" s="3">
        <v>0.3822697265011003</v>
      </c>
    </row>
    <row r="1218" spans="1:11" x14ac:dyDescent="0.2">
      <c r="A1218" s="1">
        <v>43424</v>
      </c>
      <c r="B1218">
        <v>94.564674377441406</v>
      </c>
      <c r="C1218">
        <v>101.709999084472</v>
      </c>
      <c r="D1218">
        <v>102.970001220703</v>
      </c>
      <c r="E1218">
        <v>99.349998474121094</v>
      </c>
      <c r="F1218">
        <v>101.800003051757</v>
      </c>
      <c r="G1218" s="2">
        <v>64052500</v>
      </c>
      <c r="H1218" s="3">
        <f t="shared" ref="H1218:H1281" si="19">B1218/B1217-1</f>
        <v>-2.7815326356277925E-2</v>
      </c>
      <c r="J1218" s="3">
        <v>-2.2100791298991229E-3</v>
      </c>
      <c r="K1218" s="3">
        <v>0.38258409305249924</v>
      </c>
    </row>
    <row r="1219" spans="1:11" x14ac:dyDescent="0.2">
      <c r="A1219" s="1">
        <v>43425</v>
      </c>
      <c r="B1219">
        <v>95.866340637207003</v>
      </c>
      <c r="C1219">
        <v>103.11000061035099</v>
      </c>
      <c r="D1219">
        <v>104.430000305175</v>
      </c>
      <c r="E1219">
        <v>102.23999786376901</v>
      </c>
      <c r="F1219">
        <v>103.59999847412099</v>
      </c>
      <c r="G1219" s="2">
        <v>28130600</v>
      </c>
      <c r="H1219" s="3">
        <f t="shared" si="19"/>
        <v>1.37648256955889E-2</v>
      </c>
      <c r="J1219" s="3">
        <v>-2.1934303529701493E-3</v>
      </c>
      <c r="K1219" s="3">
        <v>0.38289845960389812</v>
      </c>
    </row>
    <row r="1220" spans="1:11" x14ac:dyDescent="0.2">
      <c r="A1220" s="1">
        <v>43427</v>
      </c>
      <c r="B1220">
        <v>95.829147338867102</v>
      </c>
      <c r="C1220">
        <v>103.06999969482401</v>
      </c>
      <c r="D1220">
        <v>103.809997558593</v>
      </c>
      <c r="E1220">
        <v>102</v>
      </c>
      <c r="F1220">
        <v>102.169998168945</v>
      </c>
      <c r="G1220" s="2">
        <v>13823100</v>
      </c>
      <c r="H1220" s="3">
        <f t="shared" si="19"/>
        <v>-3.8797035635951271E-4</v>
      </c>
      <c r="J1220" s="3">
        <v>-2.1855297778444749E-3</v>
      </c>
      <c r="K1220" s="3">
        <v>0.38321282615529706</v>
      </c>
    </row>
    <row r="1221" spans="1:11" x14ac:dyDescent="0.2">
      <c r="A1221" s="1">
        <v>43430</v>
      </c>
      <c r="B1221">
        <v>98.990318298339801</v>
      </c>
      <c r="C1221">
        <v>106.470001220703</v>
      </c>
      <c r="D1221">
        <v>106.629997253417</v>
      </c>
      <c r="E1221">
        <v>104.58000183105401</v>
      </c>
      <c r="F1221">
        <v>104.790000915527</v>
      </c>
      <c r="G1221" s="2">
        <v>32336200</v>
      </c>
      <c r="H1221" s="3">
        <f t="shared" si="19"/>
        <v>3.2987572646287822E-2</v>
      </c>
      <c r="J1221" s="3">
        <v>-2.1688108090147651E-3</v>
      </c>
      <c r="K1221" s="3">
        <v>0.383527192706696</v>
      </c>
    </row>
    <row r="1222" spans="1:11" x14ac:dyDescent="0.2">
      <c r="A1222" s="1">
        <v>43431</v>
      </c>
      <c r="B1222">
        <v>99.613220214843693</v>
      </c>
      <c r="C1222">
        <v>107.139999389648</v>
      </c>
      <c r="D1222">
        <v>107.33000183105401</v>
      </c>
      <c r="E1222">
        <v>105.36000061035099</v>
      </c>
      <c r="F1222">
        <v>106.26999664306599</v>
      </c>
      <c r="G1222" s="2">
        <v>29124500</v>
      </c>
      <c r="H1222" s="3">
        <f t="shared" si="19"/>
        <v>6.2925539306437628E-3</v>
      </c>
      <c r="J1222" s="3">
        <v>-2.1612025851969197E-3</v>
      </c>
      <c r="K1222" s="3">
        <v>0.38384155925809493</v>
      </c>
    </row>
    <row r="1223" spans="1:11" x14ac:dyDescent="0.2">
      <c r="A1223" s="1">
        <v>43432</v>
      </c>
      <c r="B1223">
        <v>103.31364440917901</v>
      </c>
      <c r="C1223">
        <v>111.120002746582</v>
      </c>
      <c r="D1223">
        <v>111.33000183105401</v>
      </c>
      <c r="E1223">
        <v>107.86000061035099</v>
      </c>
      <c r="F1223">
        <v>107.889999389648</v>
      </c>
      <c r="G1223" s="2">
        <v>46788500</v>
      </c>
      <c r="H1223" s="3">
        <f t="shared" si="19"/>
        <v>3.7147922598569805E-2</v>
      </c>
      <c r="J1223" s="3">
        <v>-2.1516986537205574E-3</v>
      </c>
      <c r="K1223" s="3">
        <v>0.38415592580949387</v>
      </c>
    </row>
    <row r="1224" spans="1:11" x14ac:dyDescent="0.2">
      <c r="A1224" s="1">
        <v>43433</v>
      </c>
      <c r="B1224">
        <v>102.448959350585</v>
      </c>
      <c r="C1224">
        <v>110.19000244140599</v>
      </c>
      <c r="D1224">
        <v>111.120002746582</v>
      </c>
      <c r="E1224">
        <v>109.02999877929599</v>
      </c>
      <c r="F1224">
        <v>110.33000183105401</v>
      </c>
      <c r="G1224" s="2">
        <v>28123200</v>
      </c>
      <c r="H1224" s="3">
        <f t="shared" si="19"/>
        <v>-8.3695146322529945E-3</v>
      </c>
      <c r="J1224" s="3">
        <v>-2.1449016642152152E-3</v>
      </c>
      <c r="K1224" s="3">
        <v>0.38447029236089281</v>
      </c>
    </row>
    <row r="1225" spans="1:11" x14ac:dyDescent="0.2">
      <c r="A1225" s="1">
        <v>43434</v>
      </c>
      <c r="B1225">
        <v>103.09978485107401</v>
      </c>
      <c r="C1225">
        <v>110.889999389648</v>
      </c>
      <c r="D1225">
        <v>110.970001220703</v>
      </c>
      <c r="E1225">
        <v>109.36000061035099</v>
      </c>
      <c r="F1225">
        <v>110.699996948242</v>
      </c>
      <c r="G1225" s="2">
        <v>33665600</v>
      </c>
      <c r="H1225" s="3">
        <f t="shared" si="19"/>
        <v>6.3526804431643935E-3</v>
      </c>
      <c r="J1225" s="3">
        <v>-2.1401783258326867E-3</v>
      </c>
      <c r="K1225" s="3">
        <v>0.38478465891229174</v>
      </c>
    </row>
    <row r="1226" spans="1:11" x14ac:dyDescent="0.2">
      <c r="A1226" s="1">
        <v>43437</v>
      </c>
      <c r="B1226">
        <v>104.215492248535</v>
      </c>
      <c r="C1226">
        <v>112.08999633789</v>
      </c>
      <c r="D1226">
        <v>113.419998168945</v>
      </c>
      <c r="E1226">
        <v>110.730003356933</v>
      </c>
      <c r="F1226">
        <v>113</v>
      </c>
      <c r="G1226" s="2">
        <v>34732800</v>
      </c>
      <c r="H1226" s="3">
        <f t="shared" si="19"/>
        <v>1.0821626825629371E-2</v>
      </c>
      <c r="J1226" s="3">
        <v>-2.1244551686836477E-3</v>
      </c>
      <c r="K1226" s="3">
        <v>0.38509902546369068</v>
      </c>
    </row>
    <row r="1227" spans="1:11" x14ac:dyDescent="0.2">
      <c r="A1227" s="1">
        <v>43438</v>
      </c>
      <c r="B1227">
        <v>100.896286010742</v>
      </c>
      <c r="C1227">
        <v>108.51999664306599</v>
      </c>
      <c r="D1227">
        <v>112.639999389648</v>
      </c>
      <c r="E1227">
        <v>108.209999084472</v>
      </c>
      <c r="F1227">
        <v>111.94000244140599</v>
      </c>
      <c r="G1227" s="2">
        <v>45197000</v>
      </c>
      <c r="H1227" s="3">
        <f t="shared" si="19"/>
        <v>-3.1849451230123171E-2</v>
      </c>
      <c r="J1227" s="3">
        <v>-2.1106681530672633E-3</v>
      </c>
      <c r="K1227" s="3">
        <v>0.38541339201508962</v>
      </c>
    </row>
    <row r="1228" spans="1:11" x14ac:dyDescent="0.2">
      <c r="A1228" s="1">
        <v>43440</v>
      </c>
      <c r="B1228">
        <v>101.519233703613</v>
      </c>
      <c r="C1228">
        <v>109.19000244140599</v>
      </c>
      <c r="D1228">
        <v>109.23999786376901</v>
      </c>
      <c r="E1228">
        <v>105</v>
      </c>
      <c r="F1228">
        <v>105.81999969482401</v>
      </c>
      <c r="G1228" s="2">
        <v>49107400</v>
      </c>
      <c r="H1228" s="3">
        <f t="shared" si="19"/>
        <v>6.1741389847063122E-3</v>
      </c>
      <c r="J1228" s="3">
        <v>-2.1076230984321542E-3</v>
      </c>
      <c r="K1228" s="3">
        <v>0.3857277585664885</v>
      </c>
    </row>
    <row r="1229" spans="1:11" x14ac:dyDescent="0.2">
      <c r="A1229" s="1">
        <v>43441</v>
      </c>
      <c r="B1229">
        <v>97.456222534179602</v>
      </c>
      <c r="C1229">
        <v>104.81999969482401</v>
      </c>
      <c r="D1229">
        <v>109.449996948242</v>
      </c>
      <c r="E1229">
        <v>104.300003051757</v>
      </c>
      <c r="F1229">
        <v>108.379997253417</v>
      </c>
      <c r="G1229" s="2">
        <v>45044900</v>
      </c>
      <c r="H1229" s="3">
        <f t="shared" si="19"/>
        <v>-4.0022082724692543E-2</v>
      </c>
      <c r="J1229" s="3">
        <v>-2.1025515869810274E-3</v>
      </c>
      <c r="K1229" s="3">
        <v>0.38604212511788744</v>
      </c>
    </row>
    <row r="1230" spans="1:11" x14ac:dyDescent="0.2">
      <c r="A1230" s="1">
        <v>43444</v>
      </c>
      <c r="B1230">
        <v>100.031600952148</v>
      </c>
      <c r="C1230">
        <v>107.58999633789</v>
      </c>
      <c r="D1230">
        <v>107.980003356933</v>
      </c>
      <c r="E1230">
        <v>103.889999389648</v>
      </c>
      <c r="F1230">
        <v>104.800003051757</v>
      </c>
      <c r="G1230" s="2">
        <v>40801500</v>
      </c>
      <c r="H1230" s="3">
        <f t="shared" si="19"/>
        <v>2.6426002886220656E-2</v>
      </c>
      <c r="J1230" s="3">
        <v>-2.0999333782666385E-3</v>
      </c>
      <c r="K1230" s="3">
        <v>0.38635649166928637</v>
      </c>
    </row>
    <row r="1231" spans="1:11" x14ac:dyDescent="0.2">
      <c r="A1231" s="1">
        <v>43445</v>
      </c>
      <c r="B1231">
        <v>100.96135711669901</v>
      </c>
      <c r="C1231">
        <v>108.58999633789</v>
      </c>
      <c r="D1231">
        <v>110.949996948242</v>
      </c>
      <c r="E1231">
        <v>107.44000244140599</v>
      </c>
      <c r="F1231">
        <v>109.800003051757</v>
      </c>
      <c r="G1231" s="2">
        <v>42381900</v>
      </c>
      <c r="H1231" s="3">
        <f t="shared" si="19"/>
        <v>9.29462445568352E-3</v>
      </c>
      <c r="J1231" s="3">
        <v>-2.0687017665377283E-3</v>
      </c>
      <c r="K1231" s="3">
        <v>0.38667085822068531</v>
      </c>
    </row>
    <row r="1232" spans="1:11" x14ac:dyDescent="0.2">
      <c r="A1232" s="1">
        <v>43446</v>
      </c>
      <c r="B1232">
        <v>101.41691589355401</v>
      </c>
      <c r="C1232">
        <v>109.08000183105401</v>
      </c>
      <c r="D1232">
        <v>111.26999664306599</v>
      </c>
      <c r="E1232">
        <v>109.040000915527</v>
      </c>
      <c r="F1232">
        <v>110.889999389648</v>
      </c>
      <c r="G1232" s="2">
        <v>36183000</v>
      </c>
      <c r="H1232" s="3">
        <f t="shared" si="19"/>
        <v>4.5122093231020344E-3</v>
      </c>
      <c r="J1232" s="3">
        <v>-2.0578619459044045E-3</v>
      </c>
      <c r="K1232" s="3">
        <v>0.38698522477208425</v>
      </c>
    </row>
    <row r="1233" spans="1:11" x14ac:dyDescent="0.2">
      <c r="A1233" s="1">
        <v>43447</v>
      </c>
      <c r="B1233">
        <v>101.760948181152</v>
      </c>
      <c r="C1233">
        <v>109.449996948242</v>
      </c>
      <c r="D1233">
        <v>110.870002746582</v>
      </c>
      <c r="E1233">
        <v>108.629997253417</v>
      </c>
      <c r="F1233">
        <v>109.58000183105401</v>
      </c>
      <c r="G1233" s="2">
        <v>31333400</v>
      </c>
      <c r="H1233" s="3">
        <f t="shared" si="19"/>
        <v>3.3922574411460182E-3</v>
      </c>
      <c r="J1233" s="3">
        <v>-2.0497467506538358E-3</v>
      </c>
      <c r="K1233" s="3">
        <v>0.38729959132348318</v>
      </c>
    </row>
    <row r="1234" spans="1:11" x14ac:dyDescent="0.2">
      <c r="A1234" s="1">
        <v>43448</v>
      </c>
      <c r="B1234">
        <v>98.581230163574205</v>
      </c>
      <c r="C1234">
        <v>106.02999877929599</v>
      </c>
      <c r="D1234">
        <v>109.26000213623</v>
      </c>
      <c r="E1234">
        <v>105.5</v>
      </c>
      <c r="F1234">
        <v>108.25</v>
      </c>
      <c r="G1234" s="2">
        <v>47043100</v>
      </c>
      <c r="H1234" s="3">
        <f t="shared" si="19"/>
        <v>-3.1246937793045659E-2</v>
      </c>
      <c r="J1234" s="3">
        <v>-2.0342255284166999E-3</v>
      </c>
      <c r="K1234" s="3">
        <v>0.38761395787488212</v>
      </c>
    </row>
    <row r="1235" spans="1:11" x14ac:dyDescent="0.2">
      <c r="A1235" s="1">
        <v>43451</v>
      </c>
      <c r="B1235">
        <v>95.661788940429602</v>
      </c>
      <c r="C1235">
        <v>102.889999389648</v>
      </c>
      <c r="D1235">
        <v>105.800003051757</v>
      </c>
      <c r="E1235">
        <v>101.709999084472</v>
      </c>
      <c r="F1235">
        <v>105.41000366210901</v>
      </c>
      <c r="G1235" s="2">
        <v>56957300</v>
      </c>
      <c r="H1235" s="3">
        <f t="shared" si="19"/>
        <v>-2.9614574887130374E-2</v>
      </c>
      <c r="J1235" s="3">
        <v>-2.0279844234943889E-3</v>
      </c>
      <c r="K1235" s="3">
        <v>0.38792832442628106</v>
      </c>
    </row>
    <row r="1236" spans="1:11" x14ac:dyDescent="0.2">
      <c r="A1236" s="1">
        <v>43452</v>
      </c>
      <c r="B1236">
        <v>96.665946960449205</v>
      </c>
      <c r="C1236">
        <v>103.970001220703</v>
      </c>
      <c r="D1236">
        <v>104.51000213623</v>
      </c>
      <c r="E1236">
        <v>102.51999664306599</v>
      </c>
      <c r="F1236">
        <v>103.75</v>
      </c>
      <c r="G1236" s="2">
        <v>49319200</v>
      </c>
      <c r="H1236" s="3">
        <f t="shared" si="19"/>
        <v>1.0496960501594987E-2</v>
      </c>
      <c r="J1236" s="3">
        <v>-2.0212410687331372E-3</v>
      </c>
      <c r="K1236" s="3">
        <v>0.38824269097767999</v>
      </c>
    </row>
    <row r="1237" spans="1:11" x14ac:dyDescent="0.2">
      <c r="A1237" s="1">
        <v>43453</v>
      </c>
      <c r="B1237">
        <v>96.405609130859304</v>
      </c>
      <c r="C1237">
        <v>103.69000244140599</v>
      </c>
      <c r="D1237">
        <v>106.879997253417</v>
      </c>
      <c r="E1237">
        <v>101.34999847412099</v>
      </c>
      <c r="F1237">
        <v>103.650001525878</v>
      </c>
      <c r="G1237" s="2">
        <v>68198200</v>
      </c>
      <c r="H1237" s="3">
        <f t="shared" si="19"/>
        <v>-2.6931700125630842E-3</v>
      </c>
      <c r="J1237" s="3">
        <v>-2.0158878347938947E-3</v>
      </c>
      <c r="K1237" s="3">
        <v>0.38855705752907893</v>
      </c>
    </row>
    <row r="1238" spans="1:11" x14ac:dyDescent="0.2">
      <c r="A1238" s="1">
        <v>43454</v>
      </c>
      <c r="B1238">
        <v>94.378761291503906</v>
      </c>
      <c r="C1238">
        <v>101.51000213623</v>
      </c>
      <c r="D1238">
        <v>104.309997558593</v>
      </c>
      <c r="E1238">
        <v>98.779998779296804</v>
      </c>
      <c r="F1238">
        <v>103.050003051757</v>
      </c>
      <c r="G1238" s="2">
        <v>70334200</v>
      </c>
      <c r="H1238" s="3">
        <f t="shared" si="19"/>
        <v>-2.1024169212023658E-2</v>
      </c>
      <c r="J1238" s="3">
        <v>-2.0155727212805008E-3</v>
      </c>
      <c r="K1238" s="3">
        <v>0.38887142408047781</v>
      </c>
    </row>
    <row r="1239" spans="1:11" x14ac:dyDescent="0.2">
      <c r="A1239" s="1">
        <v>43455</v>
      </c>
      <c r="B1239">
        <v>91.329185485839801</v>
      </c>
      <c r="C1239">
        <v>98.230003356933594</v>
      </c>
      <c r="D1239">
        <v>103</v>
      </c>
      <c r="E1239">
        <v>97.459999084472599</v>
      </c>
      <c r="F1239">
        <v>101.629997253417</v>
      </c>
      <c r="G1239" s="2">
        <v>111242100</v>
      </c>
      <c r="H1239" s="3">
        <f t="shared" si="19"/>
        <v>-3.2312098229865582E-2</v>
      </c>
      <c r="J1239" s="3">
        <v>-2.0115046830848637E-3</v>
      </c>
      <c r="K1239" s="3">
        <v>0.38918579063187675</v>
      </c>
    </row>
    <row r="1240" spans="1:11" x14ac:dyDescent="0.2">
      <c r="A1240" s="1">
        <v>43458</v>
      </c>
      <c r="B1240">
        <v>87.517219543457003</v>
      </c>
      <c r="C1240">
        <v>94.129997253417898</v>
      </c>
      <c r="D1240">
        <v>97.970001220703097</v>
      </c>
      <c r="E1240">
        <v>93.980003356933594</v>
      </c>
      <c r="F1240">
        <v>97.680000305175696</v>
      </c>
      <c r="G1240" s="2">
        <v>43935200</v>
      </c>
      <c r="H1240" s="3">
        <f t="shared" si="19"/>
        <v>-4.1738748923517144E-2</v>
      </c>
      <c r="J1240" s="3">
        <v>-2.0085899971626908E-3</v>
      </c>
      <c r="K1240" s="3">
        <v>0.38950015718327569</v>
      </c>
    </row>
    <row r="1241" spans="1:11" x14ac:dyDescent="0.2">
      <c r="A1241" s="1">
        <v>43460</v>
      </c>
      <c r="B1241">
        <v>93.4954833984375</v>
      </c>
      <c r="C1241">
        <v>100.559997558593</v>
      </c>
      <c r="D1241">
        <v>100.69000244140599</v>
      </c>
      <c r="E1241">
        <v>93.959999084472599</v>
      </c>
      <c r="F1241">
        <v>95.139999389648395</v>
      </c>
      <c r="G1241" s="2">
        <v>51634800</v>
      </c>
      <c r="H1241" s="3">
        <f t="shared" si="19"/>
        <v>6.8309572518034267E-2</v>
      </c>
      <c r="J1241" s="3">
        <v>-2.0084638972261981E-3</v>
      </c>
      <c r="K1241" s="3">
        <v>0.38981452373467462</v>
      </c>
    </row>
    <row r="1242" spans="1:11" x14ac:dyDescent="0.2">
      <c r="A1242" s="1">
        <v>43461</v>
      </c>
      <c r="B1242">
        <v>94.071914672851506</v>
      </c>
      <c r="C1242">
        <v>101.180000305175</v>
      </c>
      <c r="D1242">
        <v>101.19000244140599</v>
      </c>
      <c r="E1242">
        <v>96.400001525878906</v>
      </c>
      <c r="F1242">
        <v>99.300003051757798</v>
      </c>
      <c r="G1242" s="2">
        <v>49498500</v>
      </c>
      <c r="H1242" s="3">
        <f t="shared" si="19"/>
        <v>6.1653381902686544E-3</v>
      </c>
      <c r="J1242" s="3">
        <v>-2.0025960906657758E-3</v>
      </c>
      <c r="K1242" s="3">
        <v>0.39012889028607356</v>
      </c>
    </row>
    <row r="1243" spans="1:11" x14ac:dyDescent="0.2">
      <c r="A1243" s="1">
        <v>43462</v>
      </c>
      <c r="B1243">
        <v>93.337425231933594</v>
      </c>
      <c r="C1243">
        <v>100.389999389648</v>
      </c>
      <c r="D1243">
        <v>102.41000366210901</v>
      </c>
      <c r="E1243">
        <v>99.519996643066406</v>
      </c>
      <c r="F1243">
        <v>102.08999633789</v>
      </c>
      <c r="G1243" s="2">
        <v>38196300</v>
      </c>
      <c r="H1243" s="3">
        <f t="shared" si="19"/>
        <v>-7.8077441441710693E-3</v>
      </c>
      <c r="J1243" s="3">
        <v>-1.9916841227749504E-3</v>
      </c>
      <c r="K1243" s="3">
        <v>0.3904432568374725</v>
      </c>
    </row>
    <row r="1244" spans="1:11" x14ac:dyDescent="0.2">
      <c r="A1244" s="1">
        <v>43465</v>
      </c>
      <c r="B1244">
        <v>94.434547424316406</v>
      </c>
      <c r="C1244">
        <v>101.56999969482401</v>
      </c>
      <c r="D1244">
        <v>102.400001525878</v>
      </c>
      <c r="E1244">
        <v>100.44000244140599</v>
      </c>
      <c r="F1244">
        <v>101.290000915527</v>
      </c>
      <c r="G1244" s="2">
        <v>33173800</v>
      </c>
      <c r="H1244" s="3">
        <f t="shared" si="19"/>
        <v>1.1754365300484571E-2</v>
      </c>
      <c r="J1244" s="3">
        <v>-1.9786244678402509E-3</v>
      </c>
      <c r="K1244" s="3">
        <v>0.39075762338887143</v>
      </c>
    </row>
    <row r="1245" spans="1:11" x14ac:dyDescent="0.2">
      <c r="A1245" s="1">
        <v>43467</v>
      </c>
      <c r="B1245">
        <v>94.016174316406193</v>
      </c>
      <c r="C1245">
        <v>101.120002746582</v>
      </c>
      <c r="D1245">
        <v>101.75</v>
      </c>
      <c r="E1245">
        <v>98.940002441406193</v>
      </c>
      <c r="F1245">
        <v>99.550003051757798</v>
      </c>
      <c r="G1245" s="2">
        <v>35329300</v>
      </c>
      <c r="H1245" s="3">
        <f t="shared" si="19"/>
        <v>-4.4302971668870317E-3</v>
      </c>
      <c r="J1245" s="3">
        <v>-1.9753201288350564E-3</v>
      </c>
      <c r="K1245" s="3">
        <v>0.39107198994027037</v>
      </c>
    </row>
    <row r="1246" spans="1:11" x14ac:dyDescent="0.2">
      <c r="A1246" s="1">
        <v>43468</v>
      </c>
      <c r="B1246">
        <v>90.557472229003906</v>
      </c>
      <c r="C1246">
        <v>97.400001525878906</v>
      </c>
      <c r="D1246">
        <v>100.19000244140599</v>
      </c>
      <c r="E1246">
        <v>97.199996948242102</v>
      </c>
      <c r="F1246">
        <v>100.09999847412099</v>
      </c>
      <c r="G1246" s="2">
        <v>42579100</v>
      </c>
      <c r="H1246" s="3">
        <f t="shared" si="19"/>
        <v>-3.6788372985293138E-2</v>
      </c>
      <c r="J1246" s="3">
        <v>-1.9724085857717455E-3</v>
      </c>
      <c r="K1246" s="3">
        <v>0.39138635649166931</v>
      </c>
    </row>
    <row r="1247" spans="1:11" x14ac:dyDescent="0.2">
      <c r="A1247" s="1">
        <v>43469</v>
      </c>
      <c r="B1247">
        <v>94.769256591796804</v>
      </c>
      <c r="C1247">
        <v>101.930000305175</v>
      </c>
      <c r="D1247">
        <v>102.51000213623</v>
      </c>
      <c r="E1247">
        <v>98.930000305175696</v>
      </c>
      <c r="F1247">
        <v>99.720001220703097</v>
      </c>
      <c r="G1247" s="2">
        <v>44060600</v>
      </c>
      <c r="H1247" s="3">
        <f t="shared" si="19"/>
        <v>4.650951775842449E-2</v>
      </c>
      <c r="J1247" s="3">
        <v>-1.9674724925365927E-3</v>
      </c>
      <c r="K1247" s="3">
        <v>0.39170072304306824</v>
      </c>
    </row>
    <row r="1248" spans="1:11" x14ac:dyDescent="0.2">
      <c r="A1248" s="1">
        <v>43472</v>
      </c>
      <c r="B1248">
        <v>94.890106201171804</v>
      </c>
      <c r="C1248">
        <v>102.059997558593</v>
      </c>
      <c r="D1248">
        <v>103.26999664306599</v>
      </c>
      <c r="E1248">
        <v>100.980003356933</v>
      </c>
      <c r="F1248">
        <v>101.639999389648</v>
      </c>
      <c r="G1248" s="2">
        <v>35656100</v>
      </c>
      <c r="H1248" s="3">
        <f t="shared" si="19"/>
        <v>1.2751984527592519E-3</v>
      </c>
      <c r="J1248" s="3">
        <v>-1.9509984891946663E-3</v>
      </c>
      <c r="K1248" s="3">
        <v>0.39201508959446713</v>
      </c>
    </row>
    <row r="1249" spans="1:11" x14ac:dyDescent="0.2">
      <c r="A1249" s="1">
        <v>43473</v>
      </c>
      <c r="B1249">
        <v>95.578132629394503</v>
      </c>
      <c r="C1249">
        <v>102.800003051757</v>
      </c>
      <c r="D1249">
        <v>103.970001220703</v>
      </c>
      <c r="E1249">
        <v>101.709999084472</v>
      </c>
      <c r="F1249">
        <v>103.040000915527</v>
      </c>
      <c r="G1249" s="2">
        <v>31514400</v>
      </c>
      <c r="H1249" s="3">
        <f t="shared" si="19"/>
        <v>7.2507709788420804E-3</v>
      </c>
      <c r="J1249" s="3">
        <v>-1.9300642111348409E-3</v>
      </c>
      <c r="K1249" s="3">
        <v>0.39232945614586606</v>
      </c>
    </row>
    <row r="1250" spans="1:11" x14ac:dyDescent="0.2">
      <c r="A1250" s="1">
        <v>43474</v>
      </c>
      <c r="B1250">
        <v>96.944869995117102</v>
      </c>
      <c r="C1250">
        <v>104.26999664306599</v>
      </c>
      <c r="D1250">
        <v>104.879997253417</v>
      </c>
      <c r="E1250">
        <v>103.23999786376901</v>
      </c>
      <c r="F1250">
        <v>103.86000061035099</v>
      </c>
      <c r="G1250" s="2">
        <v>32280800</v>
      </c>
      <c r="H1250" s="3">
        <f t="shared" si="19"/>
        <v>1.429968684387406E-2</v>
      </c>
      <c r="J1250" s="3">
        <v>-1.9185669487086221E-3</v>
      </c>
      <c r="K1250" s="3">
        <v>0.392643822697265</v>
      </c>
    </row>
    <row r="1251" spans="1:11" x14ac:dyDescent="0.2">
      <c r="A1251" s="1">
        <v>43475</v>
      </c>
      <c r="B1251">
        <v>96.321914672851506</v>
      </c>
      <c r="C1251">
        <v>103.59999847412099</v>
      </c>
      <c r="D1251">
        <v>103.75</v>
      </c>
      <c r="E1251">
        <v>102.379997253417</v>
      </c>
      <c r="F1251">
        <v>103.220001220703</v>
      </c>
      <c r="G1251" s="2">
        <v>30067600</v>
      </c>
      <c r="H1251" s="3">
        <f t="shared" si="19"/>
        <v>-6.425871965138219E-3</v>
      </c>
      <c r="J1251" s="3">
        <v>-1.903407872959173E-3</v>
      </c>
      <c r="K1251" s="3">
        <v>0.39295818924866394</v>
      </c>
    </row>
    <row r="1252" spans="1:11" x14ac:dyDescent="0.2">
      <c r="A1252" s="1">
        <v>43476</v>
      </c>
      <c r="B1252">
        <v>95.578132629394503</v>
      </c>
      <c r="C1252">
        <v>102.800003051757</v>
      </c>
      <c r="D1252">
        <v>103.44000244140599</v>
      </c>
      <c r="E1252">
        <v>101.639999389648</v>
      </c>
      <c r="F1252">
        <v>103.19000244140599</v>
      </c>
      <c r="G1252" s="2">
        <v>28314200</v>
      </c>
      <c r="H1252" s="3">
        <f t="shared" si="19"/>
        <v>-7.7218361572565231E-3</v>
      </c>
      <c r="J1252" s="3">
        <v>-1.8921988525961719E-3</v>
      </c>
      <c r="K1252" s="3">
        <v>0.39327255580006287</v>
      </c>
    </row>
    <row r="1253" spans="1:11" x14ac:dyDescent="0.2">
      <c r="A1253" s="1">
        <v>43479</v>
      </c>
      <c r="B1253">
        <v>94.880821228027301</v>
      </c>
      <c r="C1253">
        <v>102.050003051757</v>
      </c>
      <c r="D1253">
        <v>102.870002746582</v>
      </c>
      <c r="E1253">
        <v>101.26000213623</v>
      </c>
      <c r="F1253">
        <v>101.900001525878</v>
      </c>
      <c r="G1253" s="2">
        <v>28437100</v>
      </c>
      <c r="H1253" s="3">
        <f t="shared" si="19"/>
        <v>-7.2957211255741949E-3</v>
      </c>
      <c r="J1253" s="3">
        <v>-1.8871150707036044E-3</v>
      </c>
      <c r="K1253" s="3">
        <v>0.39358692235146181</v>
      </c>
    </row>
    <row r="1254" spans="1:11" x14ac:dyDescent="0.2">
      <c r="A1254" s="1">
        <v>43480</v>
      </c>
      <c r="B1254">
        <v>97.632865905761705</v>
      </c>
      <c r="C1254">
        <v>105.01000213623</v>
      </c>
      <c r="D1254">
        <v>105.050003051757</v>
      </c>
      <c r="E1254">
        <v>101.879997253417</v>
      </c>
      <c r="F1254">
        <v>102.51000213623</v>
      </c>
      <c r="G1254" s="2">
        <v>31587600</v>
      </c>
      <c r="H1254" s="3">
        <f t="shared" si="19"/>
        <v>2.9005278855253724E-2</v>
      </c>
      <c r="J1254" s="3">
        <v>-1.8820638341427998E-3</v>
      </c>
      <c r="K1254" s="3">
        <v>0.39390128890286075</v>
      </c>
    </row>
    <row r="1255" spans="1:11" x14ac:dyDescent="0.2">
      <c r="A1255" s="1">
        <v>43481</v>
      </c>
      <c r="B1255">
        <v>97.976860046386705</v>
      </c>
      <c r="C1255">
        <v>105.379997253417</v>
      </c>
      <c r="D1255">
        <v>106.26000213623</v>
      </c>
      <c r="E1255">
        <v>104.959999084472</v>
      </c>
      <c r="F1255">
        <v>105.26000213623</v>
      </c>
      <c r="G1255" s="2">
        <v>29853900</v>
      </c>
      <c r="H1255" s="3">
        <f t="shared" si="19"/>
        <v>3.5233436756536562E-3</v>
      </c>
      <c r="J1255" s="3">
        <v>-1.8757910261489874E-3</v>
      </c>
      <c r="K1255" s="3">
        <v>0.39421565545425968</v>
      </c>
    </row>
    <row r="1256" spans="1:11" x14ac:dyDescent="0.2">
      <c r="A1256" s="1">
        <v>43482</v>
      </c>
      <c r="B1256">
        <v>98.664909362792898</v>
      </c>
      <c r="C1256">
        <v>106.120002746582</v>
      </c>
      <c r="D1256">
        <v>106.629997253417</v>
      </c>
      <c r="E1256">
        <v>104.76000213623</v>
      </c>
      <c r="F1256">
        <v>105</v>
      </c>
      <c r="G1256" s="2">
        <v>28393000</v>
      </c>
      <c r="H1256" s="3">
        <f t="shared" si="19"/>
        <v>7.0225695749019934E-3</v>
      </c>
      <c r="J1256" s="3">
        <v>-1.8647058496104041E-3</v>
      </c>
      <c r="K1256" s="3">
        <v>0.39453002200565862</v>
      </c>
    </row>
    <row r="1257" spans="1:11" x14ac:dyDescent="0.2">
      <c r="A1257" s="1">
        <v>43483</v>
      </c>
      <c r="B1257">
        <v>100.143188476562</v>
      </c>
      <c r="C1257">
        <v>107.709999084472</v>
      </c>
      <c r="D1257">
        <v>107.900001525878</v>
      </c>
      <c r="E1257">
        <v>105.91000366210901</v>
      </c>
      <c r="F1257">
        <v>107.459999084472</v>
      </c>
      <c r="G1257" s="2">
        <v>37427600</v>
      </c>
      <c r="H1257" s="3">
        <f t="shared" si="19"/>
        <v>1.4982825437293457E-2</v>
      </c>
      <c r="J1257" s="3">
        <v>-1.8545705438719473E-3</v>
      </c>
      <c r="K1257" s="3">
        <v>0.3948443885570575</v>
      </c>
    </row>
    <row r="1258" spans="1:11" x14ac:dyDescent="0.2">
      <c r="A1258" s="1">
        <v>43487</v>
      </c>
      <c r="B1258">
        <v>98.255798339843693</v>
      </c>
      <c r="C1258">
        <v>105.680000305175</v>
      </c>
      <c r="D1258">
        <v>107.09999847412099</v>
      </c>
      <c r="E1258">
        <v>104.86000061035099</v>
      </c>
      <c r="F1258">
        <v>106.75</v>
      </c>
      <c r="G1258" s="2">
        <v>32371300</v>
      </c>
      <c r="H1258" s="3">
        <f t="shared" si="19"/>
        <v>-1.8846914757063571E-2</v>
      </c>
      <c r="J1258" s="3">
        <v>-1.8527540056683112E-3</v>
      </c>
      <c r="K1258" s="3">
        <v>0.39515875510845644</v>
      </c>
    </row>
    <row r="1259" spans="1:11" x14ac:dyDescent="0.2">
      <c r="A1259" s="1">
        <v>43488</v>
      </c>
      <c r="B1259">
        <v>99.213447570800696</v>
      </c>
      <c r="C1259">
        <v>106.709999084472</v>
      </c>
      <c r="D1259">
        <v>107.040000915527</v>
      </c>
      <c r="E1259">
        <v>105.33999633789</v>
      </c>
      <c r="F1259">
        <v>106.120002746582</v>
      </c>
      <c r="G1259" s="2">
        <v>25874300</v>
      </c>
      <c r="H1259" s="3">
        <f t="shared" si="19"/>
        <v>9.7464907632700548E-3</v>
      </c>
      <c r="J1259" s="3">
        <v>-1.8512562752048822E-3</v>
      </c>
      <c r="K1259" s="3">
        <v>0.39547312165985538</v>
      </c>
    </row>
    <row r="1260" spans="1:11" x14ac:dyDescent="0.2">
      <c r="A1260" s="1">
        <v>43489</v>
      </c>
      <c r="B1260">
        <v>98.739280700683594</v>
      </c>
      <c r="C1260">
        <v>106.199996948242</v>
      </c>
      <c r="D1260">
        <v>107</v>
      </c>
      <c r="E1260">
        <v>105.33999633789</v>
      </c>
      <c r="F1260">
        <v>106.86000061035099</v>
      </c>
      <c r="G1260" s="2">
        <v>23164800</v>
      </c>
      <c r="H1260" s="3">
        <f t="shared" si="19"/>
        <v>-4.7792600874868585E-3</v>
      </c>
      <c r="J1260" s="3">
        <v>-1.8498028068492101E-3</v>
      </c>
      <c r="K1260" s="3">
        <v>0.39578748821125431</v>
      </c>
    </row>
    <row r="1261" spans="1:11" x14ac:dyDescent="0.2">
      <c r="A1261" s="1">
        <v>43490</v>
      </c>
      <c r="B1261">
        <v>99.641136169433594</v>
      </c>
      <c r="C1261">
        <v>107.169998168945</v>
      </c>
      <c r="D1261">
        <v>107.879997253417</v>
      </c>
      <c r="E1261">
        <v>106.199996948242</v>
      </c>
      <c r="F1261">
        <v>107.23999786376901</v>
      </c>
      <c r="G1261" s="2">
        <v>31225600</v>
      </c>
      <c r="H1261" s="3">
        <f t="shared" si="19"/>
        <v>9.133705070060838E-3</v>
      </c>
      <c r="J1261" s="3">
        <v>-1.8421671388996197E-3</v>
      </c>
      <c r="K1261" s="3">
        <v>0.39610185476265325</v>
      </c>
    </row>
    <row r="1262" spans="1:11" x14ac:dyDescent="0.2">
      <c r="A1262" s="1">
        <v>43493</v>
      </c>
      <c r="B1262">
        <v>97.697959899902301</v>
      </c>
      <c r="C1262">
        <v>105.08000183105401</v>
      </c>
      <c r="D1262">
        <v>106.480003356933</v>
      </c>
      <c r="E1262">
        <v>104.66000366210901</v>
      </c>
      <c r="F1262">
        <v>106.26000213623</v>
      </c>
      <c r="G1262" s="2">
        <v>29476700</v>
      </c>
      <c r="H1262" s="3">
        <f t="shared" si="19"/>
        <v>-1.9501747413106951E-2</v>
      </c>
      <c r="J1262" s="3">
        <v>-1.8420173590868449E-3</v>
      </c>
      <c r="K1262" s="3">
        <v>0.39641622131405219</v>
      </c>
    </row>
    <row r="1263" spans="1:11" x14ac:dyDescent="0.2">
      <c r="A1263" s="1">
        <v>43494</v>
      </c>
      <c r="B1263">
        <v>95.708297729492102</v>
      </c>
      <c r="C1263">
        <v>102.94000244140599</v>
      </c>
      <c r="D1263">
        <v>104.970001220703</v>
      </c>
      <c r="E1263">
        <v>102.169998168945</v>
      </c>
      <c r="F1263">
        <v>104.879997253417</v>
      </c>
      <c r="G1263" s="2">
        <v>31490500</v>
      </c>
      <c r="H1263" s="3">
        <f t="shared" si="19"/>
        <v>-2.0365442353645236E-2</v>
      </c>
      <c r="J1263" s="3">
        <v>-1.819461276421408E-3</v>
      </c>
      <c r="K1263" s="3">
        <v>0.39673058786545112</v>
      </c>
    </row>
    <row r="1264" spans="1:11" x14ac:dyDescent="0.2">
      <c r="A1264" s="1">
        <v>43495</v>
      </c>
      <c r="B1264">
        <v>98.906623840332003</v>
      </c>
      <c r="C1264">
        <v>106.379997253417</v>
      </c>
      <c r="D1264">
        <v>106.379997253417</v>
      </c>
      <c r="E1264">
        <v>104.33000183105401</v>
      </c>
      <c r="F1264">
        <v>104.620002746582</v>
      </c>
      <c r="G1264" s="2">
        <v>49471900</v>
      </c>
      <c r="H1264" s="3">
        <f t="shared" si="19"/>
        <v>3.3417438056202675E-2</v>
      </c>
      <c r="J1264" s="3">
        <v>-1.7922839443000882E-3</v>
      </c>
      <c r="K1264" s="3">
        <v>0.39704495441685006</v>
      </c>
    </row>
    <row r="1265" spans="1:11" x14ac:dyDescent="0.2">
      <c r="A1265" s="1">
        <v>43496</v>
      </c>
      <c r="B1265">
        <v>97.093605041503906</v>
      </c>
      <c r="C1265">
        <v>104.430000305175</v>
      </c>
      <c r="D1265">
        <v>105.220001220703</v>
      </c>
      <c r="E1265">
        <v>103.180000305175</v>
      </c>
      <c r="F1265">
        <v>103.800003051757</v>
      </c>
      <c r="G1265" s="2">
        <v>55636400</v>
      </c>
      <c r="H1265" s="3">
        <f t="shared" si="19"/>
        <v>-1.8330610513557777E-2</v>
      </c>
      <c r="J1265" s="3">
        <v>-1.7885963631473212E-3</v>
      </c>
      <c r="K1265" s="3">
        <v>0.397359320968249</v>
      </c>
    </row>
    <row r="1266" spans="1:11" x14ac:dyDescent="0.2">
      <c r="A1266" s="1">
        <v>43497</v>
      </c>
      <c r="B1266">
        <v>95.559547424316406</v>
      </c>
      <c r="C1266">
        <v>102.77999877929599</v>
      </c>
      <c r="D1266">
        <v>104.09999847412099</v>
      </c>
      <c r="E1266">
        <v>102.34999847412099</v>
      </c>
      <c r="F1266">
        <v>103.77999877929599</v>
      </c>
      <c r="G1266" s="2">
        <v>35535700</v>
      </c>
      <c r="H1266" s="3">
        <f t="shared" si="19"/>
        <v>-1.579978018667394E-2</v>
      </c>
      <c r="J1266" s="3">
        <v>-1.7874966584814356E-3</v>
      </c>
      <c r="K1266" s="3">
        <v>0.39767368751964793</v>
      </c>
    </row>
    <row r="1267" spans="1:11" x14ac:dyDescent="0.2">
      <c r="A1267" s="1">
        <v>43500</v>
      </c>
      <c r="B1267">
        <v>98.311592102050696</v>
      </c>
      <c r="C1267">
        <v>105.73999786376901</v>
      </c>
      <c r="D1267">
        <v>105.800003051757</v>
      </c>
      <c r="E1267">
        <v>102.76999664306599</v>
      </c>
      <c r="F1267">
        <v>102.870002746582</v>
      </c>
      <c r="G1267" s="2">
        <v>31315100</v>
      </c>
      <c r="H1267" s="3">
        <f t="shared" si="19"/>
        <v>2.8799264457734397E-2</v>
      </c>
      <c r="J1267" s="3">
        <v>-1.770628316648537E-3</v>
      </c>
      <c r="K1267" s="3">
        <v>0.39798805407104682</v>
      </c>
    </row>
    <row r="1268" spans="1:11" x14ac:dyDescent="0.2">
      <c r="A1268" s="1">
        <v>43501</v>
      </c>
      <c r="B1268">
        <v>99.687644958496094</v>
      </c>
      <c r="C1268">
        <v>107.220001220703</v>
      </c>
      <c r="D1268">
        <v>107.26999664306599</v>
      </c>
      <c r="E1268">
        <v>105.959999084472</v>
      </c>
      <c r="F1268">
        <v>106.059997558593</v>
      </c>
      <c r="G1268" s="2">
        <v>27325400</v>
      </c>
      <c r="H1268" s="3">
        <f t="shared" si="19"/>
        <v>1.399685252800098E-2</v>
      </c>
      <c r="J1268" s="3">
        <v>-1.7644928307183338E-3</v>
      </c>
      <c r="K1268" s="3">
        <v>0.39830242062244575</v>
      </c>
    </row>
    <row r="1269" spans="1:11" x14ac:dyDescent="0.2">
      <c r="A1269" s="1">
        <v>43502</v>
      </c>
      <c r="B1269">
        <v>98.581230163574205</v>
      </c>
      <c r="C1269">
        <v>106.02999877929599</v>
      </c>
      <c r="D1269">
        <v>107</v>
      </c>
      <c r="E1269">
        <v>105.52999877929599</v>
      </c>
      <c r="F1269">
        <v>107</v>
      </c>
      <c r="G1269" s="2">
        <v>20609800</v>
      </c>
      <c r="H1269" s="3">
        <f t="shared" si="19"/>
        <v>-1.1098815659478456E-2</v>
      </c>
      <c r="J1269" s="3">
        <v>-1.763676907702294E-3</v>
      </c>
      <c r="K1269" s="3">
        <v>0.39861678717384469</v>
      </c>
    </row>
    <row r="1270" spans="1:11" x14ac:dyDescent="0.2">
      <c r="A1270" s="1">
        <v>43503</v>
      </c>
      <c r="B1270">
        <v>97.874588012695298</v>
      </c>
      <c r="C1270">
        <v>105.26999664306599</v>
      </c>
      <c r="D1270">
        <v>105.58999633789</v>
      </c>
      <c r="E1270">
        <v>104.290000915527</v>
      </c>
      <c r="F1270">
        <v>105.19000244140599</v>
      </c>
      <c r="G1270" s="2">
        <v>29760700</v>
      </c>
      <c r="H1270" s="3">
        <f t="shared" si="19"/>
        <v>-7.1681206423006572E-3</v>
      </c>
      <c r="J1270" s="3">
        <v>-1.7611434686596317E-3</v>
      </c>
      <c r="K1270" s="3">
        <v>0.39893115372524363</v>
      </c>
    </row>
    <row r="1271" spans="1:11" x14ac:dyDescent="0.2">
      <c r="A1271" s="1">
        <v>43504</v>
      </c>
      <c r="B1271">
        <v>98.246520996093693</v>
      </c>
      <c r="C1271">
        <v>105.669998168945</v>
      </c>
      <c r="D1271">
        <v>105.77999877929599</v>
      </c>
      <c r="E1271">
        <v>104.26000213623</v>
      </c>
      <c r="F1271">
        <v>104.389999389648</v>
      </c>
      <c r="G1271" s="2">
        <v>21461100</v>
      </c>
      <c r="H1271" s="3">
        <f t="shared" si="19"/>
        <v>3.8000975631198308E-3</v>
      </c>
      <c r="J1271" s="3">
        <v>-1.7609108829212961E-3</v>
      </c>
      <c r="K1271" s="3">
        <v>0.39924552027664256</v>
      </c>
    </row>
    <row r="1272" spans="1:11" x14ac:dyDescent="0.2">
      <c r="A1272" s="1">
        <v>43507</v>
      </c>
      <c r="B1272">
        <v>97.856010437011705</v>
      </c>
      <c r="C1272">
        <v>105.25</v>
      </c>
      <c r="D1272">
        <v>106.58000183105401</v>
      </c>
      <c r="E1272">
        <v>104.970001220703</v>
      </c>
      <c r="F1272">
        <v>106.199996948242</v>
      </c>
      <c r="G1272" s="2">
        <v>18914100</v>
      </c>
      <c r="H1272" s="3">
        <f t="shared" si="19"/>
        <v>-3.9748029255664008E-3</v>
      </c>
      <c r="J1272" s="3">
        <v>-1.7560197959715085E-3</v>
      </c>
      <c r="K1272" s="3">
        <v>0.3995598868280415</v>
      </c>
    </row>
    <row r="1273" spans="1:11" x14ac:dyDescent="0.2">
      <c r="A1273" s="1">
        <v>43508</v>
      </c>
      <c r="B1273">
        <v>99.380783081054602</v>
      </c>
      <c r="C1273">
        <v>106.889999389648</v>
      </c>
      <c r="D1273">
        <v>107.139999389648</v>
      </c>
      <c r="E1273">
        <v>105.480003356933</v>
      </c>
      <c r="F1273">
        <v>106.139999389648</v>
      </c>
      <c r="G1273" s="2">
        <v>25056600</v>
      </c>
      <c r="H1273" s="3">
        <f t="shared" si="19"/>
        <v>1.5581798575616146E-2</v>
      </c>
      <c r="J1273" s="3">
        <v>-1.7499599477568406E-3</v>
      </c>
      <c r="K1273" s="3">
        <v>0.39987425337944044</v>
      </c>
    </row>
    <row r="1274" spans="1:11" x14ac:dyDescent="0.2">
      <c r="A1274" s="1">
        <v>43509</v>
      </c>
      <c r="B1274">
        <v>99.306434631347599</v>
      </c>
      <c r="C1274">
        <v>106.809997558593</v>
      </c>
      <c r="D1274">
        <v>107.77999877929599</v>
      </c>
      <c r="E1274">
        <v>106.709999084472</v>
      </c>
      <c r="F1274">
        <v>107.5</v>
      </c>
      <c r="G1274" s="2">
        <v>18394900</v>
      </c>
      <c r="H1274" s="3">
        <f t="shared" si="19"/>
        <v>-7.4811696388388249E-4</v>
      </c>
      <c r="J1274" s="3">
        <v>-1.7495316255230486E-3</v>
      </c>
      <c r="K1274" s="3">
        <v>0.40018861993083937</v>
      </c>
    </row>
    <row r="1275" spans="1:11" x14ac:dyDescent="0.2">
      <c r="A1275" s="1">
        <v>43510</v>
      </c>
      <c r="B1275">
        <v>99.390106201171804</v>
      </c>
      <c r="C1275">
        <v>106.900001525878</v>
      </c>
      <c r="D1275">
        <v>107.290000915527</v>
      </c>
      <c r="E1275">
        <v>105.66000366210901</v>
      </c>
      <c r="F1275">
        <v>106.309997558593</v>
      </c>
      <c r="G1275" s="2">
        <v>21784700</v>
      </c>
      <c r="H1275" s="3">
        <f t="shared" si="19"/>
        <v>8.425593984400237E-4</v>
      </c>
      <c r="J1275" s="3">
        <v>-1.7435806047383373E-3</v>
      </c>
      <c r="K1275" s="3">
        <v>0.40050298648223831</v>
      </c>
    </row>
    <row r="1276" spans="1:11" x14ac:dyDescent="0.2">
      <c r="A1276" s="1">
        <v>43511</v>
      </c>
      <c r="B1276">
        <v>100.617370605468</v>
      </c>
      <c r="C1276">
        <v>108.220001220703</v>
      </c>
      <c r="D1276">
        <v>108.300003051757</v>
      </c>
      <c r="E1276">
        <v>107.36000061035099</v>
      </c>
      <c r="F1276">
        <v>107.91000366210901</v>
      </c>
      <c r="G1276" s="2">
        <v>26606900</v>
      </c>
      <c r="H1276" s="3">
        <f t="shared" si="19"/>
        <v>1.2347953445307036E-2</v>
      </c>
      <c r="J1276" s="3">
        <v>-1.736960177702862E-3</v>
      </c>
      <c r="K1276" s="3">
        <v>0.40081735303363725</v>
      </c>
    </row>
    <row r="1277" spans="1:11" x14ac:dyDescent="0.2">
      <c r="A1277" s="1">
        <v>43515</v>
      </c>
      <c r="B1277">
        <v>100.5708694458</v>
      </c>
      <c r="C1277">
        <v>108.169998168945</v>
      </c>
      <c r="D1277">
        <v>108.66000366210901</v>
      </c>
      <c r="E1277">
        <v>107.77999877929599</v>
      </c>
      <c r="F1277">
        <v>107.790000915527</v>
      </c>
      <c r="G1277" s="2">
        <v>18038500</v>
      </c>
      <c r="H1277" s="3">
        <f t="shared" si="19"/>
        <v>-4.6215836677276911E-4</v>
      </c>
      <c r="J1277" s="3">
        <v>-1.7349841165709146E-3</v>
      </c>
      <c r="K1277" s="3">
        <v>0.40113171958503613</v>
      </c>
    </row>
    <row r="1278" spans="1:11" x14ac:dyDescent="0.2">
      <c r="A1278" s="1">
        <v>43516</v>
      </c>
      <c r="B1278">
        <v>100.04800415039</v>
      </c>
      <c r="C1278">
        <v>107.150001525878</v>
      </c>
      <c r="D1278">
        <v>107.94000244140599</v>
      </c>
      <c r="E1278">
        <v>106.290000915527</v>
      </c>
      <c r="F1278">
        <v>107.86000061035099</v>
      </c>
      <c r="G1278" s="2">
        <v>21607700</v>
      </c>
      <c r="H1278" s="3">
        <f t="shared" si="19"/>
        <v>-5.1989736023092536E-3</v>
      </c>
      <c r="J1278" s="3">
        <v>-1.7223409550015667E-3</v>
      </c>
      <c r="K1278" s="3">
        <v>0.40144608613643507</v>
      </c>
    </row>
    <row r="1279" spans="1:11" x14ac:dyDescent="0.2">
      <c r="A1279" s="1">
        <v>43517</v>
      </c>
      <c r="B1279">
        <v>102.15821838378901</v>
      </c>
      <c r="C1279">
        <v>109.41000366210901</v>
      </c>
      <c r="D1279">
        <v>109.480003356933</v>
      </c>
      <c r="E1279">
        <v>106.870002746582</v>
      </c>
      <c r="F1279">
        <v>106.900001525878</v>
      </c>
      <c r="G1279" s="2">
        <v>29063200</v>
      </c>
      <c r="H1279" s="3">
        <f t="shared" si="19"/>
        <v>2.1092017290289755E-2</v>
      </c>
      <c r="J1279" s="3">
        <v>-1.6986753515803032E-3</v>
      </c>
      <c r="K1279" s="3">
        <v>0.401760452687834</v>
      </c>
    </row>
    <row r="1280" spans="1:11" x14ac:dyDescent="0.2">
      <c r="A1280" s="1">
        <v>43518</v>
      </c>
      <c r="B1280">
        <v>103.61480712890599</v>
      </c>
      <c r="C1280">
        <v>110.970001220703</v>
      </c>
      <c r="D1280">
        <v>111.199996948242</v>
      </c>
      <c r="E1280">
        <v>109.81999969482401</v>
      </c>
      <c r="F1280">
        <v>110.050003051757</v>
      </c>
      <c r="G1280" s="2">
        <v>27763200</v>
      </c>
      <c r="H1280" s="3">
        <f t="shared" si="19"/>
        <v>1.4258165110562659E-2</v>
      </c>
      <c r="J1280" s="3">
        <v>-1.6909906406820108E-3</v>
      </c>
      <c r="K1280" s="3">
        <v>0.40207481923923294</v>
      </c>
    </row>
    <row r="1281" spans="1:11" x14ac:dyDescent="0.2">
      <c r="A1281" s="1">
        <v>43521</v>
      </c>
      <c r="B1281">
        <v>104.193710327148</v>
      </c>
      <c r="C1281">
        <v>111.58999633789</v>
      </c>
      <c r="D1281">
        <v>112.180000305175</v>
      </c>
      <c r="E1281">
        <v>111.26000213623</v>
      </c>
      <c r="F1281">
        <v>111.76000213623</v>
      </c>
      <c r="G1281" s="2">
        <v>23750600</v>
      </c>
      <c r="H1281" s="3">
        <f t="shared" si="19"/>
        <v>5.587070171561459E-3</v>
      </c>
      <c r="J1281" s="3">
        <v>-1.6898641855237484E-3</v>
      </c>
      <c r="K1281" s="3">
        <v>0.40238918579063188</v>
      </c>
    </row>
    <row r="1282" spans="1:11" x14ac:dyDescent="0.2">
      <c r="A1282" s="1">
        <v>43522</v>
      </c>
      <c r="B1282">
        <v>104.91265106201099</v>
      </c>
      <c r="C1282">
        <v>112.36000061035099</v>
      </c>
      <c r="D1282">
        <v>113.23999786376901</v>
      </c>
      <c r="E1282">
        <v>111.169998168945</v>
      </c>
      <c r="F1282">
        <v>111.26000213623</v>
      </c>
      <c r="G1282" s="2">
        <v>21536700</v>
      </c>
      <c r="H1282" s="3">
        <f t="shared" ref="H1282:H1345" si="20">B1282/B1281-1</f>
        <v>6.9000396723148949E-3</v>
      </c>
      <c r="J1282" s="3">
        <v>-1.6846586288823406E-3</v>
      </c>
      <c r="K1282" s="3">
        <v>0.40270355234203081</v>
      </c>
    </row>
    <row r="1283" spans="1:11" x14ac:dyDescent="0.2">
      <c r="A1283" s="1">
        <v>43523</v>
      </c>
      <c r="B1283">
        <v>104.73524475097599</v>
      </c>
      <c r="C1283">
        <v>112.169998168945</v>
      </c>
      <c r="D1283">
        <v>112.36000061035099</v>
      </c>
      <c r="E1283">
        <v>110.879997253417</v>
      </c>
      <c r="F1283">
        <v>111.69000244140599</v>
      </c>
      <c r="G1283" s="2">
        <v>21487100</v>
      </c>
      <c r="H1283" s="3">
        <f t="shared" si="20"/>
        <v>-1.6909906406820108E-3</v>
      </c>
      <c r="J1283" s="3">
        <v>-1.6790122229867199E-3</v>
      </c>
      <c r="K1283" s="3">
        <v>0.40301791889342975</v>
      </c>
    </row>
    <row r="1284" spans="1:11" x14ac:dyDescent="0.2">
      <c r="A1284" s="1">
        <v>43524</v>
      </c>
      <c r="B1284">
        <v>104.60455322265599</v>
      </c>
      <c r="C1284">
        <v>112.02999877929599</v>
      </c>
      <c r="D1284">
        <v>112.879997253417</v>
      </c>
      <c r="E1284">
        <v>111.730003356933</v>
      </c>
      <c r="F1284">
        <v>112.040000915527</v>
      </c>
      <c r="G1284" s="2">
        <v>29083900</v>
      </c>
      <c r="H1284" s="3">
        <f t="shared" si="20"/>
        <v>-1.2478275926192106E-3</v>
      </c>
      <c r="J1284" s="3">
        <v>-1.6503643157483872E-3</v>
      </c>
      <c r="K1284" s="3">
        <v>0.40333228544482869</v>
      </c>
    </row>
    <row r="1285" spans="1:11" x14ac:dyDescent="0.2">
      <c r="A1285" s="1">
        <v>43525</v>
      </c>
      <c r="B1285">
        <v>105.071395874023</v>
      </c>
      <c r="C1285">
        <v>112.52999877929599</v>
      </c>
      <c r="D1285">
        <v>113.01999664306599</v>
      </c>
      <c r="E1285">
        <v>111.669998168945</v>
      </c>
      <c r="F1285">
        <v>112.889999389648</v>
      </c>
      <c r="G1285" s="2">
        <v>23501200</v>
      </c>
      <c r="H1285" s="3">
        <f t="shared" si="20"/>
        <v>4.4629285913904138E-3</v>
      </c>
      <c r="J1285" s="3">
        <v>-1.6476380331059692E-3</v>
      </c>
      <c r="K1285" s="3">
        <v>0.40364665199622762</v>
      </c>
    </row>
    <row r="1286" spans="1:11" x14ac:dyDescent="0.2">
      <c r="A1286" s="1">
        <v>43528</v>
      </c>
      <c r="B1286">
        <v>104.819297790527</v>
      </c>
      <c r="C1286">
        <v>112.26000213623</v>
      </c>
      <c r="D1286">
        <v>113.25</v>
      </c>
      <c r="E1286">
        <v>110.800003051757</v>
      </c>
      <c r="F1286">
        <v>113.01999664306599</v>
      </c>
      <c r="G1286" s="2">
        <v>26608000</v>
      </c>
      <c r="H1286" s="3">
        <f t="shared" si="20"/>
        <v>-2.3993026969799658E-3</v>
      </c>
      <c r="J1286" s="3">
        <v>-1.6410280850165382E-3</v>
      </c>
      <c r="K1286" s="3">
        <v>0.40396101854762656</v>
      </c>
    </row>
    <row r="1287" spans="1:11" x14ac:dyDescent="0.2">
      <c r="A1287" s="1">
        <v>43529</v>
      </c>
      <c r="B1287">
        <v>104.29640197753901</v>
      </c>
      <c r="C1287">
        <v>111.699996948242</v>
      </c>
      <c r="D1287">
        <v>112.389999389648</v>
      </c>
      <c r="E1287">
        <v>111.230003356933</v>
      </c>
      <c r="F1287">
        <v>112.25</v>
      </c>
      <c r="G1287" s="2">
        <v>19538300</v>
      </c>
      <c r="H1287" s="3">
        <f t="shared" si="20"/>
        <v>-4.9885452775400019E-3</v>
      </c>
      <c r="J1287" s="3">
        <v>-1.6401027133641222E-3</v>
      </c>
      <c r="K1287" s="3">
        <v>0.40427538509902544</v>
      </c>
    </row>
    <row r="1288" spans="1:11" x14ac:dyDescent="0.2">
      <c r="A1288" s="1">
        <v>43530</v>
      </c>
      <c r="B1288">
        <v>104.343086242675</v>
      </c>
      <c r="C1288">
        <v>111.75</v>
      </c>
      <c r="D1288">
        <v>112.66000366210901</v>
      </c>
      <c r="E1288">
        <v>111.430000305175</v>
      </c>
      <c r="F1288">
        <v>111.870002746582</v>
      </c>
      <c r="G1288" s="2">
        <v>17687000</v>
      </c>
      <c r="H1288" s="3">
        <f t="shared" si="20"/>
        <v>4.4761146358673898E-4</v>
      </c>
      <c r="J1288" s="3">
        <v>-1.6049328244573946E-3</v>
      </c>
      <c r="K1288" s="3">
        <v>0.40458975165042438</v>
      </c>
    </row>
    <row r="1289" spans="1:11" x14ac:dyDescent="0.2">
      <c r="A1289" s="1">
        <v>43531</v>
      </c>
      <c r="B1289">
        <v>103.0732421875</v>
      </c>
      <c r="C1289">
        <v>110.389999389648</v>
      </c>
      <c r="D1289">
        <v>111.550003051757</v>
      </c>
      <c r="E1289">
        <v>109.870002746582</v>
      </c>
      <c r="F1289">
        <v>111.400001525878</v>
      </c>
      <c r="G1289" s="2">
        <v>25339000</v>
      </c>
      <c r="H1289" s="3">
        <f t="shared" si="20"/>
        <v>-1.2169891661261256E-2</v>
      </c>
      <c r="J1289" s="3">
        <v>-1.6036203218326994E-3</v>
      </c>
      <c r="K1289" s="3">
        <v>0.40490411820182332</v>
      </c>
    </row>
    <row r="1290" spans="1:11" x14ac:dyDescent="0.2">
      <c r="A1290" s="1">
        <v>43532</v>
      </c>
      <c r="B1290">
        <v>103.18529510498</v>
      </c>
      <c r="C1290">
        <v>110.51000213623</v>
      </c>
      <c r="D1290">
        <v>110.709999084472</v>
      </c>
      <c r="E1290">
        <v>108.800003051757</v>
      </c>
      <c r="F1290">
        <v>109.16000366210901</v>
      </c>
      <c r="G1290" s="2">
        <v>22818400</v>
      </c>
      <c r="H1290" s="3">
        <f t="shared" si="20"/>
        <v>1.0871193638808396E-3</v>
      </c>
      <c r="J1290" s="3">
        <v>-1.5952838472422792E-3</v>
      </c>
      <c r="K1290" s="3">
        <v>0.40521848475322225</v>
      </c>
    </row>
    <row r="1291" spans="1:11" x14ac:dyDescent="0.2">
      <c r="A1291" s="1">
        <v>43535</v>
      </c>
      <c r="B1291">
        <v>105.351516723632</v>
      </c>
      <c r="C1291">
        <v>112.83000183105401</v>
      </c>
      <c r="D1291">
        <v>112.949996948242</v>
      </c>
      <c r="E1291">
        <v>110.980003356933</v>
      </c>
      <c r="F1291">
        <v>110.98999786376901</v>
      </c>
      <c r="G1291" s="2">
        <v>26491600</v>
      </c>
      <c r="H1291" s="3">
        <f t="shared" si="20"/>
        <v>2.099351091110524E-2</v>
      </c>
      <c r="J1291" s="3">
        <v>-1.5847532245177876E-3</v>
      </c>
      <c r="K1291" s="3">
        <v>0.40553285130462119</v>
      </c>
    </row>
    <row r="1292" spans="1:11" x14ac:dyDescent="0.2">
      <c r="A1292" s="1">
        <v>43536</v>
      </c>
      <c r="B1292">
        <v>106.089134216308</v>
      </c>
      <c r="C1292">
        <v>113.620002746582</v>
      </c>
      <c r="D1292">
        <v>113.98999786376901</v>
      </c>
      <c r="E1292">
        <v>112.650001525878</v>
      </c>
      <c r="F1292">
        <v>112.81999969482401</v>
      </c>
      <c r="G1292" s="2">
        <v>26132700</v>
      </c>
      <c r="H1292" s="3">
        <f t="shared" si="20"/>
        <v>7.0014890683631759E-3</v>
      </c>
      <c r="J1292" s="3">
        <v>-1.5821890251604964E-3</v>
      </c>
      <c r="K1292" s="3">
        <v>0.40584721785602013</v>
      </c>
    </row>
    <row r="1293" spans="1:11" x14ac:dyDescent="0.2">
      <c r="A1293" s="1">
        <v>43537</v>
      </c>
      <c r="B1293">
        <v>106.910804748535</v>
      </c>
      <c r="C1293">
        <v>114.5</v>
      </c>
      <c r="D1293">
        <v>115</v>
      </c>
      <c r="E1293">
        <v>113.77999877929599</v>
      </c>
      <c r="F1293">
        <v>114.129997253417</v>
      </c>
      <c r="G1293" s="2">
        <v>35513800</v>
      </c>
      <c r="H1293" s="3">
        <f t="shared" si="20"/>
        <v>7.745096029831533E-3</v>
      </c>
      <c r="J1293" s="3">
        <v>-1.5781615738088561E-3</v>
      </c>
      <c r="K1293" s="3">
        <v>0.40616158440741906</v>
      </c>
    </row>
    <row r="1294" spans="1:11" x14ac:dyDescent="0.2">
      <c r="A1294" s="1">
        <v>43538</v>
      </c>
      <c r="B1294">
        <v>106.994873046875</v>
      </c>
      <c r="C1294">
        <v>114.58999633789</v>
      </c>
      <c r="D1294">
        <v>115.199996948242</v>
      </c>
      <c r="E1294">
        <v>114.33000183105401</v>
      </c>
      <c r="F1294">
        <v>114.540000915527</v>
      </c>
      <c r="G1294" s="2">
        <v>30763400</v>
      </c>
      <c r="H1294" s="3">
        <f t="shared" si="20"/>
        <v>7.8634052505477392E-4</v>
      </c>
      <c r="J1294" s="3">
        <v>-1.574760046467949E-3</v>
      </c>
      <c r="K1294" s="3">
        <v>0.406475950958818</v>
      </c>
    </row>
    <row r="1295" spans="1:11" x14ac:dyDescent="0.2">
      <c r="A1295" s="1">
        <v>43539</v>
      </c>
      <c r="B1295">
        <v>108.22737121582</v>
      </c>
      <c r="C1295">
        <v>115.91000366210901</v>
      </c>
      <c r="D1295">
        <v>117.25</v>
      </c>
      <c r="E1295">
        <v>114.58999633789</v>
      </c>
      <c r="F1295">
        <v>115.33999633789</v>
      </c>
      <c r="G1295" s="2">
        <v>54681100</v>
      </c>
      <c r="H1295" s="3">
        <f t="shared" si="20"/>
        <v>1.1519226425036555E-2</v>
      </c>
      <c r="J1295" s="3">
        <v>-1.5536318607637378E-3</v>
      </c>
      <c r="K1295" s="3">
        <v>0.40679031751021694</v>
      </c>
    </row>
    <row r="1296" spans="1:11" x14ac:dyDescent="0.2">
      <c r="A1296" s="1">
        <v>43542</v>
      </c>
      <c r="B1296">
        <v>109.77735137939401</v>
      </c>
      <c r="C1296">
        <v>117.56999969482401</v>
      </c>
      <c r="D1296">
        <v>117.61000061035099</v>
      </c>
      <c r="E1296">
        <v>116.050003051757</v>
      </c>
      <c r="F1296">
        <v>116.169998168945</v>
      </c>
      <c r="G1296" s="2">
        <v>31207600</v>
      </c>
      <c r="H1296" s="3">
        <f t="shared" si="20"/>
        <v>1.4321517248008675E-2</v>
      </c>
      <c r="J1296" s="3">
        <v>-1.5530665248892905E-3</v>
      </c>
      <c r="K1296" s="3">
        <v>0.40710468406161582</v>
      </c>
    </row>
    <row r="1297" spans="1:11" x14ac:dyDescent="0.2">
      <c r="A1297" s="1">
        <v>43543</v>
      </c>
      <c r="B1297">
        <v>109.852043151855</v>
      </c>
      <c r="C1297">
        <v>117.650001525878</v>
      </c>
      <c r="D1297">
        <v>118.44000244140599</v>
      </c>
      <c r="E1297">
        <v>116.98999786376901</v>
      </c>
      <c r="F1297">
        <v>118.08999633789</v>
      </c>
      <c r="G1297" s="2">
        <v>37588700</v>
      </c>
      <c r="H1297" s="3">
        <f t="shared" si="20"/>
        <v>6.8039328260760534E-4</v>
      </c>
      <c r="J1297" s="3">
        <v>-1.547720151993226E-3</v>
      </c>
      <c r="K1297" s="3">
        <v>0.40741905061301475</v>
      </c>
    </row>
    <row r="1298" spans="1:11" x14ac:dyDescent="0.2">
      <c r="A1298" s="1">
        <v>43544</v>
      </c>
      <c r="B1298">
        <v>109.730667114257</v>
      </c>
      <c r="C1298">
        <v>117.51999664306599</v>
      </c>
      <c r="D1298">
        <v>118.75</v>
      </c>
      <c r="E1298">
        <v>116.709999084472</v>
      </c>
      <c r="F1298">
        <v>117.389999389648</v>
      </c>
      <c r="G1298" s="2">
        <v>28113300</v>
      </c>
      <c r="H1298" s="3">
        <f t="shared" si="20"/>
        <v>-1.1049046892119829E-3</v>
      </c>
      <c r="J1298" s="3">
        <v>-1.5426966352561911E-3</v>
      </c>
      <c r="K1298" s="3">
        <v>0.40773341716441369</v>
      </c>
    </row>
    <row r="1299" spans="1:11" x14ac:dyDescent="0.2">
      <c r="A1299" s="1">
        <v>43545</v>
      </c>
      <c r="B1299">
        <v>112.25172424316401</v>
      </c>
      <c r="C1299">
        <v>120.220001220703</v>
      </c>
      <c r="D1299">
        <v>120.81999969482401</v>
      </c>
      <c r="E1299">
        <v>117.08999633789</v>
      </c>
      <c r="F1299">
        <v>117.139999389648</v>
      </c>
      <c r="G1299" s="2">
        <v>29854400</v>
      </c>
      <c r="H1299" s="3">
        <f t="shared" si="20"/>
        <v>2.2974954907382106E-2</v>
      </c>
      <c r="J1299" s="3">
        <v>-1.5254812388594274E-3</v>
      </c>
      <c r="K1299" s="3">
        <v>0.40804778371581263</v>
      </c>
    </row>
    <row r="1300" spans="1:11" x14ac:dyDescent="0.2">
      <c r="A1300" s="1">
        <v>43546</v>
      </c>
      <c r="B1300">
        <v>109.29183197021401</v>
      </c>
      <c r="C1300">
        <v>117.050003051757</v>
      </c>
      <c r="D1300">
        <v>119.58999633789</v>
      </c>
      <c r="E1300">
        <v>117.040000915527</v>
      </c>
      <c r="F1300">
        <v>119.5</v>
      </c>
      <c r="G1300" s="2">
        <v>33624500</v>
      </c>
      <c r="H1300" s="3">
        <f t="shared" si="20"/>
        <v>-2.6368345723921105E-2</v>
      </c>
      <c r="J1300" s="3">
        <v>-1.5223276275038167E-3</v>
      </c>
      <c r="K1300" s="3">
        <v>0.40836215026721157</v>
      </c>
    </row>
    <row r="1301" spans="1:11" x14ac:dyDescent="0.2">
      <c r="A1301" s="1">
        <v>43549</v>
      </c>
      <c r="B1301">
        <v>109.861366271972</v>
      </c>
      <c r="C1301">
        <v>117.66000366210901</v>
      </c>
      <c r="D1301">
        <v>118.01000213623</v>
      </c>
      <c r="E1301">
        <v>116.31999969482401</v>
      </c>
      <c r="F1301">
        <v>116.559997558593</v>
      </c>
      <c r="G1301" s="2">
        <v>27067100</v>
      </c>
      <c r="H1301" s="3">
        <f t="shared" si="20"/>
        <v>5.2111332703546065E-3</v>
      </c>
      <c r="J1301" s="3">
        <v>-1.5198151347474154E-3</v>
      </c>
      <c r="K1301" s="3">
        <v>0.4086765168186105</v>
      </c>
    </row>
    <row r="1302" spans="1:11" x14ac:dyDescent="0.2">
      <c r="A1302" s="1">
        <v>43550</v>
      </c>
      <c r="B1302">
        <v>110.094825744628</v>
      </c>
      <c r="C1302">
        <v>117.91000366210901</v>
      </c>
      <c r="D1302">
        <v>118.709999084472</v>
      </c>
      <c r="E1302">
        <v>116.84999847412099</v>
      </c>
      <c r="F1302">
        <v>118.620002746582</v>
      </c>
      <c r="G1302" s="2">
        <v>26097700</v>
      </c>
      <c r="H1302" s="3">
        <f t="shared" si="20"/>
        <v>2.1250370405738739E-3</v>
      </c>
      <c r="J1302" s="3">
        <v>-1.5144472256043429E-3</v>
      </c>
      <c r="K1302" s="3">
        <v>0.40899088337000944</v>
      </c>
    </row>
    <row r="1303" spans="1:11" x14ac:dyDescent="0.2">
      <c r="A1303" s="1">
        <v>43551</v>
      </c>
      <c r="B1303">
        <v>109.03036499023401</v>
      </c>
      <c r="C1303">
        <v>116.76999664306599</v>
      </c>
      <c r="D1303">
        <v>118.209999084472</v>
      </c>
      <c r="E1303">
        <v>115.51999664306599</v>
      </c>
      <c r="F1303">
        <v>117.879997253417</v>
      </c>
      <c r="G1303" s="2">
        <v>22733400</v>
      </c>
      <c r="H1303" s="3">
        <f t="shared" si="20"/>
        <v>-9.6685811271737254E-3</v>
      </c>
      <c r="J1303" s="3">
        <v>-1.5063165468076622E-3</v>
      </c>
      <c r="K1303" s="3">
        <v>0.40930524992140838</v>
      </c>
    </row>
    <row r="1304" spans="1:11" x14ac:dyDescent="0.2">
      <c r="A1304" s="1">
        <v>43552</v>
      </c>
      <c r="B1304">
        <v>109.179786682128</v>
      </c>
      <c r="C1304">
        <v>116.930000305175</v>
      </c>
      <c r="D1304">
        <v>117.58000183105401</v>
      </c>
      <c r="E1304">
        <v>116.129997253417</v>
      </c>
      <c r="F1304">
        <v>117.44000244140599</v>
      </c>
      <c r="G1304" s="2">
        <v>18334800</v>
      </c>
      <c r="H1304" s="3">
        <f t="shared" si="20"/>
        <v>1.3704594303374229E-3</v>
      </c>
      <c r="J1304" s="3">
        <v>-1.491859776732829E-3</v>
      </c>
      <c r="K1304" s="3">
        <v>0.40961961647280731</v>
      </c>
    </row>
    <row r="1305" spans="1:11" x14ac:dyDescent="0.2">
      <c r="A1305" s="1">
        <v>43553</v>
      </c>
      <c r="B1305">
        <v>110.122840881347</v>
      </c>
      <c r="C1305">
        <v>117.94000244140599</v>
      </c>
      <c r="D1305">
        <v>118.31999969482401</v>
      </c>
      <c r="E1305">
        <v>116.959999084472</v>
      </c>
      <c r="F1305">
        <v>118.06999969482401</v>
      </c>
      <c r="G1305" s="2">
        <v>25399800</v>
      </c>
      <c r="H1305" s="3">
        <f t="shared" si="20"/>
        <v>8.6376263214789084E-3</v>
      </c>
      <c r="J1305" s="3">
        <v>-1.4886243941933941E-3</v>
      </c>
      <c r="K1305" s="3">
        <v>0.40993398302420625</v>
      </c>
    </row>
    <row r="1306" spans="1:11" x14ac:dyDescent="0.2">
      <c r="A1306" s="1">
        <v>43556</v>
      </c>
      <c r="B1306">
        <v>111.131233215332</v>
      </c>
      <c r="C1306">
        <v>119.01999664306599</v>
      </c>
      <c r="D1306">
        <v>119.11000061035099</v>
      </c>
      <c r="E1306">
        <v>118.09999847412099</v>
      </c>
      <c r="F1306">
        <v>118.949996948242</v>
      </c>
      <c r="G1306" s="2">
        <v>22789100</v>
      </c>
      <c r="H1306" s="3">
        <f t="shared" si="20"/>
        <v>9.1569771167772096E-3</v>
      </c>
      <c r="J1306" s="3">
        <v>-1.4881781780964332E-3</v>
      </c>
      <c r="K1306" s="3">
        <v>0.41024834957560513</v>
      </c>
    </row>
    <row r="1307" spans="1:11" x14ac:dyDescent="0.2">
      <c r="A1307" s="1">
        <v>43557</v>
      </c>
      <c r="B1307">
        <v>111.28997039794901</v>
      </c>
      <c r="C1307">
        <v>119.19000244140599</v>
      </c>
      <c r="D1307">
        <v>119.480003356933</v>
      </c>
      <c r="E1307">
        <v>118.51999664306599</v>
      </c>
      <c r="F1307">
        <v>119.059997558593</v>
      </c>
      <c r="G1307" s="2">
        <v>18142300</v>
      </c>
      <c r="H1307" s="3">
        <f t="shared" si="20"/>
        <v>1.4283759661823936E-3</v>
      </c>
      <c r="J1307" s="3">
        <v>-1.4878739891021064E-3</v>
      </c>
      <c r="K1307" s="3">
        <v>0.41056271612700407</v>
      </c>
    </row>
    <row r="1308" spans="1:11" x14ac:dyDescent="0.2">
      <c r="A1308" s="1">
        <v>43558</v>
      </c>
      <c r="B1308">
        <v>112.018272399902</v>
      </c>
      <c r="C1308">
        <v>119.970001220703</v>
      </c>
      <c r="D1308">
        <v>120.430000305175</v>
      </c>
      <c r="E1308">
        <v>119.150001525878</v>
      </c>
      <c r="F1308">
        <v>119.86000061035099</v>
      </c>
      <c r="G1308" s="2">
        <v>22860700</v>
      </c>
      <c r="H1308" s="3">
        <f t="shared" si="20"/>
        <v>6.5441836254314101E-3</v>
      </c>
      <c r="J1308" s="3">
        <v>-1.4672145407631509E-3</v>
      </c>
      <c r="K1308" s="3">
        <v>0.41087708267840301</v>
      </c>
    </row>
    <row r="1309" spans="1:11" x14ac:dyDescent="0.2">
      <c r="A1309" s="1">
        <v>43559</v>
      </c>
      <c r="B1309">
        <v>111.44870758056599</v>
      </c>
      <c r="C1309">
        <v>119.36000061035099</v>
      </c>
      <c r="D1309">
        <v>120.230003356933</v>
      </c>
      <c r="E1309">
        <v>118.379997253417</v>
      </c>
      <c r="F1309">
        <v>120.09999847412099</v>
      </c>
      <c r="G1309" s="2">
        <v>20112800</v>
      </c>
      <c r="H1309" s="3">
        <f t="shared" si="20"/>
        <v>-5.0845706431061899E-3</v>
      </c>
      <c r="J1309" s="3">
        <v>-1.4540216111358362E-3</v>
      </c>
      <c r="K1309" s="3">
        <v>0.41119144922980194</v>
      </c>
    </row>
    <row r="1310" spans="1:11" x14ac:dyDescent="0.2">
      <c r="A1310" s="1">
        <v>43560</v>
      </c>
      <c r="B1310">
        <v>111.94357299804599</v>
      </c>
      <c r="C1310">
        <v>119.889999389648</v>
      </c>
      <c r="D1310">
        <v>120.230003356933</v>
      </c>
      <c r="E1310">
        <v>119.370002746582</v>
      </c>
      <c r="F1310">
        <v>119.389999389648</v>
      </c>
      <c r="G1310" s="2">
        <v>15826200</v>
      </c>
      <c r="H1310" s="3">
        <f t="shared" si="20"/>
        <v>4.4402974984907306E-3</v>
      </c>
      <c r="J1310" s="3">
        <v>-1.4338677218063145E-3</v>
      </c>
      <c r="K1310" s="3">
        <v>0.41150581578120088</v>
      </c>
    </row>
    <row r="1311" spans="1:11" x14ac:dyDescent="0.2">
      <c r="A1311" s="1">
        <v>43563</v>
      </c>
      <c r="B1311">
        <v>111.98093414306599</v>
      </c>
      <c r="C1311">
        <v>119.930000305175</v>
      </c>
      <c r="D1311">
        <v>120.01999664306599</v>
      </c>
      <c r="E1311">
        <v>118.639999389648</v>
      </c>
      <c r="F1311">
        <v>119.809997558593</v>
      </c>
      <c r="G1311" s="2">
        <v>15116200</v>
      </c>
      <c r="H1311" s="3">
        <f t="shared" si="20"/>
        <v>3.3374979929079451E-4</v>
      </c>
      <c r="J1311" s="3">
        <v>-1.4287775622784382E-3</v>
      </c>
      <c r="K1311" s="3">
        <v>0.41182018233259982</v>
      </c>
    </row>
    <row r="1312" spans="1:11" x14ac:dyDescent="0.2">
      <c r="A1312" s="1">
        <v>43564</v>
      </c>
      <c r="B1312">
        <v>111.37400054931599</v>
      </c>
      <c r="C1312">
        <v>119.27999877929599</v>
      </c>
      <c r="D1312">
        <v>119.540000915527</v>
      </c>
      <c r="E1312">
        <v>118.58000183105401</v>
      </c>
      <c r="F1312">
        <v>118.629997253417</v>
      </c>
      <c r="G1312" s="2">
        <v>17612000</v>
      </c>
      <c r="H1312" s="3">
        <f t="shared" si="20"/>
        <v>-5.419972590821498E-3</v>
      </c>
      <c r="J1312" s="3">
        <v>-1.4187320938796599E-3</v>
      </c>
      <c r="K1312" s="3">
        <v>0.41213454888399875</v>
      </c>
    </row>
    <row r="1313" spans="1:11" x14ac:dyDescent="0.2">
      <c r="A1313" s="1">
        <v>43565</v>
      </c>
      <c r="B1313">
        <v>112.22368621826099</v>
      </c>
      <c r="C1313">
        <v>120.19000244140599</v>
      </c>
      <c r="D1313">
        <v>120.34999847412099</v>
      </c>
      <c r="E1313">
        <v>119.540000915527</v>
      </c>
      <c r="F1313">
        <v>119.76000213623</v>
      </c>
      <c r="G1313" s="2">
        <v>16477200</v>
      </c>
      <c r="H1313" s="3">
        <f t="shared" si="20"/>
        <v>7.6291204837233284E-3</v>
      </c>
      <c r="J1313" s="3">
        <v>-1.4162577382731412E-3</v>
      </c>
      <c r="K1313" s="3">
        <v>0.41244891543539769</v>
      </c>
    </row>
    <row r="1314" spans="1:11" x14ac:dyDescent="0.2">
      <c r="A1314" s="1">
        <v>43566</v>
      </c>
      <c r="B1314">
        <v>112.35441589355401</v>
      </c>
      <c r="C1314">
        <v>120.33000183105401</v>
      </c>
      <c r="D1314">
        <v>120.84999847412099</v>
      </c>
      <c r="E1314">
        <v>119.919998168945</v>
      </c>
      <c r="F1314">
        <v>120.540000915527</v>
      </c>
      <c r="G1314" s="2">
        <v>14209100</v>
      </c>
      <c r="H1314" s="3">
        <f t="shared" si="20"/>
        <v>1.1649027019016156E-3</v>
      </c>
      <c r="J1314" s="3">
        <v>-1.4143183626104117E-3</v>
      </c>
      <c r="K1314" s="3">
        <v>0.41276328198679663</v>
      </c>
    </row>
    <row r="1315" spans="1:11" x14ac:dyDescent="0.2">
      <c r="A1315" s="1">
        <v>43567</v>
      </c>
      <c r="B1315">
        <v>112.93328094482401</v>
      </c>
      <c r="C1315">
        <v>120.949996948242</v>
      </c>
      <c r="D1315">
        <v>120.980003356933</v>
      </c>
      <c r="E1315">
        <v>120.370002746582</v>
      </c>
      <c r="F1315">
        <v>120.639999389648</v>
      </c>
      <c r="G1315" s="2">
        <v>19745100</v>
      </c>
      <c r="H1315" s="3">
        <f t="shared" si="20"/>
        <v>5.1521344013609749E-3</v>
      </c>
      <c r="J1315" s="3">
        <v>-1.3986191537289638E-3</v>
      </c>
      <c r="K1315" s="3">
        <v>0.41307764853819556</v>
      </c>
    </row>
    <row r="1316" spans="1:11" x14ac:dyDescent="0.2">
      <c r="A1316" s="1">
        <v>43570</v>
      </c>
      <c r="B1316">
        <v>113.02670288085901</v>
      </c>
      <c r="C1316">
        <v>121.050003051757</v>
      </c>
      <c r="D1316">
        <v>121.58000183105401</v>
      </c>
      <c r="E1316">
        <v>120.56999969482401</v>
      </c>
      <c r="F1316">
        <v>120.94000244140599</v>
      </c>
      <c r="G1316" s="2">
        <v>15792600</v>
      </c>
      <c r="H1316" s="3">
        <f t="shared" si="20"/>
        <v>8.2723122230587975E-4</v>
      </c>
      <c r="J1316" s="3">
        <v>-1.3958641328978283E-3</v>
      </c>
      <c r="K1316" s="3">
        <v>0.41339201508959444</v>
      </c>
    </row>
    <row r="1317" spans="1:11" x14ac:dyDescent="0.2">
      <c r="A1317" s="1">
        <v>43571</v>
      </c>
      <c r="B1317">
        <v>112.765251159667</v>
      </c>
      <c r="C1317">
        <v>120.76999664306599</v>
      </c>
      <c r="D1317">
        <v>121.650001525878</v>
      </c>
      <c r="E1317">
        <v>120.09999847412099</v>
      </c>
      <c r="F1317">
        <v>121.639999389648</v>
      </c>
      <c r="G1317" s="2">
        <v>14071800</v>
      </c>
      <c r="H1317" s="3">
        <f t="shared" si="20"/>
        <v>-2.3131854201533519E-3</v>
      </c>
      <c r="J1317" s="3">
        <v>-1.3955508125237381E-3</v>
      </c>
      <c r="K1317" s="3">
        <v>0.41370638164099338</v>
      </c>
    </row>
    <row r="1318" spans="1:11" x14ac:dyDescent="0.2">
      <c r="A1318" s="1">
        <v>43572</v>
      </c>
      <c r="B1318">
        <v>113.69895172119099</v>
      </c>
      <c r="C1318">
        <v>121.76999664306599</v>
      </c>
      <c r="D1318">
        <v>121.84999847412099</v>
      </c>
      <c r="E1318">
        <v>120.540000915527</v>
      </c>
      <c r="F1318">
        <v>121.23999786376901</v>
      </c>
      <c r="G1318" s="2">
        <v>19300900</v>
      </c>
      <c r="H1318" s="3">
        <f t="shared" si="20"/>
        <v>8.2800379719984996E-3</v>
      </c>
      <c r="J1318" s="3">
        <v>-1.3908830210276335E-3</v>
      </c>
      <c r="K1318" s="3">
        <v>0.41402074819239232</v>
      </c>
    </row>
    <row r="1319" spans="1:11" x14ac:dyDescent="0.2">
      <c r="A1319" s="1">
        <v>43573</v>
      </c>
      <c r="B1319">
        <v>115.192916870117</v>
      </c>
      <c r="C1319">
        <v>123.370002746582</v>
      </c>
      <c r="D1319">
        <v>123.51999664306599</v>
      </c>
      <c r="E1319">
        <v>121.300003051757</v>
      </c>
      <c r="F1319">
        <v>122.19000244140599</v>
      </c>
      <c r="G1319" s="2">
        <v>27991000</v>
      </c>
      <c r="H1319" s="3">
        <f t="shared" si="20"/>
        <v>1.3139656314417492E-2</v>
      </c>
      <c r="J1319" s="3">
        <v>-1.3811425298484448E-3</v>
      </c>
      <c r="K1319" s="3">
        <v>0.41433511474379126</v>
      </c>
    </row>
    <row r="1320" spans="1:11" x14ac:dyDescent="0.2">
      <c r="A1320" s="1">
        <v>43577</v>
      </c>
      <c r="B1320">
        <v>115.55706024169901</v>
      </c>
      <c r="C1320">
        <v>123.76000213623</v>
      </c>
      <c r="D1320">
        <v>124</v>
      </c>
      <c r="E1320">
        <v>122.56999969482401</v>
      </c>
      <c r="F1320">
        <v>122.620002746582</v>
      </c>
      <c r="G1320" s="2">
        <v>15648700</v>
      </c>
      <c r="H1320" s="3">
        <f t="shared" si="20"/>
        <v>3.1611611327855282E-3</v>
      </c>
      <c r="J1320" s="3">
        <v>-1.3745835797465134E-3</v>
      </c>
      <c r="K1320" s="3">
        <v>0.41464948129519019</v>
      </c>
    </row>
    <row r="1321" spans="1:11" x14ac:dyDescent="0.2">
      <c r="A1321" s="1">
        <v>43578</v>
      </c>
      <c r="B1321">
        <v>117.12572479248</v>
      </c>
      <c r="C1321">
        <v>125.44000244140599</v>
      </c>
      <c r="D1321">
        <v>125.58000183105401</v>
      </c>
      <c r="E1321">
        <v>123.83000183105401</v>
      </c>
      <c r="F1321">
        <v>124.09999847412099</v>
      </c>
      <c r="G1321" s="2">
        <v>24025500</v>
      </c>
      <c r="H1321" s="3">
        <f t="shared" si="20"/>
        <v>1.3574804927539486E-2</v>
      </c>
      <c r="J1321" s="3">
        <v>-1.3708999785800868E-3</v>
      </c>
      <c r="K1321" s="3">
        <v>0.41496384784658913</v>
      </c>
    </row>
    <row r="1322" spans="1:11" x14ac:dyDescent="0.2">
      <c r="A1322" s="1">
        <v>43579</v>
      </c>
      <c r="B1322">
        <v>116.72421264648401</v>
      </c>
      <c r="C1322">
        <v>125.01000213623</v>
      </c>
      <c r="D1322">
        <v>125.84999847412099</v>
      </c>
      <c r="E1322">
        <v>124.51999664306599</v>
      </c>
      <c r="F1322">
        <v>125.790000915527</v>
      </c>
      <c r="G1322" s="2">
        <v>31257000</v>
      </c>
      <c r="H1322" s="3">
        <f t="shared" si="20"/>
        <v>-3.4280440672395107E-3</v>
      </c>
      <c r="J1322" s="3">
        <v>-1.3584504184851465E-3</v>
      </c>
      <c r="K1322" s="3">
        <v>0.41527821439798807</v>
      </c>
    </row>
    <row r="1323" spans="1:11" x14ac:dyDescent="0.2">
      <c r="A1323" s="1">
        <v>43580</v>
      </c>
      <c r="B1323">
        <v>120.589797973632</v>
      </c>
      <c r="C1323">
        <v>129.14999389648401</v>
      </c>
      <c r="D1323">
        <v>131.36999511718699</v>
      </c>
      <c r="E1323">
        <v>128.83000183105401</v>
      </c>
      <c r="F1323">
        <v>130.05999755859301</v>
      </c>
      <c r="G1323" s="2">
        <v>38033900</v>
      </c>
      <c r="H1323" s="3">
        <f t="shared" si="20"/>
        <v>3.3117253391594659E-2</v>
      </c>
      <c r="J1323" s="3">
        <v>-1.354135252455313E-3</v>
      </c>
      <c r="K1323" s="3">
        <v>0.415592580949387</v>
      </c>
    </row>
    <row r="1324" spans="1:11" x14ac:dyDescent="0.2">
      <c r="A1324" s="1">
        <v>43581</v>
      </c>
      <c r="B1324">
        <v>121.280754089355</v>
      </c>
      <c r="C1324">
        <v>129.88999938964801</v>
      </c>
      <c r="D1324">
        <v>130.52000427246</v>
      </c>
      <c r="E1324">
        <v>129.02000427246</v>
      </c>
      <c r="F1324">
        <v>129.69999694824199</v>
      </c>
      <c r="G1324" s="2">
        <v>23654900</v>
      </c>
      <c r="H1324" s="3">
        <f t="shared" si="20"/>
        <v>5.7298057326049534E-3</v>
      </c>
      <c r="J1324" s="3">
        <v>-1.350222245784849E-3</v>
      </c>
      <c r="K1324" s="3">
        <v>0.41590694750078594</v>
      </c>
    </row>
    <row r="1325" spans="1:11" x14ac:dyDescent="0.2">
      <c r="A1325" s="1">
        <v>43584</v>
      </c>
      <c r="B1325">
        <v>121.16871643066401</v>
      </c>
      <c r="C1325">
        <v>129.77000427246</v>
      </c>
      <c r="D1325">
        <v>130.17999267578099</v>
      </c>
      <c r="E1325">
        <v>129.350006103515</v>
      </c>
      <c r="F1325">
        <v>129.89999389648401</v>
      </c>
      <c r="G1325" s="2">
        <v>16324200</v>
      </c>
      <c r="H1325" s="3">
        <f t="shared" si="20"/>
        <v>-9.2378761603384429E-4</v>
      </c>
      <c r="J1325" s="3">
        <v>-1.3307378304213691E-3</v>
      </c>
      <c r="K1325" s="3">
        <v>0.41622131405218482</v>
      </c>
    </row>
    <row r="1326" spans="1:11" x14ac:dyDescent="0.2">
      <c r="A1326" s="1">
        <v>43585</v>
      </c>
      <c r="B1326">
        <v>121.943725585937</v>
      </c>
      <c r="C1326">
        <v>130.600006103515</v>
      </c>
      <c r="D1326">
        <v>130.69999694824199</v>
      </c>
      <c r="E1326">
        <v>129.38999938964801</v>
      </c>
      <c r="F1326">
        <v>129.80999755859301</v>
      </c>
      <c r="G1326" s="2">
        <v>24166500</v>
      </c>
      <c r="H1326" s="3">
        <f t="shared" si="20"/>
        <v>6.3961159126124656E-3</v>
      </c>
      <c r="J1326" s="3">
        <v>-1.3261620400706331E-3</v>
      </c>
      <c r="K1326" s="3">
        <v>0.41653568060358376</v>
      </c>
    </row>
    <row r="1327" spans="1:11" x14ac:dyDescent="0.2">
      <c r="A1327" s="1">
        <v>43586</v>
      </c>
      <c r="B1327">
        <v>119.40397644042901</v>
      </c>
      <c r="C1327">
        <v>127.879997253417</v>
      </c>
      <c r="D1327">
        <v>130.64999389648401</v>
      </c>
      <c r="E1327">
        <v>127.699996948242</v>
      </c>
      <c r="F1327">
        <v>130.52999877929599</v>
      </c>
      <c r="G1327" s="2">
        <v>26821700</v>
      </c>
      <c r="H1327" s="3">
        <f t="shared" si="20"/>
        <v>-2.0827222830076431E-2</v>
      </c>
      <c r="J1327" s="3">
        <v>-1.3248282875173434E-3</v>
      </c>
      <c r="K1327" s="3">
        <v>0.41685004715498269</v>
      </c>
    </row>
    <row r="1328" spans="1:11" x14ac:dyDescent="0.2">
      <c r="A1328" s="1">
        <v>43587</v>
      </c>
      <c r="B1328">
        <v>117.844665527343</v>
      </c>
      <c r="C1328">
        <v>126.209999084472</v>
      </c>
      <c r="D1328">
        <v>128</v>
      </c>
      <c r="E1328">
        <v>125.51999664306599</v>
      </c>
      <c r="F1328">
        <v>127.980003356933</v>
      </c>
      <c r="G1328" s="2">
        <v>27350200</v>
      </c>
      <c r="H1328" s="3">
        <f t="shared" si="20"/>
        <v>-1.3059120471284769E-2</v>
      </c>
      <c r="J1328" s="3">
        <v>-1.3188334089816456E-3</v>
      </c>
      <c r="K1328" s="3">
        <v>0.41716441370638163</v>
      </c>
    </row>
    <row r="1329" spans="1:11" x14ac:dyDescent="0.2">
      <c r="A1329" s="1">
        <v>43588</v>
      </c>
      <c r="B1329">
        <v>120.356391906738</v>
      </c>
      <c r="C1329">
        <v>128.89999389648401</v>
      </c>
      <c r="D1329">
        <v>129.42999267578099</v>
      </c>
      <c r="E1329">
        <v>127.25</v>
      </c>
      <c r="F1329">
        <v>127.36000061035099</v>
      </c>
      <c r="G1329" s="2">
        <v>24911100</v>
      </c>
      <c r="H1329" s="3">
        <f t="shared" si="20"/>
        <v>2.1313874227189444E-2</v>
      </c>
      <c r="J1329" s="3">
        <v>-1.3070355578674864E-3</v>
      </c>
      <c r="K1329" s="3">
        <v>0.41747878025778057</v>
      </c>
    </row>
    <row r="1330" spans="1:11" x14ac:dyDescent="0.2">
      <c r="A1330" s="1">
        <v>43591</v>
      </c>
      <c r="B1330">
        <v>119.65608978271401</v>
      </c>
      <c r="C1330">
        <v>128.14999389648401</v>
      </c>
      <c r="D1330">
        <v>128.55999755859301</v>
      </c>
      <c r="E1330">
        <v>126.11000061035099</v>
      </c>
      <c r="F1330">
        <v>126.389999389648</v>
      </c>
      <c r="G1330" s="2">
        <v>24239800</v>
      </c>
      <c r="H1330" s="3">
        <f t="shared" si="20"/>
        <v>-5.818570272251411E-3</v>
      </c>
      <c r="J1330" s="3">
        <v>-1.2939755658665231E-3</v>
      </c>
      <c r="K1330" s="3">
        <v>0.41779314680917951</v>
      </c>
    </row>
    <row r="1331" spans="1:11" x14ac:dyDescent="0.2">
      <c r="A1331" s="1">
        <v>43592</v>
      </c>
      <c r="B1331">
        <v>117.200393676757</v>
      </c>
      <c r="C1331">
        <v>125.51999664306599</v>
      </c>
      <c r="D1331">
        <v>127.180000305175</v>
      </c>
      <c r="E1331">
        <v>124.220001220703</v>
      </c>
      <c r="F1331">
        <v>126.459999084472</v>
      </c>
      <c r="G1331" s="2">
        <v>36017700</v>
      </c>
      <c r="H1331" s="3">
        <f t="shared" si="20"/>
        <v>-2.0522951321711669E-2</v>
      </c>
      <c r="J1331" s="3">
        <v>-1.2874464645686867E-3</v>
      </c>
      <c r="K1331" s="3">
        <v>0.41810751336057844</v>
      </c>
    </row>
    <row r="1332" spans="1:11" x14ac:dyDescent="0.2">
      <c r="A1332" s="1">
        <v>43593</v>
      </c>
      <c r="B1332">
        <v>117.19105529785099</v>
      </c>
      <c r="C1332">
        <v>125.51000213623</v>
      </c>
      <c r="D1332">
        <v>126.370002746582</v>
      </c>
      <c r="E1332">
        <v>124.75</v>
      </c>
      <c r="F1332">
        <v>125.44000244140599</v>
      </c>
      <c r="G1332" s="2">
        <v>28419000</v>
      </c>
      <c r="H1332" s="3">
        <f t="shared" si="20"/>
        <v>-7.9678733262311674E-5</v>
      </c>
      <c r="J1332" s="3">
        <v>-1.2865038637580595E-3</v>
      </c>
      <c r="K1332" s="3">
        <v>0.41842187991197738</v>
      </c>
    </row>
    <row r="1333" spans="1:11" x14ac:dyDescent="0.2">
      <c r="A1333" s="1">
        <v>43594</v>
      </c>
      <c r="B1333">
        <v>117.18173217773401</v>
      </c>
      <c r="C1333">
        <v>125.5</v>
      </c>
      <c r="D1333">
        <v>125.790000915527</v>
      </c>
      <c r="E1333">
        <v>123.56999969482401</v>
      </c>
      <c r="F1333">
        <v>124.290000915527</v>
      </c>
      <c r="G1333" s="2">
        <v>27235800</v>
      </c>
      <c r="H1333" s="3">
        <f t="shared" si="20"/>
        <v>-7.9554878085974501E-5</v>
      </c>
      <c r="J1333" s="3">
        <v>-1.2689221638864101E-3</v>
      </c>
      <c r="K1333" s="3">
        <v>0.41873624646337632</v>
      </c>
    </row>
    <row r="1334" spans="1:11" x14ac:dyDescent="0.2">
      <c r="A1334" s="1">
        <v>43595</v>
      </c>
      <c r="B1334">
        <v>118.703689575195</v>
      </c>
      <c r="C1334">
        <v>127.129997253417</v>
      </c>
      <c r="D1334">
        <v>127.930000305175</v>
      </c>
      <c r="E1334">
        <v>123.81999969482401</v>
      </c>
      <c r="F1334">
        <v>124.91000366210901</v>
      </c>
      <c r="G1334" s="2">
        <v>30915100</v>
      </c>
      <c r="H1334" s="3">
        <f t="shared" si="20"/>
        <v>1.2988009045237447E-2</v>
      </c>
      <c r="J1334" s="3">
        <v>-1.2621859689005976E-3</v>
      </c>
      <c r="K1334" s="3">
        <v>0.41905061301477525</v>
      </c>
    </row>
    <row r="1335" spans="1:11" x14ac:dyDescent="0.2">
      <c r="A1335" s="1">
        <v>43598</v>
      </c>
      <c r="B1335">
        <v>115.17423248291</v>
      </c>
      <c r="C1335">
        <v>123.34999847412099</v>
      </c>
      <c r="D1335">
        <v>125.550003051757</v>
      </c>
      <c r="E1335">
        <v>123.040000915527</v>
      </c>
      <c r="F1335">
        <v>124.11000061035099</v>
      </c>
      <c r="G1335" s="2">
        <v>33944900</v>
      </c>
      <c r="H1335" s="3">
        <f t="shared" si="20"/>
        <v>-2.9733339417804761E-2</v>
      </c>
      <c r="J1335" s="3">
        <v>-1.257477929075046E-3</v>
      </c>
      <c r="K1335" s="3">
        <v>0.41936497956617413</v>
      </c>
    </row>
    <row r="1336" spans="1:11" x14ac:dyDescent="0.2">
      <c r="A1336" s="1">
        <v>43599</v>
      </c>
      <c r="B1336">
        <v>116.462768554687</v>
      </c>
      <c r="C1336">
        <v>124.730003356933</v>
      </c>
      <c r="D1336">
        <v>125.879997253417</v>
      </c>
      <c r="E1336">
        <v>123.699996948242</v>
      </c>
      <c r="F1336">
        <v>123.870002746582</v>
      </c>
      <c r="G1336" s="2">
        <v>25266300</v>
      </c>
      <c r="H1336" s="3">
        <f t="shared" si="20"/>
        <v>1.1187711382997012E-2</v>
      </c>
      <c r="J1336" s="3">
        <v>-1.2507766584410884E-3</v>
      </c>
      <c r="K1336" s="3">
        <v>0.41967934611757307</v>
      </c>
    </row>
    <row r="1337" spans="1:11" x14ac:dyDescent="0.2">
      <c r="A1337" s="1">
        <v>43600</v>
      </c>
      <c r="B1337">
        <v>118.102821350097</v>
      </c>
      <c r="C1337">
        <v>126.01999664306599</v>
      </c>
      <c r="D1337">
        <v>126.709999084472</v>
      </c>
      <c r="E1337">
        <v>123.699996948242</v>
      </c>
      <c r="F1337">
        <v>124.26000213623</v>
      </c>
      <c r="G1337" s="2">
        <v>24722700</v>
      </c>
      <c r="H1337" s="3">
        <f t="shared" si="20"/>
        <v>1.4082206835396294E-2</v>
      </c>
      <c r="J1337" s="3">
        <v>-1.2478275926192106E-3</v>
      </c>
      <c r="K1337" s="3">
        <v>0.41999371266897201</v>
      </c>
    </row>
    <row r="1338" spans="1:11" x14ac:dyDescent="0.2">
      <c r="A1338" s="1">
        <v>43601</v>
      </c>
      <c r="B1338">
        <v>120.830024719238</v>
      </c>
      <c r="C1338">
        <v>128.92999267578099</v>
      </c>
      <c r="D1338">
        <v>129.38000488281199</v>
      </c>
      <c r="E1338">
        <v>126.459999084472</v>
      </c>
      <c r="F1338">
        <v>126.75</v>
      </c>
      <c r="G1338" s="2">
        <v>30112200</v>
      </c>
      <c r="H1338" s="3">
        <f t="shared" si="20"/>
        <v>2.3091771542498751E-2</v>
      </c>
      <c r="J1338" s="3">
        <v>-1.2472645014980355E-3</v>
      </c>
      <c r="K1338" s="3">
        <v>0.42030807922037094</v>
      </c>
    </row>
    <row r="1339" spans="1:11" x14ac:dyDescent="0.2">
      <c r="A1339" s="1">
        <v>43602</v>
      </c>
      <c r="B1339">
        <v>120.024040222167</v>
      </c>
      <c r="C1339">
        <v>128.07000732421801</v>
      </c>
      <c r="D1339">
        <v>130.46000671386699</v>
      </c>
      <c r="E1339">
        <v>127.919998168945</v>
      </c>
      <c r="F1339">
        <v>128.30999755859301</v>
      </c>
      <c r="G1339" s="2">
        <v>25770500</v>
      </c>
      <c r="H1339" s="3">
        <f t="shared" si="20"/>
        <v>-6.6703991739122115E-3</v>
      </c>
      <c r="J1339" s="3">
        <v>-1.2460289234749178E-3</v>
      </c>
      <c r="K1339" s="3">
        <v>0.42062244577176988</v>
      </c>
    </row>
    <row r="1340" spans="1:11" x14ac:dyDescent="0.2">
      <c r="A1340" s="1">
        <v>43605</v>
      </c>
      <c r="B1340">
        <v>118.29026031494099</v>
      </c>
      <c r="C1340">
        <v>126.220001220703</v>
      </c>
      <c r="D1340">
        <v>127.58999633789</v>
      </c>
      <c r="E1340">
        <v>125.76000213623</v>
      </c>
      <c r="F1340">
        <v>126.51999664306599</v>
      </c>
      <c r="G1340" s="2">
        <v>23706900</v>
      </c>
      <c r="H1340" s="3">
        <f t="shared" si="20"/>
        <v>-1.4445271997316045E-2</v>
      </c>
      <c r="J1340" s="3">
        <v>-1.2406856469836525E-3</v>
      </c>
      <c r="K1340" s="3">
        <v>0.42093681232316882</v>
      </c>
    </row>
    <row r="1341" spans="1:11" x14ac:dyDescent="0.2">
      <c r="A1341" s="1">
        <v>43606</v>
      </c>
      <c r="B1341">
        <v>118.92754364013599</v>
      </c>
      <c r="C1341">
        <v>126.900001525878</v>
      </c>
      <c r="D1341">
        <v>127.52999877929599</v>
      </c>
      <c r="E1341">
        <v>126.58000183105401</v>
      </c>
      <c r="F1341">
        <v>127.430000305175</v>
      </c>
      <c r="G1341" s="2">
        <v>15293300</v>
      </c>
      <c r="H1341" s="3">
        <f t="shared" si="20"/>
        <v>5.387453907855777E-3</v>
      </c>
      <c r="J1341" s="3">
        <v>-1.2398258492237746E-3</v>
      </c>
      <c r="K1341" s="3">
        <v>0.42125117887456776</v>
      </c>
    </row>
    <row r="1342" spans="1:11" x14ac:dyDescent="0.2">
      <c r="A1342" s="1">
        <v>43607</v>
      </c>
      <c r="B1342">
        <v>119.64914703369099</v>
      </c>
      <c r="C1342">
        <v>127.669998168945</v>
      </c>
      <c r="D1342">
        <v>128.24000549316401</v>
      </c>
      <c r="E1342">
        <v>126.51999664306599</v>
      </c>
      <c r="F1342">
        <v>126.620002746582</v>
      </c>
      <c r="G1342" s="2">
        <v>15396500</v>
      </c>
      <c r="H1342" s="3">
        <f t="shared" si="20"/>
        <v>6.0675884783973899E-3</v>
      </c>
      <c r="J1342" s="3">
        <v>-1.2354038534632128E-3</v>
      </c>
      <c r="K1342" s="3">
        <v>0.42156554542596669</v>
      </c>
    </row>
    <row r="1343" spans="1:11" x14ac:dyDescent="0.2">
      <c r="A1343" s="1">
        <v>43608</v>
      </c>
      <c r="B1343">
        <v>118.252784729003</v>
      </c>
      <c r="C1343">
        <v>126.180000305175</v>
      </c>
      <c r="D1343">
        <v>126.290000915527</v>
      </c>
      <c r="E1343">
        <v>124.73999786376901</v>
      </c>
      <c r="F1343">
        <v>126.199996948242</v>
      </c>
      <c r="G1343" s="2">
        <v>23603800</v>
      </c>
      <c r="H1343" s="3">
        <f t="shared" si="20"/>
        <v>-1.1670474377011741E-2</v>
      </c>
      <c r="J1343" s="3">
        <v>-1.2232771285117794E-3</v>
      </c>
      <c r="K1343" s="3">
        <v>0.42187991197736563</v>
      </c>
    </row>
    <row r="1344" spans="1:11" x14ac:dyDescent="0.2">
      <c r="A1344" s="1">
        <v>43609</v>
      </c>
      <c r="B1344">
        <v>118.30900573730401</v>
      </c>
      <c r="C1344">
        <v>126.23999786376901</v>
      </c>
      <c r="D1344">
        <v>127.419998168945</v>
      </c>
      <c r="E1344">
        <v>125.970001220703</v>
      </c>
      <c r="F1344">
        <v>126.91000366210901</v>
      </c>
      <c r="G1344" s="2">
        <v>14123400</v>
      </c>
      <c r="H1344" s="3">
        <f t="shared" si="20"/>
        <v>4.7543073450539985E-4</v>
      </c>
      <c r="J1344" s="3">
        <v>-1.2213860266711007E-3</v>
      </c>
      <c r="K1344" s="3">
        <v>0.42219427852876457</v>
      </c>
    </row>
    <row r="1345" spans="1:11" x14ac:dyDescent="0.2">
      <c r="A1345" s="1">
        <v>43613</v>
      </c>
      <c r="B1345">
        <v>118.23403930664</v>
      </c>
      <c r="C1345">
        <v>126.16000366210901</v>
      </c>
      <c r="D1345">
        <v>128</v>
      </c>
      <c r="E1345">
        <v>126.050003051757</v>
      </c>
      <c r="F1345">
        <v>126.980003356933</v>
      </c>
      <c r="G1345" s="2">
        <v>23128400</v>
      </c>
      <c r="H1345" s="3">
        <f t="shared" si="20"/>
        <v>-6.3364940138588288E-4</v>
      </c>
      <c r="J1345" s="3">
        <v>-1.1968009310193706E-3</v>
      </c>
      <c r="K1345" s="3">
        <v>0.42250864508016345</v>
      </c>
    </row>
    <row r="1346" spans="1:11" x14ac:dyDescent="0.2">
      <c r="A1346" s="1">
        <v>43614</v>
      </c>
      <c r="B1346">
        <v>117.090698242187</v>
      </c>
      <c r="C1346">
        <v>124.94000244140599</v>
      </c>
      <c r="D1346">
        <v>125.389999389648</v>
      </c>
      <c r="E1346">
        <v>124.040000915527</v>
      </c>
      <c r="F1346">
        <v>125.379997253417</v>
      </c>
      <c r="G1346" s="2">
        <v>22763100</v>
      </c>
      <c r="H1346" s="3">
        <f t="shared" ref="H1346:H1409" si="21">B1346/B1345-1</f>
        <v>-9.6701514314988524E-3</v>
      </c>
      <c r="J1346" s="3">
        <v>-1.1901350929919285E-3</v>
      </c>
      <c r="K1346" s="3">
        <v>0.42282301163156238</v>
      </c>
    </row>
    <row r="1347" spans="1:11" x14ac:dyDescent="0.2">
      <c r="A1347" s="1">
        <v>43615</v>
      </c>
      <c r="B1347">
        <v>117.83106994628901</v>
      </c>
      <c r="C1347">
        <v>125.730003356933</v>
      </c>
      <c r="D1347">
        <v>125.76000213623</v>
      </c>
      <c r="E1347">
        <v>124.77999877929599</v>
      </c>
      <c r="F1347">
        <v>125.26000213623</v>
      </c>
      <c r="G1347" s="2">
        <v>16829600</v>
      </c>
      <c r="H1347" s="3">
        <f t="shared" si="21"/>
        <v>6.3230616540577156E-3</v>
      </c>
      <c r="J1347" s="3">
        <v>-1.1785205966595713E-3</v>
      </c>
      <c r="K1347" s="3">
        <v>0.42313737818296132</v>
      </c>
    </row>
    <row r="1348" spans="1:11" x14ac:dyDescent="0.2">
      <c r="A1348" s="1">
        <v>43616</v>
      </c>
      <c r="B1348">
        <v>115.90983581542901</v>
      </c>
      <c r="C1348">
        <v>123.680000305175</v>
      </c>
      <c r="D1348">
        <v>124.620002746582</v>
      </c>
      <c r="E1348">
        <v>123.31999969482401</v>
      </c>
      <c r="F1348">
        <v>124.230003356933</v>
      </c>
      <c r="G1348" s="2">
        <v>26646800</v>
      </c>
      <c r="H1348" s="3">
        <f t="shared" si="21"/>
        <v>-1.6304987570220253E-2</v>
      </c>
      <c r="J1348" s="3">
        <v>-1.1684120463099079E-3</v>
      </c>
      <c r="K1348" s="3">
        <v>0.42345174473436026</v>
      </c>
    </row>
    <row r="1349" spans="1:11" x14ac:dyDescent="0.2">
      <c r="A1349" s="1">
        <v>43619</v>
      </c>
      <c r="B1349">
        <v>112.31108856201099</v>
      </c>
      <c r="C1349">
        <v>119.83999633789</v>
      </c>
      <c r="D1349">
        <v>124.370002746582</v>
      </c>
      <c r="E1349">
        <v>119.01000213623</v>
      </c>
      <c r="F1349">
        <v>123.84999847412099</v>
      </c>
      <c r="G1349" s="2">
        <v>37983600</v>
      </c>
      <c r="H1349" s="3">
        <f t="shared" si="21"/>
        <v>-3.1047815986458116E-2</v>
      </c>
      <c r="J1349" s="3">
        <v>-1.166843024120956E-3</v>
      </c>
      <c r="K1349" s="3">
        <v>0.42376611128575919</v>
      </c>
    </row>
    <row r="1350" spans="1:11" x14ac:dyDescent="0.2">
      <c r="A1350" s="1">
        <v>43620</v>
      </c>
      <c r="B1350">
        <v>115.42250823974599</v>
      </c>
      <c r="C1350">
        <v>123.16000366210901</v>
      </c>
      <c r="D1350">
        <v>123.27999877929599</v>
      </c>
      <c r="E1350">
        <v>120.650001525878</v>
      </c>
      <c r="F1350">
        <v>121.27999877929599</v>
      </c>
      <c r="G1350" s="2">
        <v>29382600</v>
      </c>
      <c r="H1350" s="3">
        <f t="shared" si="21"/>
        <v>2.770358401447659E-2</v>
      </c>
      <c r="J1350" s="3">
        <v>-1.1552133077525895E-3</v>
      </c>
      <c r="K1350" s="3">
        <v>0.42408047783715813</v>
      </c>
    </row>
    <row r="1351" spans="1:11" x14ac:dyDescent="0.2">
      <c r="A1351" s="1">
        <v>43621</v>
      </c>
      <c r="B1351">
        <v>117.924766540527</v>
      </c>
      <c r="C1351">
        <v>125.83000183105401</v>
      </c>
      <c r="D1351">
        <v>125.870002746582</v>
      </c>
      <c r="E1351">
        <v>124.209999084472</v>
      </c>
      <c r="F1351">
        <v>124.949996948242</v>
      </c>
      <c r="G1351" s="2">
        <v>24926100</v>
      </c>
      <c r="H1351" s="3">
        <f t="shared" si="21"/>
        <v>2.1679119081206677E-2</v>
      </c>
      <c r="J1351" s="3">
        <v>-1.15242174900132E-3</v>
      </c>
      <c r="K1351" s="3">
        <v>0.42439484438855707</v>
      </c>
    </row>
    <row r="1352" spans="1:11" x14ac:dyDescent="0.2">
      <c r="A1352" s="1">
        <v>43622</v>
      </c>
      <c r="B1352">
        <v>119.789741516113</v>
      </c>
      <c r="C1352">
        <v>127.81999969482401</v>
      </c>
      <c r="D1352">
        <v>127.970001220703</v>
      </c>
      <c r="E1352">
        <v>125.59999847412099</v>
      </c>
      <c r="F1352">
        <v>126.44000244140599</v>
      </c>
      <c r="G1352" s="2">
        <v>21459000</v>
      </c>
      <c r="H1352" s="3">
        <f t="shared" si="21"/>
        <v>1.5814955842588407E-2</v>
      </c>
      <c r="J1352" s="3">
        <v>-1.1514647406436485E-3</v>
      </c>
      <c r="K1352" s="3">
        <v>0.42470921093995601</v>
      </c>
    </row>
    <row r="1353" spans="1:11" x14ac:dyDescent="0.2">
      <c r="A1353" s="1">
        <v>43623</v>
      </c>
      <c r="B1353">
        <v>123.14482879638599</v>
      </c>
      <c r="C1353">
        <v>131.39999389648401</v>
      </c>
      <c r="D1353">
        <v>132.25</v>
      </c>
      <c r="E1353">
        <v>128.259994506835</v>
      </c>
      <c r="F1353">
        <v>129.19000244140599</v>
      </c>
      <c r="G1353" s="2">
        <v>33885600</v>
      </c>
      <c r="H1353" s="3">
        <f t="shared" si="21"/>
        <v>2.8008135236035292E-2</v>
      </c>
      <c r="J1353" s="3">
        <v>-1.1477033107412105E-3</v>
      </c>
      <c r="K1353" s="3">
        <v>0.42502357749135494</v>
      </c>
    </row>
    <row r="1354" spans="1:11" x14ac:dyDescent="0.2">
      <c r="A1354" s="1">
        <v>43626</v>
      </c>
      <c r="B1354">
        <v>124.26945495605401</v>
      </c>
      <c r="C1354">
        <v>132.600006103515</v>
      </c>
      <c r="D1354">
        <v>134.08000183105401</v>
      </c>
      <c r="E1354">
        <v>132</v>
      </c>
      <c r="F1354">
        <v>132.39999389648401</v>
      </c>
      <c r="G1354" s="2">
        <v>26477100</v>
      </c>
      <c r="H1354" s="3">
        <f t="shared" si="21"/>
        <v>9.1325488098856766E-3</v>
      </c>
      <c r="J1354" s="3">
        <v>-1.1295328756354417E-3</v>
      </c>
      <c r="K1354" s="3">
        <v>0.42533794404275382</v>
      </c>
    </row>
    <row r="1355" spans="1:11" x14ac:dyDescent="0.2">
      <c r="A1355" s="1">
        <v>43627</v>
      </c>
      <c r="B1355">
        <v>123.80087280273401</v>
      </c>
      <c r="C1355">
        <v>132.100006103515</v>
      </c>
      <c r="D1355">
        <v>134.24000549316401</v>
      </c>
      <c r="E1355">
        <v>131.27999877929599</v>
      </c>
      <c r="F1355">
        <v>133.88000488281199</v>
      </c>
      <c r="G1355" s="2">
        <v>23913700</v>
      </c>
      <c r="H1355" s="3">
        <f t="shared" si="21"/>
        <v>-3.770694524134699E-3</v>
      </c>
      <c r="J1355" s="3">
        <v>-1.1288577693006063E-3</v>
      </c>
      <c r="K1355" s="3">
        <v>0.42565231059415276</v>
      </c>
    </row>
    <row r="1356" spans="1:11" x14ac:dyDescent="0.2">
      <c r="A1356" s="1">
        <v>43628</v>
      </c>
      <c r="B1356">
        <v>123.229187011718</v>
      </c>
      <c r="C1356">
        <v>131.49000549316401</v>
      </c>
      <c r="D1356">
        <v>131.97000122070301</v>
      </c>
      <c r="E1356">
        <v>130.71000671386699</v>
      </c>
      <c r="F1356">
        <v>131.39999389648401</v>
      </c>
      <c r="G1356" s="2">
        <v>17092500</v>
      </c>
      <c r="H1356" s="3">
        <f t="shared" si="21"/>
        <v>-4.6177848190693815E-3</v>
      </c>
      <c r="J1356" s="3">
        <v>-1.1244713860020239E-3</v>
      </c>
      <c r="K1356" s="3">
        <v>0.4259666771455517</v>
      </c>
    </row>
    <row r="1357" spans="1:11" x14ac:dyDescent="0.2">
      <c r="A1357" s="1">
        <v>43629</v>
      </c>
      <c r="B1357">
        <v>124.007019042968</v>
      </c>
      <c r="C1357">
        <v>132.32000732421801</v>
      </c>
      <c r="D1357">
        <v>133</v>
      </c>
      <c r="E1357">
        <v>131.55999755859301</v>
      </c>
      <c r="F1357">
        <v>131.97999572753901</v>
      </c>
      <c r="G1357" s="2">
        <v>17200800</v>
      </c>
      <c r="H1357" s="3">
        <f t="shared" si="21"/>
        <v>6.3120763036117467E-3</v>
      </c>
      <c r="J1357" s="3">
        <v>-1.1168569233431791E-3</v>
      </c>
      <c r="K1357" s="3">
        <v>0.42628104369695063</v>
      </c>
    </row>
    <row r="1358" spans="1:11" x14ac:dyDescent="0.2">
      <c r="A1358" s="1">
        <v>43630</v>
      </c>
      <c r="B1358">
        <v>124.12887573242099</v>
      </c>
      <c r="C1358">
        <v>132.44999694824199</v>
      </c>
      <c r="D1358">
        <v>133.78999328613199</v>
      </c>
      <c r="E1358">
        <v>131.63999938964801</v>
      </c>
      <c r="F1358">
        <v>132.259994506835</v>
      </c>
      <c r="G1358" s="2">
        <v>17821700</v>
      </c>
      <c r="H1358" s="3">
        <f t="shared" si="21"/>
        <v>9.8265961389465417E-4</v>
      </c>
      <c r="J1358" s="3">
        <v>-1.1118223385161441E-3</v>
      </c>
      <c r="K1358" s="3">
        <v>0.42659541024834957</v>
      </c>
    </row>
    <row r="1359" spans="1:11" x14ac:dyDescent="0.2">
      <c r="A1359" s="1">
        <v>43633</v>
      </c>
      <c r="B1359">
        <v>124.503776550292</v>
      </c>
      <c r="C1359">
        <v>132.850006103515</v>
      </c>
      <c r="D1359">
        <v>133.72999572753901</v>
      </c>
      <c r="E1359">
        <v>132.52999877929599</v>
      </c>
      <c r="F1359">
        <v>132.63000488281199</v>
      </c>
      <c r="G1359" s="2">
        <v>14517800</v>
      </c>
      <c r="H1359" s="3">
        <f t="shared" si="21"/>
        <v>3.0202546801372243E-3</v>
      </c>
      <c r="J1359" s="3">
        <v>-1.1115613266727831E-3</v>
      </c>
      <c r="K1359" s="3">
        <v>0.42690977679974851</v>
      </c>
    </row>
    <row r="1360" spans="1:11" x14ac:dyDescent="0.2">
      <c r="A1360" s="1">
        <v>43634</v>
      </c>
      <c r="B1360">
        <v>126.66862487792901</v>
      </c>
      <c r="C1360">
        <v>135.16000366210901</v>
      </c>
      <c r="D1360">
        <v>135.24000549316401</v>
      </c>
      <c r="E1360">
        <v>133.57000732421801</v>
      </c>
      <c r="F1360">
        <v>134.19000244140599</v>
      </c>
      <c r="G1360" s="2">
        <v>25934500</v>
      </c>
      <c r="H1360" s="3">
        <f t="shared" si="21"/>
        <v>1.7387812543682379E-2</v>
      </c>
      <c r="J1360" s="3">
        <v>-1.1099680972183057E-3</v>
      </c>
      <c r="K1360" s="3">
        <v>0.42722414335114745</v>
      </c>
    </row>
    <row r="1361" spans="1:11" x14ac:dyDescent="0.2">
      <c r="A1361" s="1">
        <v>43635</v>
      </c>
      <c r="B1361">
        <v>127.165351867675</v>
      </c>
      <c r="C1361">
        <v>135.69000244140599</v>
      </c>
      <c r="D1361">
        <v>135.92999267578099</v>
      </c>
      <c r="E1361">
        <v>133.80999755859301</v>
      </c>
      <c r="F1361">
        <v>135</v>
      </c>
      <c r="G1361" s="2">
        <v>23744400</v>
      </c>
      <c r="H1361" s="3">
        <f t="shared" si="21"/>
        <v>3.9214682422319402E-3</v>
      </c>
      <c r="J1361" s="3">
        <v>-1.1049046892119829E-3</v>
      </c>
      <c r="K1361" s="3">
        <v>0.42753850990254638</v>
      </c>
    </row>
    <row r="1362" spans="1:11" x14ac:dyDescent="0.2">
      <c r="A1362" s="1">
        <v>43636</v>
      </c>
      <c r="B1362">
        <v>128.34617614746</v>
      </c>
      <c r="C1362">
        <v>136.94999694824199</v>
      </c>
      <c r="D1362">
        <v>137.66000366210901</v>
      </c>
      <c r="E1362">
        <v>135.72000122070301</v>
      </c>
      <c r="F1362">
        <v>137.44999694824199</v>
      </c>
      <c r="G1362" s="2">
        <v>33042600</v>
      </c>
      <c r="H1362" s="3">
        <f t="shared" si="21"/>
        <v>9.2857390982863386E-3</v>
      </c>
      <c r="J1362" s="3">
        <v>-1.0701657735713299E-3</v>
      </c>
      <c r="K1362" s="3">
        <v>0.42785287645394532</v>
      </c>
    </row>
    <row r="1363" spans="1:11" x14ac:dyDescent="0.2">
      <c r="A1363" s="1">
        <v>43637</v>
      </c>
      <c r="B1363">
        <v>128.36488342285099</v>
      </c>
      <c r="C1363">
        <v>136.97000122070301</v>
      </c>
      <c r="D1363">
        <v>137.72999572753901</v>
      </c>
      <c r="E1363">
        <v>136.46000671386699</v>
      </c>
      <c r="F1363">
        <v>136.58000183105401</v>
      </c>
      <c r="G1363" s="2">
        <v>36727900</v>
      </c>
      <c r="H1363" s="3">
        <f t="shared" si="21"/>
        <v>1.4575639066571888E-4</v>
      </c>
      <c r="J1363" s="3">
        <v>-1.0404381595204848E-3</v>
      </c>
      <c r="K1363" s="3">
        <v>0.42816724300534426</v>
      </c>
    </row>
    <row r="1364" spans="1:11" x14ac:dyDescent="0.2">
      <c r="A1364" s="1">
        <v>43640</v>
      </c>
      <c r="B1364">
        <v>129.12403869628901</v>
      </c>
      <c r="C1364">
        <v>137.77999877929599</v>
      </c>
      <c r="D1364">
        <v>138.39999389648401</v>
      </c>
      <c r="E1364">
        <v>137</v>
      </c>
      <c r="F1364">
        <v>137</v>
      </c>
      <c r="G1364" s="2">
        <v>20628800</v>
      </c>
      <c r="H1364" s="3">
        <f t="shared" si="21"/>
        <v>5.9140417004646118E-3</v>
      </c>
      <c r="J1364" s="3">
        <v>-1.0249747316437574E-3</v>
      </c>
      <c r="K1364" s="3">
        <v>0.42848160955674314</v>
      </c>
    </row>
    <row r="1365" spans="1:11" x14ac:dyDescent="0.2">
      <c r="A1365" s="1">
        <v>43641</v>
      </c>
      <c r="B1365">
        <v>125.04726409912099</v>
      </c>
      <c r="C1365">
        <v>133.42999267578099</v>
      </c>
      <c r="D1365">
        <v>137.58999633789</v>
      </c>
      <c r="E1365">
        <v>132.72999572753901</v>
      </c>
      <c r="F1365">
        <v>137.25</v>
      </c>
      <c r="G1365" s="2">
        <v>33327400</v>
      </c>
      <c r="H1365" s="3">
        <f t="shared" si="21"/>
        <v>-3.1572545579657274E-2</v>
      </c>
      <c r="J1365" s="3">
        <v>-1.0008471732716462E-3</v>
      </c>
      <c r="K1365" s="3">
        <v>0.42879597610814207</v>
      </c>
    </row>
    <row r="1366" spans="1:11" x14ac:dyDescent="0.2">
      <c r="A1366" s="1">
        <v>43642</v>
      </c>
      <c r="B1366">
        <v>125.515892028808</v>
      </c>
      <c r="C1366">
        <v>133.92999267578099</v>
      </c>
      <c r="D1366">
        <v>135.74000549316401</v>
      </c>
      <c r="E1366">
        <v>133.600006103515</v>
      </c>
      <c r="F1366">
        <v>134.350006103515</v>
      </c>
      <c r="G1366" s="2">
        <v>23657700</v>
      </c>
      <c r="H1366" s="3">
        <f t="shared" si="21"/>
        <v>3.747606419565841E-3</v>
      </c>
      <c r="J1366" s="3">
        <v>-9.9648102758043144E-4</v>
      </c>
      <c r="K1366" s="3">
        <v>0.42911034265954101</v>
      </c>
    </row>
    <row r="1367" spans="1:11" x14ac:dyDescent="0.2">
      <c r="A1367" s="1">
        <v>43643</v>
      </c>
      <c r="B1367">
        <v>125.722038269042</v>
      </c>
      <c r="C1367">
        <v>134.14999389648401</v>
      </c>
      <c r="D1367">
        <v>134.71000671386699</v>
      </c>
      <c r="E1367">
        <v>133.509994506835</v>
      </c>
      <c r="F1367">
        <v>134.13999938964801</v>
      </c>
      <c r="G1367" s="2">
        <v>16557500</v>
      </c>
      <c r="H1367" s="3">
        <f t="shared" si="21"/>
        <v>1.642391548208888E-3</v>
      </c>
      <c r="J1367" s="3">
        <v>-9.8378088862771662E-4</v>
      </c>
      <c r="K1367" s="3">
        <v>0.42942470921093995</v>
      </c>
    </row>
    <row r="1368" spans="1:11" x14ac:dyDescent="0.2">
      <c r="A1368" s="1">
        <v>43644</v>
      </c>
      <c r="B1368">
        <v>125.543983459472</v>
      </c>
      <c r="C1368">
        <v>133.96000671386699</v>
      </c>
      <c r="D1368">
        <v>134.600006103515</v>
      </c>
      <c r="E1368">
        <v>133.16000366210901</v>
      </c>
      <c r="F1368">
        <v>134.57000732421801</v>
      </c>
      <c r="G1368" s="2">
        <v>30043000</v>
      </c>
      <c r="H1368" s="3">
        <f t="shared" si="21"/>
        <v>-1.4162577382731412E-3</v>
      </c>
      <c r="J1368" s="3">
        <v>-9.5926822251946042E-4</v>
      </c>
      <c r="K1368" s="3">
        <v>0.42973907576233888</v>
      </c>
    </row>
    <row r="1369" spans="1:11" x14ac:dyDescent="0.2">
      <c r="A1369" s="1">
        <v>43647</v>
      </c>
      <c r="B1369">
        <v>127.155944824218</v>
      </c>
      <c r="C1369">
        <v>135.67999267578099</v>
      </c>
      <c r="D1369">
        <v>136.69999694824199</v>
      </c>
      <c r="E1369">
        <v>134.97000122070301</v>
      </c>
      <c r="F1369">
        <v>136.63000488281199</v>
      </c>
      <c r="G1369" s="2">
        <v>22613500</v>
      </c>
      <c r="H1369" s="3">
        <f t="shared" si="21"/>
        <v>1.2839813747556938E-2</v>
      </c>
      <c r="J1369" s="3">
        <v>-9.5445585181253012E-4</v>
      </c>
      <c r="K1369" s="3">
        <v>0.43005344231373782</v>
      </c>
    </row>
    <row r="1370" spans="1:11" x14ac:dyDescent="0.2">
      <c r="A1370" s="1">
        <v>43648</v>
      </c>
      <c r="B1370">
        <v>127.99942779541</v>
      </c>
      <c r="C1370">
        <v>136.58000183105401</v>
      </c>
      <c r="D1370">
        <v>136.58999633789</v>
      </c>
      <c r="E1370">
        <v>135.33999633789</v>
      </c>
      <c r="F1370">
        <v>136.11999511718699</v>
      </c>
      <c r="G1370" s="2">
        <v>15237800</v>
      </c>
      <c r="H1370" s="3">
        <f t="shared" si="21"/>
        <v>6.6334529019311805E-3</v>
      </c>
      <c r="J1370" s="3">
        <v>-9.4262795975685876E-4</v>
      </c>
      <c r="K1370" s="3">
        <v>0.43036780886513676</v>
      </c>
    </row>
    <row r="1371" spans="1:11" x14ac:dyDescent="0.2">
      <c r="A1371" s="1">
        <v>43649</v>
      </c>
      <c r="B1371">
        <v>128.82414245605401</v>
      </c>
      <c r="C1371">
        <v>137.46000671386699</v>
      </c>
      <c r="D1371">
        <v>137.74000549316401</v>
      </c>
      <c r="E1371">
        <v>136.28999328613199</v>
      </c>
      <c r="F1371">
        <v>136.80000305175699</v>
      </c>
      <c r="G1371" s="2">
        <v>13629300</v>
      </c>
      <c r="H1371" s="3">
        <f t="shared" si="21"/>
        <v>6.4431120892367577E-3</v>
      </c>
      <c r="J1371" s="3">
        <v>-9.366306515818934E-4</v>
      </c>
      <c r="K1371" s="3">
        <v>0.4306821754165357</v>
      </c>
    </row>
    <row r="1372" spans="1:11" x14ac:dyDescent="0.2">
      <c r="A1372" s="1">
        <v>43651</v>
      </c>
      <c r="B1372">
        <v>128.44924926757801</v>
      </c>
      <c r="C1372">
        <v>137.05999755859301</v>
      </c>
      <c r="D1372">
        <v>137.33000183105401</v>
      </c>
      <c r="E1372">
        <v>135.72000122070301</v>
      </c>
      <c r="F1372">
        <v>135.94000244140599</v>
      </c>
      <c r="G1372" s="2">
        <v>18141100</v>
      </c>
      <c r="H1372" s="3">
        <f t="shared" si="21"/>
        <v>-2.9101159249236286E-3</v>
      </c>
      <c r="J1372" s="3">
        <v>-9.358542090964761E-4</v>
      </c>
      <c r="K1372" s="3">
        <v>0.43099654196793463</v>
      </c>
    </row>
    <row r="1373" spans="1:11" x14ac:dyDescent="0.2">
      <c r="A1373" s="1">
        <v>43654</v>
      </c>
      <c r="B1373">
        <v>128.35549926757801</v>
      </c>
      <c r="C1373">
        <v>136.96000671386699</v>
      </c>
      <c r="D1373">
        <v>137.100006103515</v>
      </c>
      <c r="E1373">
        <v>135.36999511718699</v>
      </c>
      <c r="F1373">
        <v>136.39999389648401</v>
      </c>
      <c r="G1373" s="2">
        <v>16779700</v>
      </c>
      <c r="H1373" s="3">
        <f t="shared" si="21"/>
        <v>-7.2986024079213507E-4</v>
      </c>
      <c r="J1373" s="3">
        <v>-9.3386385962368479E-4</v>
      </c>
      <c r="K1373" s="3">
        <v>0.43131090851933357</v>
      </c>
    </row>
    <row r="1374" spans="1:11" x14ac:dyDescent="0.2">
      <c r="A1374" s="1">
        <v>43655</v>
      </c>
      <c r="B1374">
        <v>127.88697052001901</v>
      </c>
      <c r="C1374">
        <v>136.46000671386699</v>
      </c>
      <c r="D1374">
        <v>136.97000122070301</v>
      </c>
      <c r="E1374">
        <v>135.80000305175699</v>
      </c>
      <c r="F1374">
        <v>136</v>
      </c>
      <c r="G1374" s="2">
        <v>19953100</v>
      </c>
      <c r="H1374" s="3">
        <f t="shared" si="21"/>
        <v>-3.6502428819374932E-3</v>
      </c>
      <c r="J1374" s="3">
        <v>-9.3092864924448904E-4</v>
      </c>
      <c r="K1374" s="3">
        <v>0.43162527507073245</v>
      </c>
    </row>
    <row r="1375" spans="1:11" x14ac:dyDescent="0.2">
      <c r="A1375" s="1">
        <v>43656</v>
      </c>
      <c r="B1375">
        <v>129.18960571289</v>
      </c>
      <c r="C1375">
        <v>137.850006103515</v>
      </c>
      <c r="D1375">
        <v>138.58000183105401</v>
      </c>
      <c r="E1375">
        <v>137.02000427246</v>
      </c>
      <c r="F1375">
        <v>137.13000488281199</v>
      </c>
      <c r="G1375" s="2">
        <v>24204400</v>
      </c>
      <c r="H1375" s="3">
        <f t="shared" si="21"/>
        <v>1.0185831970013659E-2</v>
      </c>
      <c r="J1375" s="3">
        <v>-9.2378761603384429E-4</v>
      </c>
      <c r="K1375" s="3">
        <v>0.43193964162213139</v>
      </c>
    </row>
    <row r="1376" spans="1:11" x14ac:dyDescent="0.2">
      <c r="A1376" s="1">
        <v>43657</v>
      </c>
      <c r="B1376">
        <v>129.70503234863199</v>
      </c>
      <c r="C1376">
        <v>138.39999389648401</v>
      </c>
      <c r="D1376">
        <v>139.22000122070301</v>
      </c>
      <c r="E1376">
        <v>137.86999511718699</v>
      </c>
      <c r="F1376">
        <v>138.19999694824199</v>
      </c>
      <c r="G1376" s="2">
        <v>22327900</v>
      </c>
      <c r="H1376" s="3">
        <f t="shared" si="21"/>
        <v>3.9896912208825519E-3</v>
      </c>
      <c r="J1376" s="3">
        <v>-9.1367585693979958E-4</v>
      </c>
      <c r="K1376" s="3">
        <v>0.43225400817353032</v>
      </c>
    </row>
    <row r="1377" spans="1:11" x14ac:dyDescent="0.2">
      <c r="A1377" s="1">
        <v>43658</v>
      </c>
      <c r="B1377">
        <v>130.17362976074199</v>
      </c>
      <c r="C1377">
        <v>138.89999389648401</v>
      </c>
      <c r="D1377">
        <v>139.13000488281199</v>
      </c>
      <c r="E1377">
        <v>138.009994506835</v>
      </c>
      <c r="F1377">
        <v>138.850006103515</v>
      </c>
      <c r="G1377" s="2">
        <v>18936800</v>
      </c>
      <c r="H1377" s="3">
        <f t="shared" si="21"/>
        <v>3.6127928394518172E-3</v>
      </c>
      <c r="J1377" s="3">
        <v>-9.0353920988106573E-4</v>
      </c>
      <c r="K1377" s="3">
        <v>0.43256837472492926</v>
      </c>
    </row>
    <row r="1378" spans="1:11" x14ac:dyDescent="0.2">
      <c r="A1378" s="1">
        <v>43661</v>
      </c>
      <c r="B1378">
        <v>130.17362976074199</v>
      </c>
      <c r="C1378">
        <v>138.89999389648401</v>
      </c>
      <c r="D1378">
        <v>139.53999328613199</v>
      </c>
      <c r="E1378">
        <v>138.46000671386699</v>
      </c>
      <c r="F1378">
        <v>139.44000244140599</v>
      </c>
      <c r="G1378" s="2">
        <v>16651500</v>
      </c>
      <c r="H1378" s="3">
        <f t="shared" si="21"/>
        <v>0</v>
      </c>
      <c r="J1378" s="3">
        <v>-8.989028978068081E-4</v>
      </c>
      <c r="K1378" s="3">
        <v>0.4328827412763282</v>
      </c>
    </row>
    <row r="1379" spans="1:11" x14ac:dyDescent="0.2">
      <c r="A1379" s="1">
        <v>43662</v>
      </c>
      <c r="B1379">
        <v>128.468002319335</v>
      </c>
      <c r="C1379">
        <v>137.08000183105401</v>
      </c>
      <c r="D1379">
        <v>139.05000305175699</v>
      </c>
      <c r="E1379">
        <v>136.52000427246</v>
      </c>
      <c r="F1379">
        <v>138.96000671386699</v>
      </c>
      <c r="G1379" s="2">
        <v>22726100</v>
      </c>
      <c r="H1379" s="3">
        <f t="shared" si="21"/>
        <v>-1.3102710929563166E-2</v>
      </c>
      <c r="J1379" s="3">
        <v>-8.9413266763005428E-4</v>
      </c>
      <c r="K1379" s="3">
        <v>0.43319710782772713</v>
      </c>
    </row>
    <row r="1380" spans="1:11" x14ac:dyDescent="0.2">
      <c r="A1380" s="1">
        <v>43663</v>
      </c>
      <c r="B1380">
        <v>127.708847045898</v>
      </c>
      <c r="C1380">
        <v>136.27000427246</v>
      </c>
      <c r="D1380">
        <v>137.92999267578099</v>
      </c>
      <c r="E1380">
        <v>136.22000122070301</v>
      </c>
      <c r="F1380">
        <v>137.69999694824199</v>
      </c>
      <c r="G1380" s="2">
        <v>20211000</v>
      </c>
      <c r="H1380" s="3">
        <f t="shared" si="21"/>
        <v>-5.9092946082399678E-3</v>
      </c>
      <c r="J1380" s="3">
        <v>-8.7021892818861524E-4</v>
      </c>
      <c r="K1380" s="3">
        <v>0.43351147437912607</v>
      </c>
    </row>
    <row r="1381" spans="1:11" x14ac:dyDescent="0.2">
      <c r="A1381" s="1">
        <v>43664</v>
      </c>
      <c r="B1381">
        <v>127.84942626953099</v>
      </c>
      <c r="C1381">
        <v>136.419998168945</v>
      </c>
      <c r="D1381">
        <v>136.61999511718699</v>
      </c>
      <c r="E1381">
        <v>134.669998168945</v>
      </c>
      <c r="F1381">
        <v>135.55000305175699</v>
      </c>
      <c r="G1381" s="2">
        <v>30381800</v>
      </c>
      <c r="H1381" s="3">
        <f t="shared" si="21"/>
        <v>1.1007790523900329E-3</v>
      </c>
      <c r="J1381" s="3">
        <v>-8.6931254785727052E-4</v>
      </c>
      <c r="K1381" s="3">
        <v>0.43382584093052501</v>
      </c>
    </row>
    <row r="1382" spans="1:11" x14ac:dyDescent="0.2">
      <c r="A1382" s="1">
        <v>43665</v>
      </c>
      <c r="B1382">
        <v>128.03691101074199</v>
      </c>
      <c r="C1382">
        <v>136.61999511718699</v>
      </c>
      <c r="D1382">
        <v>140.669998168945</v>
      </c>
      <c r="E1382">
        <v>136.44999694824199</v>
      </c>
      <c r="F1382">
        <v>140.22000122070301</v>
      </c>
      <c r="G1382" s="2">
        <v>48992400</v>
      </c>
      <c r="H1382" s="3">
        <f t="shared" si="21"/>
        <v>1.466449609368814E-3</v>
      </c>
      <c r="J1382" s="3">
        <v>-8.5735021651822674E-4</v>
      </c>
      <c r="K1382" s="3">
        <v>0.43414020748192395</v>
      </c>
    </row>
    <row r="1383" spans="1:11" x14ac:dyDescent="0.2">
      <c r="A1383" s="1">
        <v>43668</v>
      </c>
      <c r="B1383">
        <v>129.73316955566401</v>
      </c>
      <c r="C1383">
        <v>138.42999267578099</v>
      </c>
      <c r="D1383">
        <v>139.19000244140599</v>
      </c>
      <c r="E1383">
        <v>137.33000183105401</v>
      </c>
      <c r="F1383">
        <v>137.41000366210901</v>
      </c>
      <c r="G1383" s="2">
        <v>25074900</v>
      </c>
      <c r="H1383" s="3">
        <f t="shared" si="21"/>
        <v>1.3248199535052185E-2</v>
      </c>
      <c r="J1383" s="3">
        <v>-8.2311541793989029E-4</v>
      </c>
      <c r="K1383" s="3">
        <v>0.43445457403332283</v>
      </c>
    </row>
    <row r="1384" spans="1:11" x14ac:dyDescent="0.2">
      <c r="A1384" s="1">
        <v>43669</v>
      </c>
      <c r="B1384">
        <v>130.53915405273401</v>
      </c>
      <c r="C1384">
        <v>139.28999328613199</v>
      </c>
      <c r="D1384">
        <v>139.99000549316401</v>
      </c>
      <c r="E1384">
        <v>138.02999877929599</v>
      </c>
      <c r="F1384">
        <v>139.759994506835</v>
      </c>
      <c r="G1384" s="2">
        <v>18034600</v>
      </c>
      <c r="H1384" s="3">
        <f t="shared" si="21"/>
        <v>6.212632434946963E-3</v>
      </c>
      <c r="J1384" s="3">
        <v>-7.9785229596918139E-4</v>
      </c>
      <c r="K1384" s="3">
        <v>0.43476894058472176</v>
      </c>
    </row>
    <row r="1385" spans="1:11" x14ac:dyDescent="0.2">
      <c r="A1385" s="1">
        <v>43670</v>
      </c>
      <c r="B1385">
        <v>131.87933349609301</v>
      </c>
      <c r="C1385">
        <v>140.72000122070301</v>
      </c>
      <c r="D1385">
        <v>140.74000549316401</v>
      </c>
      <c r="E1385">
        <v>138.850006103515</v>
      </c>
      <c r="F1385">
        <v>138.89999389648401</v>
      </c>
      <c r="G1385" s="2">
        <v>20738300</v>
      </c>
      <c r="H1385" s="3">
        <f t="shared" si="21"/>
        <v>1.0266494011579086E-2</v>
      </c>
      <c r="J1385" s="3">
        <v>-7.8416826616389823E-4</v>
      </c>
      <c r="K1385" s="3">
        <v>0.4350833071361207</v>
      </c>
    </row>
    <row r="1386" spans="1:11" x14ac:dyDescent="0.2">
      <c r="A1386" s="1">
        <v>43671</v>
      </c>
      <c r="B1386">
        <v>131.38261413574199</v>
      </c>
      <c r="C1386">
        <v>140.19000244140599</v>
      </c>
      <c r="D1386">
        <v>140.61000061035099</v>
      </c>
      <c r="E1386">
        <v>139.32000732421801</v>
      </c>
      <c r="F1386">
        <v>140.42999267578099</v>
      </c>
      <c r="G1386" s="2">
        <v>18356900</v>
      </c>
      <c r="H1386" s="3">
        <f t="shared" si="21"/>
        <v>-3.7664685374356743E-3</v>
      </c>
      <c r="J1386" s="3">
        <v>-7.7296794732961693E-4</v>
      </c>
      <c r="K1386" s="3">
        <v>0.43539767368751964</v>
      </c>
    </row>
    <row r="1387" spans="1:11" x14ac:dyDescent="0.2">
      <c r="A1387" s="1">
        <v>43672</v>
      </c>
      <c r="B1387">
        <v>132.46037292480401</v>
      </c>
      <c r="C1387">
        <v>141.33999633789</v>
      </c>
      <c r="D1387">
        <v>141.67999267578099</v>
      </c>
      <c r="E1387">
        <v>140.30000305175699</v>
      </c>
      <c r="F1387">
        <v>140.36999511718699</v>
      </c>
      <c r="G1387" s="2">
        <v>19037600</v>
      </c>
      <c r="H1387" s="3">
        <f t="shared" si="21"/>
        <v>8.2032070693045522E-3</v>
      </c>
      <c r="J1387" s="3">
        <v>-7.6506398333431314E-4</v>
      </c>
      <c r="K1387" s="3">
        <v>0.43571204023891857</v>
      </c>
    </row>
    <row r="1388" spans="1:11" x14ac:dyDescent="0.2">
      <c r="A1388" s="1">
        <v>43675</v>
      </c>
      <c r="B1388">
        <v>132.169830322265</v>
      </c>
      <c r="C1388">
        <v>141.02999877929599</v>
      </c>
      <c r="D1388">
        <v>141.509994506835</v>
      </c>
      <c r="E1388">
        <v>139.36999511718699</v>
      </c>
      <c r="F1388">
        <v>141.5</v>
      </c>
      <c r="G1388" s="2">
        <v>16605900</v>
      </c>
      <c r="H1388" s="3">
        <f t="shared" si="21"/>
        <v>-2.1934303529701493E-3</v>
      </c>
      <c r="J1388" s="3">
        <v>-7.6278736808599312E-4</v>
      </c>
      <c r="K1388" s="3">
        <v>0.43602640679031751</v>
      </c>
    </row>
    <row r="1389" spans="1:11" x14ac:dyDescent="0.2">
      <c r="A1389" s="1">
        <v>43676</v>
      </c>
      <c r="B1389">
        <v>131.53256225585901</v>
      </c>
      <c r="C1389">
        <v>140.350006103515</v>
      </c>
      <c r="D1389">
        <v>141.22000122070301</v>
      </c>
      <c r="E1389">
        <v>139.80000305175699</v>
      </c>
      <c r="F1389">
        <v>140.13999938964801</v>
      </c>
      <c r="G1389" s="2">
        <v>16846500</v>
      </c>
      <c r="H1389" s="3">
        <f t="shared" si="21"/>
        <v>-4.821584962711678E-3</v>
      </c>
      <c r="J1389" s="3">
        <v>-7.6098255992873565E-4</v>
      </c>
      <c r="K1389" s="3">
        <v>0.43634077334171645</v>
      </c>
    </row>
    <row r="1390" spans="1:11" x14ac:dyDescent="0.2">
      <c r="A1390" s="1">
        <v>43677</v>
      </c>
      <c r="B1390">
        <v>127.708847045898</v>
      </c>
      <c r="C1390">
        <v>136.27000427246</v>
      </c>
      <c r="D1390">
        <v>140.49000549316401</v>
      </c>
      <c r="E1390">
        <v>135.08000183105401</v>
      </c>
      <c r="F1390">
        <v>140.33000183105401</v>
      </c>
      <c r="G1390" s="2">
        <v>38598800</v>
      </c>
      <c r="H1390" s="3">
        <f t="shared" si="21"/>
        <v>-2.9070483721917229E-2</v>
      </c>
      <c r="J1390" s="3">
        <v>-7.4811696388388249E-4</v>
      </c>
      <c r="K1390" s="3">
        <v>0.43665513989311538</v>
      </c>
    </row>
    <row r="1391" spans="1:11" x14ac:dyDescent="0.2">
      <c r="A1391" s="1">
        <v>43678</v>
      </c>
      <c r="B1391">
        <v>129.38644409179599</v>
      </c>
      <c r="C1391">
        <v>138.05999755859301</v>
      </c>
      <c r="D1391">
        <v>140.94000244140599</v>
      </c>
      <c r="E1391">
        <v>136.92999267578099</v>
      </c>
      <c r="F1391">
        <v>137</v>
      </c>
      <c r="G1391" s="2">
        <v>40557500</v>
      </c>
      <c r="H1391" s="3">
        <f t="shared" si="21"/>
        <v>1.3136106735777586E-2</v>
      </c>
      <c r="J1391" s="3">
        <v>-7.4413649640014956E-4</v>
      </c>
      <c r="K1391" s="3">
        <v>0.43696950644451432</v>
      </c>
    </row>
    <row r="1392" spans="1:11" x14ac:dyDescent="0.2">
      <c r="A1392" s="1">
        <v>43679</v>
      </c>
      <c r="B1392">
        <v>128.29930114746</v>
      </c>
      <c r="C1392">
        <v>136.89999389648401</v>
      </c>
      <c r="D1392">
        <v>138.32000732421801</v>
      </c>
      <c r="E1392">
        <v>135.259994506835</v>
      </c>
      <c r="F1392">
        <v>138.08999633789</v>
      </c>
      <c r="G1392" s="2">
        <v>30791600</v>
      </c>
      <c r="H1392" s="3">
        <f t="shared" si="21"/>
        <v>-8.4022940113007705E-3</v>
      </c>
      <c r="J1392" s="3">
        <v>-7.3447871194642911E-4</v>
      </c>
      <c r="K1392" s="3">
        <v>0.43728387299591326</v>
      </c>
    </row>
    <row r="1393" spans="1:11" x14ac:dyDescent="0.2">
      <c r="A1393" s="1">
        <v>43682</v>
      </c>
      <c r="B1393">
        <v>123.903968811035</v>
      </c>
      <c r="C1393">
        <v>132.21000671386699</v>
      </c>
      <c r="D1393">
        <v>133.92999267578099</v>
      </c>
      <c r="E1393">
        <v>130.77999877929599</v>
      </c>
      <c r="F1393">
        <v>133.30000305175699</v>
      </c>
      <c r="G1393" s="2">
        <v>42749600</v>
      </c>
      <c r="H1393" s="3">
        <f t="shared" si="21"/>
        <v>-3.4258427731989394E-2</v>
      </c>
      <c r="J1393" s="3">
        <v>-7.2986024079213507E-4</v>
      </c>
      <c r="K1393" s="3">
        <v>0.43759823954731214</v>
      </c>
    </row>
    <row r="1394" spans="1:11" x14ac:dyDescent="0.2">
      <c r="A1394" s="1">
        <v>43683</v>
      </c>
      <c r="B1394">
        <v>126.22816467285099</v>
      </c>
      <c r="C1394">
        <v>134.69000244140599</v>
      </c>
      <c r="D1394">
        <v>135.67999267578099</v>
      </c>
      <c r="E1394">
        <v>133.21000671386699</v>
      </c>
      <c r="F1394">
        <v>133.80000305175699</v>
      </c>
      <c r="G1394" s="2">
        <v>32696700</v>
      </c>
      <c r="H1394" s="3">
        <f t="shared" si="21"/>
        <v>1.8758042087906102E-2</v>
      </c>
      <c r="J1394" s="3">
        <v>-7.2924335144486374E-4</v>
      </c>
      <c r="K1394" s="3">
        <v>0.43791260609871108</v>
      </c>
    </row>
    <row r="1395" spans="1:11" x14ac:dyDescent="0.2">
      <c r="A1395" s="1">
        <v>43684</v>
      </c>
      <c r="B1395">
        <v>126.78108215332</v>
      </c>
      <c r="C1395">
        <v>135.27999877929599</v>
      </c>
      <c r="D1395">
        <v>135.64999389648401</v>
      </c>
      <c r="E1395">
        <v>131.83000183105401</v>
      </c>
      <c r="F1395">
        <v>133.78999328613199</v>
      </c>
      <c r="G1395" s="2">
        <v>33414500</v>
      </c>
      <c r="H1395" s="3">
        <f t="shared" si="21"/>
        <v>4.3803019865020776E-3</v>
      </c>
      <c r="J1395" s="3">
        <v>-7.2789788620331031E-4</v>
      </c>
      <c r="K1395" s="3">
        <v>0.43822697265011001</v>
      </c>
    </row>
    <row r="1396" spans="1:11" x14ac:dyDescent="0.2">
      <c r="A1396" s="1">
        <v>43685</v>
      </c>
      <c r="B1396">
        <v>130.164291381835</v>
      </c>
      <c r="C1396">
        <v>138.88999938964801</v>
      </c>
      <c r="D1396">
        <v>138.99000549316401</v>
      </c>
      <c r="E1396">
        <v>135.92999267578099</v>
      </c>
      <c r="F1396">
        <v>136.600006103515</v>
      </c>
      <c r="G1396" s="2">
        <v>27496500</v>
      </c>
      <c r="H1396" s="3">
        <f t="shared" si="21"/>
        <v>2.6685442110547575E-2</v>
      </c>
      <c r="J1396" s="3">
        <v>-7.19716489910871E-4</v>
      </c>
      <c r="K1396" s="3">
        <v>0.43854133920150895</v>
      </c>
    </row>
    <row r="1397" spans="1:11" x14ac:dyDescent="0.2">
      <c r="A1397" s="1">
        <v>43686</v>
      </c>
      <c r="B1397">
        <v>129.05844116210901</v>
      </c>
      <c r="C1397">
        <v>137.71000671386699</v>
      </c>
      <c r="D1397">
        <v>139.38000488281199</v>
      </c>
      <c r="E1397">
        <v>136.46000671386699</v>
      </c>
      <c r="F1397">
        <v>138.61000061035099</v>
      </c>
      <c r="G1397" s="2">
        <v>23466700</v>
      </c>
      <c r="H1397" s="3">
        <f t="shared" si="21"/>
        <v>-8.4958033265974953E-3</v>
      </c>
      <c r="J1397" s="3">
        <v>-7.010122323646284E-4</v>
      </c>
      <c r="K1397" s="3">
        <v>0.43885570575290789</v>
      </c>
    </row>
    <row r="1398" spans="1:11" x14ac:dyDescent="0.2">
      <c r="A1398" s="1">
        <v>43689</v>
      </c>
      <c r="B1398">
        <v>127.25900268554599</v>
      </c>
      <c r="C1398">
        <v>135.78999328613199</v>
      </c>
      <c r="D1398">
        <v>137.86000061035099</v>
      </c>
      <c r="E1398">
        <v>135.24000549316401</v>
      </c>
      <c r="F1398">
        <v>137.07000732421801</v>
      </c>
      <c r="G1398" s="2">
        <v>20484300</v>
      </c>
      <c r="H1398" s="3">
        <f t="shared" si="21"/>
        <v>-1.3942818930400391E-2</v>
      </c>
      <c r="J1398" s="3">
        <v>-6.9391135509300206E-4</v>
      </c>
      <c r="K1398" s="3">
        <v>0.43917007230430682</v>
      </c>
    </row>
    <row r="1399" spans="1:11" x14ac:dyDescent="0.2">
      <c r="A1399" s="1">
        <v>43690</v>
      </c>
      <c r="B1399">
        <v>129.892486572265</v>
      </c>
      <c r="C1399">
        <v>138.600006103515</v>
      </c>
      <c r="D1399">
        <v>138.80000305175699</v>
      </c>
      <c r="E1399">
        <v>135</v>
      </c>
      <c r="F1399">
        <v>136.05000305175699</v>
      </c>
      <c r="G1399" s="2">
        <v>25154600</v>
      </c>
      <c r="H1399" s="3">
        <f t="shared" si="21"/>
        <v>2.0693890657200065E-2</v>
      </c>
      <c r="J1399" s="3">
        <v>-6.9142312789205462E-4</v>
      </c>
      <c r="K1399" s="3">
        <v>0.43948443885570576</v>
      </c>
    </row>
    <row r="1400" spans="1:11" x14ac:dyDescent="0.2">
      <c r="A1400" s="1">
        <v>43691</v>
      </c>
      <c r="B1400">
        <v>125.98085021972599</v>
      </c>
      <c r="C1400">
        <v>133.97999572753901</v>
      </c>
      <c r="D1400">
        <v>136.919998168945</v>
      </c>
      <c r="E1400">
        <v>133.669998168945</v>
      </c>
      <c r="F1400">
        <v>136.36000061035099</v>
      </c>
      <c r="G1400" s="2">
        <v>32527300</v>
      </c>
      <c r="H1400" s="3">
        <f t="shared" si="21"/>
        <v>-3.0114415820062024E-2</v>
      </c>
      <c r="J1400" s="3">
        <v>-6.8889958410289776E-4</v>
      </c>
      <c r="K1400" s="3">
        <v>0.4397988054071047</v>
      </c>
    </row>
    <row r="1401" spans="1:11" x14ac:dyDescent="0.2">
      <c r="A1401" s="1">
        <v>43692</v>
      </c>
      <c r="B1401">
        <v>125.698760986328</v>
      </c>
      <c r="C1401">
        <v>133.67999267578099</v>
      </c>
      <c r="D1401">
        <v>134.58000183105401</v>
      </c>
      <c r="E1401">
        <v>132.25</v>
      </c>
      <c r="F1401">
        <v>134.38999938964801</v>
      </c>
      <c r="G1401" s="2">
        <v>28074400</v>
      </c>
      <c r="H1401" s="3">
        <f t="shared" si="21"/>
        <v>-2.2391437500699496E-3</v>
      </c>
      <c r="J1401" s="3">
        <v>-6.8318455092208907E-4</v>
      </c>
      <c r="K1401" s="3">
        <v>0.44011317195850364</v>
      </c>
    </row>
    <row r="1402" spans="1:11" x14ac:dyDescent="0.2">
      <c r="A1402" s="1">
        <v>43693</v>
      </c>
      <c r="B1402">
        <v>128.00247192382801</v>
      </c>
      <c r="C1402">
        <v>136.13000488281199</v>
      </c>
      <c r="D1402">
        <v>136.46000671386699</v>
      </c>
      <c r="E1402">
        <v>134.72000122070301</v>
      </c>
      <c r="F1402">
        <v>134.88000488281199</v>
      </c>
      <c r="G1402" s="2">
        <v>24449100</v>
      </c>
      <c r="H1402" s="3">
        <f t="shared" si="21"/>
        <v>1.8327236636410227E-2</v>
      </c>
      <c r="J1402" s="3">
        <v>-6.8166317996476433E-4</v>
      </c>
      <c r="K1402" s="3">
        <v>0.44042753850990257</v>
      </c>
    </row>
    <row r="1403" spans="1:11" x14ac:dyDescent="0.2">
      <c r="A1403" s="1">
        <v>43696</v>
      </c>
      <c r="B1403">
        <v>130.14642333984301</v>
      </c>
      <c r="C1403">
        <v>138.41000366210901</v>
      </c>
      <c r="D1403">
        <v>138.55000305175699</v>
      </c>
      <c r="E1403">
        <v>136.88999938964801</v>
      </c>
      <c r="F1403">
        <v>137.850006103515</v>
      </c>
      <c r="G1403" s="2">
        <v>24355700</v>
      </c>
      <c r="H1403" s="3">
        <f t="shared" si="21"/>
        <v>1.6749296976786621E-2</v>
      </c>
      <c r="J1403" s="3">
        <v>-6.7914379843880823E-4</v>
      </c>
      <c r="K1403" s="3">
        <v>0.44074190506130145</v>
      </c>
    </row>
    <row r="1404" spans="1:11" x14ac:dyDescent="0.2">
      <c r="A1404" s="1">
        <v>43697</v>
      </c>
      <c r="B1404">
        <v>129.06500244140599</v>
      </c>
      <c r="C1404">
        <v>137.259994506835</v>
      </c>
      <c r="D1404">
        <v>138.71000671386699</v>
      </c>
      <c r="E1404">
        <v>137.24000549316401</v>
      </c>
      <c r="F1404">
        <v>138.21000671386699</v>
      </c>
      <c r="G1404" s="2">
        <v>21170800</v>
      </c>
      <c r="H1404" s="3">
        <f t="shared" si="21"/>
        <v>-8.3092632950286793E-3</v>
      </c>
      <c r="J1404" s="3">
        <v>-6.3515433564498291E-4</v>
      </c>
      <c r="K1404" s="3">
        <v>0.44105627161270039</v>
      </c>
    </row>
    <row r="1405" spans="1:11" x14ac:dyDescent="0.2">
      <c r="A1405" s="1">
        <v>43698</v>
      </c>
      <c r="B1405">
        <v>130.50367736816401</v>
      </c>
      <c r="C1405">
        <v>138.78999328613199</v>
      </c>
      <c r="D1405">
        <v>139.49000549316401</v>
      </c>
      <c r="E1405">
        <v>138</v>
      </c>
      <c r="F1405">
        <v>138.55000305175699</v>
      </c>
      <c r="G1405" s="2">
        <v>14970300</v>
      </c>
      <c r="H1405" s="3">
        <f t="shared" si="21"/>
        <v>1.114690194509671E-2</v>
      </c>
      <c r="J1405" s="3">
        <v>-6.3364940138588288E-4</v>
      </c>
      <c r="K1405" s="3">
        <v>0.44137063816409933</v>
      </c>
    </row>
    <row r="1406" spans="1:11" x14ac:dyDescent="0.2">
      <c r="A1406" s="1">
        <v>43699</v>
      </c>
      <c r="B1406">
        <v>129.55400085449199</v>
      </c>
      <c r="C1406">
        <v>137.77999877929599</v>
      </c>
      <c r="D1406">
        <v>139.19999694824199</v>
      </c>
      <c r="E1406">
        <v>136.28999328613199</v>
      </c>
      <c r="F1406">
        <v>138.66000366210901</v>
      </c>
      <c r="G1406" s="2">
        <v>18697000</v>
      </c>
      <c r="H1406" s="3">
        <f t="shared" si="21"/>
        <v>-7.2770096048165867E-3</v>
      </c>
      <c r="J1406" s="3">
        <v>-6.2807958685717757E-4</v>
      </c>
      <c r="K1406" s="3">
        <v>0.44168500471549826</v>
      </c>
    </row>
    <row r="1407" spans="1:11" x14ac:dyDescent="0.2">
      <c r="A1407" s="1">
        <v>43700</v>
      </c>
      <c r="B1407">
        <v>125.42608642578099</v>
      </c>
      <c r="C1407">
        <v>133.38999938964801</v>
      </c>
      <c r="D1407">
        <v>138.350006103515</v>
      </c>
      <c r="E1407">
        <v>132.80000305175699</v>
      </c>
      <c r="F1407">
        <v>137.19000244140599</v>
      </c>
      <c r="G1407" s="2">
        <v>38508600</v>
      </c>
      <c r="H1407" s="3">
        <f t="shared" si="21"/>
        <v>-3.1862500590369547E-2</v>
      </c>
      <c r="J1407" s="3">
        <v>-6.2483065088336787E-4</v>
      </c>
      <c r="K1407" s="3">
        <v>0.4419993712668972</v>
      </c>
    </row>
    <row r="1408" spans="1:11" x14ac:dyDescent="0.2">
      <c r="A1408" s="1">
        <v>43703</v>
      </c>
      <c r="B1408">
        <v>127.36311340332</v>
      </c>
      <c r="C1408">
        <v>135.44999694824199</v>
      </c>
      <c r="D1408">
        <v>135.55999755859301</v>
      </c>
      <c r="E1408">
        <v>133.89999389648401</v>
      </c>
      <c r="F1408">
        <v>134.99000549316401</v>
      </c>
      <c r="G1408" s="2">
        <v>20312600</v>
      </c>
      <c r="H1408" s="3">
        <f t="shared" si="21"/>
        <v>1.5443573444230863E-2</v>
      </c>
      <c r="J1408" s="3">
        <v>-6.2306051365867976E-4</v>
      </c>
      <c r="K1408" s="3">
        <v>0.44231373781829614</v>
      </c>
    </row>
    <row r="1409" spans="1:11" x14ac:dyDescent="0.2">
      <c r="A1409" s="1">
        <v>43704</v>
      </c>
      <c r="B1409">
        <v>127.63579559326099</v>
      </c>
      <c r="C1409">
        <v>135.74000549316401</v>
      </c>
      <c r="D1409">
        <v>136.72000122070301</v>
      </c>
      <c r="E1409">
        <v>134.66000366210901</v>
      </c>
      <c r="F1409">
        <v>136.38999938964801</v>
      </c>
      <c r="G1409" s="2">
        <v>23102100</v>
      </c>
      <c r="H1409" s="3">
        <f t="shared" si="21"/>
        <v>2.1409824450309145E-3</v>
      </c>
      <c r="J1409" s="3">
        <v>-6.1949964975349658E-4</v>
      </c>
      <c r="K1409" s="3">
        <v>0.44262810436969507</v>
      </c>
    </row>
    <row r="1410" spans="1:11" x14ac:dyDescent="0.2">
      <c r="A1410" s="1">
        <v>43705</v>
      </c>
      <c r="B1410">
        <v>127.46652984619099</v>
      </c>
      <c r="C1410">
        <v>135.55999755859301</v>
      </c>
      <c r="D1410">
        <v>135.759994506835</v>
      </c>
      <c r="E1410">
        <v>133.55000305175699</v>
      </c>
      <c r="F1410">
        <v>134.88000488281199</v>
      </c>
      <c r="G1410" s="2">
        <v>17393300</v>
      </c>
      <c r="H1410" s="3">
        <f t="shared" ref="H1410:H1473" si="22">B1410/B1409-1</f>
        <v>-1.3261620400706331E-3</v>
      </c>
      <c r="J1410" s="3">
        <v>-6.0530359592836369E-4</v>
      </c>
      <c r="K1410" s="3">
        <v>0.44294247092109401</v>
      </c>
    </row>
    <row r="1411" spans="1:11" x14ac:dyDescent="0.2">
      <c r="A1411" s="1">
        <v>43706</v>
      </c>
      <c r="B1411">
        <v>129.87367248535099</v>
      </c>
      <c r="C1411">
        <v>138.11999511718699</v>
      </c>
      <c r="D1411">
        <v>138.44000244140599</v>
      </c>
      <c r="E1411">
        <v>136.91000366210901</v>
      </c>
      <c r="F1411">
        <v>137.25</v>
      </c>
      <c r="G1411" s="2">
        <v>20168700</v>
      </c>
      <c r="H1411" s="3">
        <f t="shared" si="22"/>
        <v>1.8884507502201719E-2</v>
      </c>
      <c r="J1411" s="3">
        <v>-6.0130696376026194E-4</v>
      </c>
      <c r="K1411" s="3">
        <v>0.44325683747249295</v>
      </c>
    </row>
    <row r="1412" spans="1:11" x14ac:dyDescent="0.2">
      <c r="A1412" s="1">
        <v>43707</v>
      </c>
      <c r="B1412">
        <v>129.62924194335901</v>
      </c>
      <c r="C1412">
        <v>137.86000061035099</v>
      </c>
      <c r="D1412">
        <v>139.17999267578099</v>
      </c>
      <c r="E1412">
        <v>136.27000427246</v>
      </c>
      <c r="F1412">
        <v>139.14999389648401</v>
      </c>
      <c r="G1412" s="2">
        <v>23940100</v>
      </c>
      <c r="H1412" s="3">
        <f t="shared" si="22"/>
        <v>-1.8820638341427998E-3</v>
      </c>
      <c r="J1412" s="3">
        <v>-5.9603148594233879E-4</v>
      </c>
      <c r="K1412" s="3">
        <v>0.44357120402389189</v>
      </c>
    </row>
    <row r="1413" spans="1:11" x14ac:dyDescent="0.2">
      <c r="A1413" s="1">
        <v>43711</v>
      </c>
      <c r="B1413">
        <v>127.91786956787099</v>
      </c>
      <c r="C1413">
        <v>136.03999328613199</v>
      </c>
      <c r="D1413">
        <v>137.19999694824199</v>
      </c>
      <c r="E1413">
        <v>135.69999694824199</v>
      </c>
      <c r="F1413">
        <v>136.61000061035099</v>
      </c>
      <c r="G1413" s="2">
        <v>18869300</v>
      </c>
      <c r="H1413" s="3">
        <f t="shared" si="22"/>
        <v>-1.3202054951735209E-2</v>
      </c>
      <c r="J1413" s="3">
        <v>-5.8429777524160453E-4</v>
      </c>
      <c r="K1413" s="3">
        <v>0.44388557057529077</v>
      </c>
    </row>
    <row r="1414" spans="1:11" x14ac:dyDescent="0.2">
      <c r="A1414" s="1">
        <v>43712</v>
      </c>
      <c r="B1414">
        <v>129.41296386718699</v>
      </c>
      <c r="C1414">
        <v>137.63000488281199</v>
      </c>
      <c r="D1414">
        <v>137.69000244140599</v>
      </c>
      <c r="E1414">
        <v>136.47999572753901</v>
      </c>
      <c r="F1414">
        <v>137.30000305175699</v>
      </c>
      <c r="G1414" s="2">
        <v>17995900</v>
      </c>
      <c r="H1414" s="3">
        <f t="shared" si="22"/>
        <v>1.1687923699532199E-2</v>
      </c>
      <c r="J1414" s="3">
        <v>-5.7687230840186565E-4</v>
      </c>
      <c r="K1414" s="3">
        <v>0.4441999371266897</v>
      </c>
    </row>
    <row r="1415" spans="1:11" x14ac:dyDescent="0.2">
      <c r="A1415" s="1">
        <v>43713</v>
      </c>
      <c r="B1415">
        <v>131.68849182128901</v>
      </c>
      <c r="C1415">
        <v>140.05000305175699</v>
      </c>
      <c r="D1415">
        <v>140.38000488281199</v>
      </c>
      <c r="E1415">
        <v>138.759994506835</v>
      </c>
      <c r="F1415">
        <v>139.11000061035099</v>
      </c>
      <c r="G1415" s="2">
        <v>26101800</v>
      </c>
      <c r="H1415" s="3">
        <f t="shared" si="22"/>
        <v>1.7583462167185537E-2</v>
      </c>
      <c r="J1415" s="3">
        <v>-5.752353431506263E-4</v>
      </c>
      <c r="K1415" s="3">
        <v>0.44451430367808864</v>
      </c>
    </row>
    <row r="1416" spans="1:11" x14ac:dyDescent="0.2">
      <c r="A1416" s="1">
        <v>43714</v>
      </c>
      <c r="B1416">
        <v>130.795166015625</v>
      </c>
      <c r="C1416">
        <v>139.100006103515</v>
      </c>
      <c r="D1416">
        <v>140.17999267578099</v>
      </c>
      <c r="E1416">
        <v>138.19999694824199</v>
      </c>
      <c r="F1416">
        <v>140.02999877929599</v>
      </c>
      <c r="G1416" s="2">
        <v>20824500</v>
      </c>
      <c r="H1416" s="3">
        <f t="shared" si="22"/>
        <v>-6.7836284956191983E-3</v>
      </c>
      <c r="J1416" s="3">
        <v>-5.7381503299724912E-4</v>
      </c>
      <c r="K1416" s="3">
        <v>0.44482867022948758</v>
      </c>
    </row>
    <row r="1417" spans="1:11" x14ac:dyDescent="0.2">
      <c r="A1417" s="1">
        <v>43717</v>
      </c>
      <c r="B1417">
        <v>129.30949401855401</v>
      </c>
      <c r="C1417">
        <v>137.52000427246</v>
      </c>
      <c r="D1417">
        <v>139.75</v>
      </c>
      <c r="E1417">
        <v>136.46000671386699</v>
      </c>
      <c r="F1417">
        <v>139.58999633789</v>
      </c>
      <c r="G1417" s="2">
        <v>25773900</v>
      </c>
      <c r="H1417" s="3">
        <f t="shared" si="22"/>
        <v>-1.1358768388225582E-2</v>
      </c>
      <c r="J1417" s="3">
        <v>-5.6685373549048013E-4</v>
      </c>
      <c r="K1417" s="3">
        <v>0.44514303678088651</v>
      </c>
    </row>
    <row r="1418" spans="1:11" x14ac:dyDescent="0.2">
      <c r="A1418" s="1">
        <v>43718</v>
      </c>
      <c r="B1418">
        <v>127.95549011230401</v>
      </c>
      <c r="C1418">
        <v>136.08000183105401</v>
      </c>
      <c r="D1418">
        <v>136.88999938964801</v>
      </c>
      <c r="E1418">
        <v>134.509994506835</v>
      </c>
      <c r="F1418">
        <v>136.80000305175699</v>
      </c>
      <c r="G1418" s="2">
        <v>28903400</v>
      </c>
      <c r="H1418" s="3">
        <f t="shared" si="22"/>
        <v>-1.0471032436765393E-2</v>
      </c>
      <c r="J1418" s="3">
        <v>-5.6471293873461281E-4</v>
      </c>
      <c r="K1418" s="3">
        <v>0.44545740333228545</v>
      </c>
    </row>
    <row r="1419" spans="1:11" x14ac:dyDescent="0.2">
      <c r="A1419" s="1">
        <v>43719</v>
      </c>
      <c r="B1419">
        <v>127.99313354492099</v>
      </c>
      <c r="C1419">
        <v>136.11999511718699</v>
      </c>
      <c r="D1419">
        <v>136.27000427246</v>
      </c>
      <c r="E1419">
        <v>135.08999633789</v>
      </c>
      <c r="F1419">
        <v>135.91000366210901</v>
      </c>
      <c r="G1419" s="2">
        <v>24726100</v>
      </c>
      <c r="H1419" s="3">
        <f t="shared" si="22"/>
        <v>2.9419161760046997E-4</v>
      </c>
      <c r="J1419" s="3">
        <v>-5.6325662850820191E-4</v>
      </c>
      <c r="K1419" s="3">
        <v>0.44577176988368439</v>
      </c>
    </row>
    <row r="1420" spans="1:11" x14ac:dyDescent="0.2">
      <c r="A1420" s="1">
        <v>43720</v>
      </c>
      <c r="B1420">
        <v>129.30949401855401</v>
      </c>
      <c r="C1420">
        <v>137.52000427246</v>
      </c>
      <c r="D1420">
        <v>138.419998168945</v>
      </c>
      <c r="E1420">
        <v>136.86999511718699</v>
      </c>
      <c r="F1420">
        <v>137.850006103515</v>
      </c>
      <c r="G1420" s="2">
        <v>27010000</v>
      </c>
      <c r="H1420" s="3">
        <f t="shared" si="22"/>
        <v>1.0284617910155447E-2</v>
      </c>
      <c r="J1420" s="3">
        <v>-5.5753719543349956E-4</v>
      </c>
      <c r="K1420" s="3">
        <v>0.44608613643508332</v>
      </c>
    </row>
    <row r="1421" spans="1:11" x14ac:dyDescent="0.2">
      <c r="A1421" s="1">
        <v>43721</v>
      </c>
      <c r="B1421">
        <v>129.12147521972599</v>
      </c>
      <c r="C1421">
        <v>137.32000732421801</v>
      </c>
      <c r="D1421">
        <v>138.05999755859301</v>
      </c>
      <c r="E1421">
        <v>136.57000732421801</v>
      </c>
      <c r="F1421">
        <v>137.77999877929599</v>
      </c>
      <c r="G1421" s="2">
        <v>23363100</v>
      </c>
      <c r="H1421" s="3">
        <f t="shared" si="22"/>
        <v>-1.4540216111358362E-3</v>
      </c>
      <c r="J1421" s="3">
        <v>-5.2173558874257786E-4</v>
      </c>
      <c r="K1421" s="3">
        <v>0.44640050298648226</v>
      </c>
    </row>
    <row r="1422" spans="1:11" x14ac:dyDescent="0.2">
      <c r="A1422" s="1">
        <v>43724</v>
      </c>
      <c r="B1422">
        <v>128.19056701660099</v>
      </c>
      <c r="C1422">
        <v>136.33000183105401</v>
      </c>
      <c r="D1422">
        <v>136.69999694824199</v>
      </c>
      <c r="E1422">
        <v>135.66000366210901</v>
      </c>
      <c r="F1422">
        <v>135.83000183105401</v>
      </c>
      <c r="G1422" s="2">
        <v>16731400</v>
      </c>
      <c r="H1422" s="3">
        <f t="shared" si="22"/>
        <v>-7.2095536512487568E-3</v>
      </c>
      <c r="J1422" s="3">
        <v>-5.1692089421995213E-4</v>
      </c>
      <c r="K1422" s="3">
        <v>0.44671486953788114</v>
      </c>
    </row>
    <row r="1423" spans="1:11" x14ac:dyDescent="0.2">
      <c r="A1423" s="1">
        <v>43725</v>
      </c>
      <c r="B1423">
        <v>129.187255859375</v>
      </c>
      <c r="C1423">
        <v>137.38999938964801</v>
      </c>
      <c r="D1423">
        <v>137.52000427246</v>
      </c>
      <c r="E1423">
        <v>136.42999267578099</v>
      </c>
      <c r="F1423">
        <v>136.96000671386699</v>
      </c>
      <c r="G1423" s="2">
        <v>17814200</v>
      </c>
      <c r="H1423" s="3">
        <f t="shared" si="22"/>
        <v>7.7750560432807703E-3</v>
      </c>
      <c r="J1423" s="3">
        <v>-5.164915576457707E-4</v>
      </c>
      <c r="K1423" s="3">
        <v>0.44702923608928008</v>
      </c>
    </row>
    <row r="1424" spans="1:11" x14ac:dyDescent="0.2">
      <c r="A1424" s="1">
        <v>43726</v>
      </c>
      <c r="B1424">
        <v>130.24983215332</v>
      </c>
      <c r="C1424">
        <v>138.52000427246</v>
      </c>
      <c r="D1424">
        <v>138.669998168945</v>
      </c>
      <c r="E1424">
        <v>136.52999877929599</v>
      </c>
      <c r="F1424">
        <v>137.36000061035099</v>
      </c>
      <c r="G1424" s="2">
        <v>23982100</v>
      </c>
      <c r="H1424" s="3">
        <f t="shared" si="22"/>
        <v>8.2250860340407073E-3</v>
      </c>
      <c r="J1424" s="3">
        <v>-4.9078774667066227E-4</v>
      </c>
      <c r="K1424" s="3">
        <v>0.44734360264067902</v>
      </c>
    </row>
    <row r="1425" spans="1:11" x14ac:dyDescent="0.2">
      <c r="A1425" s="1">
        <v>43727</v>
      </c>
      <c r="B1425">
        <v>132.64759826660099</v>
      </c>
      <c r="C1425">
        <v>141.07000732421801</v>
      </c>
      <c r="D1425">
        <v>142.36999511718699</v>
      </c>
      <c r="E1425">
        <v>140.07000732421801</v>
      </c>
      <c r="F1425">
        <v>140.30000305175699</v>
      </c>
      <c r="G1425" s="2">
        <v>35772100</v>
      </c>
      <c r="H1425" s="3">
        <f t="shared" si="22"/>
        <v>1.840897660780505E-2</v>
      </c>
      <c r="J1425" s="3">
        <v>-4.8129534745022795E-4</v>
      </c>
      <c r="K1425" s="3">
        <v>0.44765796919207795</v>
      </c>
    </row>
    <row r="1426" spans="1:11" x14ac:dyDescent="0.2">
      <c r="A1426" s="1">
        <v>43728</v>
      </c>
      <c r="B1426">
        <v>131.11489868164</v>
      </c>
      <c r="C1426">
        <v>139.44000244140599</v>
      </c>
      <c r="D1426">
        <v>141.64999389648401</v>
      </c>
      <c r="E1426">
        <v>138.25</v>
      </c>
      <c r="F1426">
        <v>141.009994506835</v>
      </c>
      <c r="G1426" s="2">
        <v>39167300</v>
      </c>
      <c r="H1426" s="3">
        <f t="shared" si="22"/>
        <v>-1.1554672719218839E-2</v>
      </c>
      <c r="J1426" s="3">
        <v>-4.7953536592182378E-4</v>
      </c>
      <c r="K1426" s="3">
        <v>0.44797233574347689</v>
      </c>
    </row>
    <row r="1427" spans="1:11" x14ac:dyDescent="0.2">
      <c r="A1427" s="1">
        <v>43731</v>
      </c>
      <c r="B1427">
        <v>130.83277893066401</v>
      </c>
      <c r="C1427">
        <v>139.13999938964801</v>
      </c>
      <c r="D1427">
        <v>139.63000488281199</v>
      </c>
      <c r="E1427">
        <v>138.44000244140599</v>
      </c>
      <c r="F1427">
        <v>139.22999572753901</v>
      </c>
      <c r="G1427" s="2">
        <v>17139300</v>
      </c>
      <c r="H1427" s="3">
        <f t="shared" si="22"/>
        <v>-2.1516986537205574E-3</v>
      </c>
      <c r="J1427" s="3">
        <v>-4.6657555546614216E-4</v>
      </c>
      <c r="K1427" s="3">
        <v>0.44828670229487583</v>
      </c>
    </row>
    <row r="1428" spans="1:11" x14ac:dyDescent="0.2">
      <c r="A1428" s="1">
        <v>43732</v>
      </c>
      <c r="B1428">
        <v>129.17788696289</v>
      </c>
      <c r="C1428">
        <v>137.38000488281199</v>
      </c>
      <c r="D1428">
        <v>140.69000244140599</v>
      </c>
      <c r="E1428">
        <v>136.88000488281199</v>
      </c>
      <c r="F1428">
        <v>140.36000061035099</v>
      </c>
      <c r="G1428" s="2">
        <v>29773200</v>
      </c>
      <c r="H1428" s="3">
        <f t="shared" si="22"/>
        <v>-1.2648909404049502E-2</v>
      </c>
      <c r="J1428" s="3">
        <v>-4.6215836677276911E-4</v>
      </c>
      <c r="K1428" s="3">
        <v>0.44860106884627476</v>
      </c>
    </row>
    <row r="1429" spans="1:11" x14ac:dyDescent="0.2">
      <c r="A1429" s="1">
        <v>43733</v>
      </c>
      <c r="B1429">
        <v>131.03967285156199</v>
      </c>
      <c r="C1429">
        <v>139.36000061035099</v>
      </c>
      <c r="D1429">
        <v>139.96000671386699</v>
      </c>
      <c r="E1429">
        <v>136.02999877929599</v>
      </c>
      <c r="F1429">
        <v>137.5</v>
      </c>
      <c r="G1429" s="2">
        <v>21382000</v>
      </c>
      <c r="H1429" s="3">
        <f t="shared" si="22"/>
        <v>1.4412574260537658E-2</v>
      </c>
      <c r="J1429" s="3">
        <v>-4.436050625804544E-4</v>
      </c>
      <c r="K1429" s="3">
        <v>0.4489154353976737</v>
      </c>
    </row>
    <row r="1430" spans="1:11" x14ac:dyDescent="0.2">
      <c r="A1430" s="1">
        <v>43734</v>
      </c>
      <c r="B1430">
        <v>131.20893859863199</v>
      </c>
      <c r="C1430">
        <v>139.53999328613199</v>
      </c>
      <c r="D1430">
        <v>140.17999267578099</v>
      </c>
      <c r="E1430">
        <v>138.44000244140599</v>
      </c>
      <c r="F1430">
        <v>139.44000244140599</v>
      </c>
      <c r="G1430" s="2">
        <v>17456600</v>
      </c>
      <c r="H1430" s="3">
        <f t="shared" si="22"/>
        <v>1.2917137488717145E-3</v>
      </c>
      <c r="J1430" s="3">
        <v>-4.3339517736395994E-4</v>
      </c>
      <c r="K1430" s="3">
        <v>0.44922980194907264</v>
      </c>
    </row>
    <row r="1431" spans="1:11" x14ac:dyDescent="0.2">
      <c r="A1431" s="1">
        <v>43735</v>
      </c>
      <c r="B1431">
        <v>129.50694274902301</v>
      </c>
      <c r="C1431">
        <v>137.72999572753901</v>
      </c>
      <c r="D1431">
        <v>140.36000061035099</v>
      </c>
      <c r="E1431">
        <v>136.64999389648401</v>
      </c>
      <c r="F1431">
        <v>140.14999389648401</v>
      </c>
      <c r="G1431" s="2">
        <v>22477700</v>
      </c>
      <c r="H1431" s="3">
        <f t="shared" si="22"/>
        <v>-1.2971645588989777E-2</v>
      </c>
      <c r="J1431" s="3">
        <v>-4.2235091621523058E-4</v>
      </c>
      <c r="K1431" s="3">
        <v>0.44954416850047157</v>
      </c>
    </row>
    <row r="1432" spans="1:11" x14ac:dyDescent="0.2">
      <c r="A1432" s="1">
        <v>43738</v>
      </c>
      <c r="B1432">
        <v>130.72935485839801</v>
      </c>
      <c r="C1432">
        <v>139.02999877929599</v>
      </c>
      <c r="D1432">
        <v>139.22000122070301</v>
      </c>
      <c r="E1432">
        <v>137.77999877929599</v>
      </c>
      <c r="F1432">
        <v>138.05000305175699</v>
      </c>
      <c r="G1432" s="2">
        <v>17280900</v>
      </c>
      <c r="H1432" s="3">
        <f t="shared" si="22"/>
        <v>9.438969706388356E-3</v>
      </c>
      <c r="J1432" s="3">
        <v>-4.1233944835605829E-4</v>
      </c>
      <c r="K1432" s="3">
        <v>0.44985853505187046</v>
      </c>
    </row>
    <row r="1433" spans="1:11" x14ac:dyDescent="0.2">
      <c r="A1433" s="1">
        <v>43739</v>
      </c>
      <c r="B1433">
        <v>128.88638305664</v>
      </c>
      <c r="C1433">
        <v>137.07000732421801</v>
      </c>
      <c r="D1433">
        <v>140.25</v>
      </c>
      <c r="E1433">
        <v>137</v>
      </c>
      <c r="F1433">
        <v>139.66000366210901</v>
      </c>
      <c r="G1433" s="2">
        <v>21466600</v>
      </c>
      <c r="H1433" s="3">
        <f t="shared" si="22"/>
        <v>-1.4097612611599475E-2</v>
      </c>
      <c r="J1433" s="3">
        <v>-4.1076616824209378E-4</v>
      </c>
      <c r="K1433" s="3">
        <v>0.45017290160326939</v>
      </c>
    </row>
    <row r="1434" spans="1:11" x14ac:dyDescent="0.2">
      <c r="A1434" s="1">
        <v>43740</v>
      </c>
      <c r="B1434">
        <v>126.610870361328</v>
      </c>
      <c r="C1434">
        <v>134.64999389648401</v>
      </c>
      <c r="D1434">
        <v>136.36999511718699</v>
      </c>
      <c r="E1434">
        <v>133.58000183105401</v>
      </c>
      <c r="F1434">
        <v>136.25</v>
      </c>
      <c r="G1434" s="2">
        <v>30521700</v>
      </c>
      <c r="H1434" s="3">
        <f t="shared" si="22"/>
        <v>-1.7655183125994123E-2</v>
      </c>
      <c r="J1434" s="3">
        <v>-4.0898438202396914E-4</v>
      </c>
      <c r="K1434" s="3">
        <v>0.45048726815466833</v>
      </c>
    </row>
    <row r="1435" spans="1:11" x14ac:dyDescent="0.2">
      <c r="A1435" s="1">
        <v>43741</v>
      </c>
      <c r="B1435">
        <v>128.1435546875</v>
      </c>
      <c r="C1435">
        <v>136.27999877929599</v>
      </c>
      <c r="D1435">
        <v>136.75</v>
      </c>
      <c r="E1435">
        <v>133.22000122070301</v>
      </c>
      <c r="F1435">
        <v>134.94999694824199</v>
      </c>
      <c r="G1435" s="2">
        <v>24132900</v>
      </c>
      <c r="H1435" s="3">
        <f t="shared" si="22"/>
        <v>1.210547184296229E-2</v>
      </c>
      <c r="J1435" s="3">
        <v>-4.0416181719571398E-4</v>
      </c>
      <c r="K1435" s="3">
        <v>0.45080163470606727</v>
      </c>
    </row>
    <row r="1436" spans="1:11" x14ac:dyDescent="0.2">
      <c r="A1436" s="1">
        <v>43742</v>
      </c>
      <c r="B1436">
        <v>129.87367248535099</v>
      </c>
      <c r="C1436">
        <v>138.11999511718699</v>
      </c>
      <c r="D1436">
        <v>138.25</v>
      </c>
      <c r="E1436">
        <v>136.419998168945</v>
      </c>
      <c r="F1436">
        <v>136.75</v>
      </c>
      <c r="G1436" s="2">
        <v>22897700</v>
      </c>
      <c r="H1436" s="3">
        <f t="shared" si="22"/>
        <v>1.3501403188558303E-2</v>
      </c>
      <c r="J1436" s="3">
        <v>-4.0226471240600858E-4</v>
      </c>
      <c r="K1436" s="3">
        <v>0.4511160012574662</v>
      </c>
    </row>
    <row r="1437" spans="1:11" x14ac:dyDescent="0.2">
      <c r="A1437" s="1">
        <v>43745</v>
      </c>
      <c r="B1437">
        <v>128.93338012695301</v>
      </c>
      <c r="C1437">
        <v>137.11999511718699</v>
      </c>
      <c r="D1437">
        <v>138.17999267578099</v>
      </c>
      <c r="E1437">
        <v>137.02000427246</v>
      </c>
      <c r="F1437">
        <v>137.13999938964801</v>
      </c>
      <c r="G1437" s="2">
        <v>15303700</v>
      </c>
      <c r="H1437" s="3">
        <f t="shared" si="22"/>
        <v>-7.2400536644872115E-3</v>
      </c>
      <c r="J1437" s="3">
        <v>-3.9537010577905818E-4</v>
      </c>
      <c r="K1437" s="3">
        <v>0.45143036780886514</v>
      </c>
    </row>
    <row r="1438" spans="1:11" x14ac:dyDescent="0.2">
      <c r="A1438" s="1">
        <v>43746</v>
      </c>
      <c r="B1438">
        <v>127.56997680664</v>
      </c>
      <c r="C1438">
        <v>135.669998168945</v>
      </c>
      <c r="D1438">
        <v>137.759994506835</v>
      </c>
      <c r="E1438">
        <v>135.61999511718699</v>
      </c>
      <c r="F1438">
        <v>137.08000183105401</v>
      </c>
      <c r="G1438" s="2">
        <v>25550500</v>
      </c>
      <c r="H1438" s="3">
        <f t="shared" si="22"/>
        <v>-1.0574478998150449E-2</v>
      </c>
      <c r="J1438" s="3">
        <v>-3.9440629980602715E-4</v>
      </c>
      <c r="K1438" s="3">
        <v>0.45174473436026408</v>
      </c>
    </row>
    <row r="1439" spans="1:11" x14ac:dyDescent="0.2">
      <c r="A1439" s="1">
        <v>43747</v>
      </c>
      <c r="B1439">
        <v>129.98651123046801</v>
      </c>
      <c r="C1439">
        <v>138.24000549316401</v>
      </c>
      <c r="D1439">
        <v>138.69999694824199</v>
      </c>
      <c r="E1439">
        <v>136.97000122070301</v>
      </c>
      <c r="F1439">
        <v>137.46000671386699</v>
      </c>
      <c r="G1439" s="2">
        <v>19749900</v>
      </c>
      <c r="H1439" s="3">
        <f t="shared" si="22"/>
        <v>1.8942814636478289E-2</v>
      </c>
      <c r="J1439" s="3">
        <v>-3.8797035635951271E-4</v>
      </c>
      <c r="K1439" s="3">
        <v>0.45205910091166301</v>
      </c>
    </row>
    <row r="1440" spans="1:11" x14ac:dyDescent="0.2">
      <c r="A1440" s="1">
        <v>43748</v>
      </c>
      <c r="B1440">
        <v>130.795166015625</v>
      </c>
      <c r="C1440">
        <v>139.100006103515</v>
      </c>
      <c r="D1440">
        <v>139.669998168945</v>
      </c>
      <c r="E1440">
        <v>138.25</v>
      </c>
      <c r="F1440">
        <v>138.49000549316401</v>
      </c>
      <c r="G1440" s="2">
        <v>17654600</v>
      </c>
      <c r="H1440" s="3">
        <f t="shared" si="22"/>
        <v>6.2210669207301006E-3</v>
      </c>
      <c r="J1440" s="3">
        <v>-3.6778997172159933E-4</v>
      </c>
      <c r="K1440" s="3">
        <v>0.45237346746306195</v>
      </c>
    </row>
    <row r="1441" spans="1:11" x14ac:dyDescent="0.2">
      <c r="A1441" s="1">
        <v>43749</v>
      </c>
      <c r="B1441">
        <v>131.34054565429599</v>
      </c>
      <c r="C1441">
        <v>139.67999267578099</v>
      </c>
      <c r="D1441">
        <v>141.02999877929599</v>
      </c>
      <c r="E1441">
        <v>139.5</v>
      </c>
      <c r="F1441">
        <v>140.11999511718699</v>
      </c>
      <c r="G1441" s="2">
        <v>25446000</v>
      </c>
      <c r="H1441" s="3">
        <f t="shared" si="22"/>
        <v>4.1697232037294363E-3</v>
      </c>
      <c r="J1441" s="3">
        <v>-3.6356985590013657E-4</v>
      </c>
      <c r="K1441" s="3">
        <v>0.45268783401446089</v>
      </c>
    </row>
    <row r="1442" spans="1:11" x14ac:dyDescent="0.2">
      <c r="A1442" s="1">
        <v>43752</v>
      </c>
      <c r="B1442">
        <v>131.21827697753901</v>
      </c>
      <c r="C1442">
        <v>139.55000305175699</v>
      </c>
      <c r="D1442">
        <v>140.28999328613199</v>
      </c>
      <c r="E1442">
        <v>139.52000427246</v>
      </c>
      <c r="F1442">
        <v>139.69000244140599</v>
      </c>
      <c r="G1442" s="2">
        <v>13304300</v>
      </c>
      <c r="H1442" s="3">
        <f t="shared" si="22"/>
        <v>-9.3092864924448904E-4</v>
      </c>
      <c r="J1442" s="3">
        <v>-3.5845450255655997E-4</v>
      </c>
      <c r="K1442" s="3">
        <v>0.45300220056585977</v>
      </c>
    </row>
    <row r="1443" spans="1:11" x14ac:dyDescent="0.2">
      <c r="A1443" s="1">
        <v>43753</v>
      </c>
      <c r="B1443">
        <v>133.11770629882801</v>
      </c>
      <c r="C1443">
        <v>141.57000732421801</v>
      </c>
      <c r="D1443">
        <v>141.78999328613199</v>
      </c>
      <c r="E1443">
        <v>139.80999755859301</v>
      </c>
      <c r="F1443">
        <v>140.05999755859301</v>
      </c>
      <c r="G1443" s="2">
        <v>19695700</v>
      </c>
      <c r="H1443" s="3">
        <f t="shared" si="22"/>
        <v>1.4475341126557684E-2</v>
      </c>
      <c r="J1443" s="3">
        <v>-3.4964919106783565E-4</v>
      </c>
      <c r="K1443" s="3">
        <v>0.45331656711725871</v>
      </c>
    </row>
    <row r="1444" spans="1:11" x14ac:dyDescent="0.2">
      <c r="A1444" s="1">
        <v>43754</v>
      </c>
      <c r="B1444">
        <v>132.026931762695</v>
      </c>
      <c r="C1444">
        <v>140.41000366210901</v>
      </c>
      <c r="D1444">
        <v>140.99000549316401</v>
      </c>
      <c r="E1444">
        <v>139.52999877929599</v>
      </c>
      <c r="F1444">
        <v>140.78999328613199</v>
      </c>
      <c r="G1444" s="2">
        <v>20751600</v>
      </c>
      <c r="H1444" s="3">
        <f t="shared" si="22"/>
        <v>-8.1940604782085869E-3</v>
      </c>
      <c r="J1444" s="3">
        <v>-3.2678559301202448E-4</v>
      </c>
      <c r="K1444" s="3">
        <v>0.45363093366865764</v>
      </c>
    </row>
    <row r="1445" spans="1:11" x14ac:dyDescent="0.2">
      <c r="A1445" s="1">
        <v>43755</v>
      </c>
      <c r="B1445">
        <v>131.34994506835901</v>
      </c>
      <c r="C1445">
        <v>139.69000244140599</v>
      </c>
      <c r="D1445">
        <v>141.419998168945</v>
      </c>
      <c r="E1445">
        <v>139.02000427246</v>
      </c>
      <c r="F1445">
        <v>140.94999694824199</v>
      </c>
      <c r="G1445" s="2">
        <v>21460600</v>
      </c>
      <c r="H1445" s="3">
        <f t="shared" si="22"/>
        <v>-5.1276408933960127E-3</v>
      </c>
      <c r="J1445" s="3">
        <v>-3.2624313190965371E-4</v>
      </c>
      <c r="K1445" s="3">
        <v>0.45394530022005658</v>
      </c>
    </row>
    <row r="1446" spans="1:11" x14ac:dyDescent="0.2">
      <c r="A1446" s="1">
        <v>43756</v>
      </c>
      <c r="B1446">
        <v>129.20610046386699</v>
      </c>
      <c r="C1446">
        <v>137.41000366210901</v>
      </c>
      <c r="D1446">
        <v>140</v>
      </c>
      <c r="E1446">
        <v>136.55999755859301</v>
      </c>
      <c r="F1446">
        <v>139.759994506835</v>
      </c>
      <c r="G1446" s="2">
        <v>32273500</v>
      </c>
      <c r="H1446" s="3">
        <f t="shared" si="22"/>
        <v>-1.6321625436358511E-2</v>
      </c>
      <c r="J1446" s="3">
        <v>-3.1908348106735041E-4</v>
      </c>
      <c r="K1446" s="3">
        <v>0.45425966677145552</v>
      </c>
    </row>
    <row r="1447" spans="1:11" x14ac:dyDescent="0.2">
      <c r="A1447" s="1">
        <v>43759</v>
      </c>
      <c r="B1447">
        <v>130.16514587402301</v>
      </c>
      <c r="C1447">
        <v>138.42999267578099</v>
      </c>
      <c r="D1447">
        <v>138.5</v>
      </c>
      <c r="E1447">
        <v>137.009994506835</v>
      </c>
      <c r="F1447">
        <v>138.44999694824199</v>
      </c>
      <c r="G1447" s="2">
        <v>20078200</v>
      </c>
      <c r="H1447" s="3">
        <f t="shared" si="22"/>
        <v>7.4226016164322672E-3</v>
      </c>
      <c r="J1447" s="3">
        <v>-3.1589563344947003E-4</v>
      </c>
      <c r="K1447" s="3">
        <v>0.45457403332285445</v>
      </c>
    </row>
    <row r="1448" spans="1:11" x14ac:dyDescent="0.2">
      <c r="A1448" s="1">
        <v>43760</v>
      </c>
      <c r="B1448">
        <v>128.22816467285099</v>
      </c>
      <c r="C1448">
        <v>136.36999511718699</v>
      </c>
      <c r="D1448">
        <v>140.009994506835</v>
      </c>
      <c r="E1448">
        <v>136.259994506835</v>
      </c>
      <c r="F1448">
        <v>138.97000122070301</v>
      </c>
      <c r="G1448" s="2">
        <v>27431000</v>
      </c>
      <c r="H1448" s="3">
        <f t="shared" si="22"/>
        <v>-1.488095133428935E-2</v>
      </c>
      <c r="J1448" s="3">
        <v>-2.9479205886362436E-4</v>
      </c>
      <c r="K1448" s="3">
        <v>0.45488839987425339</v>
      </c>
    </row>
    <row r="1449" spans="1:11" x14ac:dyDescent="0.2">
      <c r="A1449" s="1">
        <v>43761</v>
      </c>
      <c r="B1449">
        <v>129.04620361328099</v>
      </c>
      <c r="C1449">
        <v>137.24000549316401</v>
      </c>
      <c r="D1449">
        <v>137.44999694824199</v>
      </c>
      <c r="E1449">
        <v>135.61000061035099</v>
      </c>
      <c r="F1449">
        <v>136.88000488281199</v>
      </c>
      <c r="G1449" s="2">
        <v>29844600</v>
      </c>
      <c r="H1449" s="3">
        <f t="shared" si="22"/>
        <v>6.3795574280975931E-3</v>
      </c>
      <c r="J1449" s="3">
        <v>-2.7247678884889659E-4</v>
      </c>
      <c r="K1449" s="3">
        <v>0.45520276642565233</v>
      </c>
    </row>
    <row r="1450" spans="1:11" x14ac:dyDescent="0.2">
      <c r="A1450" s="1">
        <v>43762</v>
      </c>
      <c r="B1450">
        <v>131.58505249023401</v>
      </c>
      <c r="C1450">
        <v>139.94000244140599</v>
      </c>
      <c r="D1450">
        <v>140.419998168945</v>
      </c>
      <c r="E1450">
        <v>138.669998168945</v>
      </c>
      <c r="F1450">
        <v>139.38999938964801</v>
      </c>
      <c r="G1450" s="2">
        <v>37029300</v>
      </c>
      <c r="H1450" s="3">
        <f t="shared" si="22"/>
        <v>1.9673952474892564E-2</v>
      </c>
      <c r="J1450" s="3">
        <v>-2.6706908924600814E-4</v>
      </c>
      <c r="K1450" s="3">
        <v>0.45551713297705126</v>
      </c>
    </row>
    <row r="1451" spans="1:11" x14ac:dyDescent="0.2">
      <c r="A1451" s="1">
        <v>43763</v>
      </c>
      <c r="B1451">
        <v>132.32780456542901</v>
      </c>
      <c r="C1451">
        <v>140.72999572753901</v>
      </c>
      <c r="D1451">
        <v>141.13999938964801</v>
      </c>
      <c r="E1451">
        <v>139.19999694824199</v>
      </c>
      <c r="F1451">
        <v>139.33999633789</v>
      </c>
      <c r="G1451" s="2">
        <v>25959700</v>
      </c>
      <c r="H1451" s="3">
        <f t="shared" si="22"/>
        <v>5.6446538656063083E-3</v>
      </c>
      <c r="J1451" s="3">
        <v>-2.4405444728292647E-4</v>
      </c>
      <c r="K1451" s="3">
        <v>0.45583149952845015</v>
      </c>
    </row>
    <row r="1452" spans="1:11" x14ac:dyDescent="0.2">
      <c r="A1452" s="1">
        <v>43766</v>
      </c>
      <c r="B1452">
        <v>135.58123779296801</v>
      </c>
      <c r="C1452">
        <v>144.19000244140599</v>
      </c>
      <c r="D1452">
        <v>145.669998168945</v>
      </c>
      <c r="E1452">
        <v>143.509994506835</v>
      </c>
      <c r="F1452">
        <v>144.39999389648401</v>
      </c>
      <c r="G1452" s="2">
        <v>35280100</v>
      </c>
      <c r="H1452" s="3">
        <f t="shared" si="22"/>
        <v>2.4586164927495213E-2</v>
      </c>
      <c r="J1452" s="3">
        <v>-2.3358964419928352E-4</v>
      </c>
      <c r="K1452" s="3">
        <v>0.45614586607984908</v>
      </c>
    </row>
    <row r="1453" spans="1:11" x14ac:dyDescent="0.2">
      <c r="A1453" s="1">
        <v>43767</v>
      </c>
      <c r="B1453">
        <v>134.30250549316401</v>
      </c>
      <c r="C1453">
        <v>142.83000183105401</v>
      </c>
      <c r="D1453">
        <v>144.5</v>
      </c>
      <c r="E1453">
        <v>142.64999389648401</v>
      </c>
      <c r="F1453">
        <v>144.08000183105401</v>
      </c>
      <c r="G1453" s="2">
        <v>20589500</v>
      </c>
      <c r="H1453" s="3">
        <f t="shared" si="22"/>
        <v>-9.4314841833544882E-3</v>
      </c>
      <c r="J1453" s="3">
        <v>-2.2514744906554363E-4</v>
      </c>
      <c r="K1453" s="3">
        <v>0.45646023263124802</v>
      </c>
    </row>
    <row r="1454" spans="1:11" x14ac:dyDescent="0.2">
      <c r="A1454" s="1">
        <v>43768</v>
      </c>
      <c r="B1454">
        <v>135.97624206542901</v>
      </c>
      <c r="C1454">
        <v>144.61000061035099</v>
      </c>
      <c r="D1454">
        <v>145</v>
      </c>
      <c r="E1454">
        <v>142.78999328613199</v>
      </c>
      <c r="F1454">
        <v>143.52000427246</v>
      </c>
      <c r="G1454" s="2">
        <v>18496600</v>
      </c>
      <c r="H1454" s="3">
        <f t="shared" si="22"/>
        <v>1.2462437436434826E-2</v>
      </c>
      <c r="J1454" s="3">
        <v>-2.2293090474378996E-4</v>
      </c>
      <c r="K1454" s="3">
        <v>0.45677459918264696</v>
      </c>
    </row>
    <row r="1455" spans="1:11" x14ac:dyDescent="0.2">
      <c r="A1455" s="1">
        <v>43769</v>
      </c>
      <c r="B1455">
        <v>134.81024169921801</v>
      </c>
      <c r="C1455">
        <v>143.36999511718699</v>
      </c>
      <c r="D1455">
        <v>144.92999267578099</v>
      </c>
      <c r="E1455">
        <v>142.99000549316401</v>
      </c>
      <c r="F1455">
        <v>144.89999389648401</v>
      </c>
      <c r="G1455" s="2">
        <v>24605100</v>
      </c>
      <c r="H1455" s="3">
        <f t="shared" si="22"/>
        <v>-8.5750300824605219E-3</v>
      </c>
      <c r="J1455" s="3">
        <v>-2.2072494575775536E-4</v>
      </c>
      <c r="K1455" s="3">
        <v>0.45708896573404589</v>
      </c>
    </row>
    <row r="1456" spans="1:11" x14ac:dyDescent="0.2">
      <c r="A1456" s="1">
        <v>43770</v>
      </c>
      <c r="B1456">
        <v>135.13929748535099</v>
      </c>
      <c r="C1456">
        <v>143.72000122070301</v>
      </c>
      <c r="D1456">
        <v>144.419998168945</v>
      </c>
      <c r="E1456">
        <v>142.97000122070301</v>
      </c>
      <c r="F1456">
        <v>144.259994506835</v>
      </c>
      <c r="G1456" s="2">
        <v>33128400</v>
      </c>
      <c r="H1456" s="3">
        <f t="shared" si="22"/>
        <v>2.4408812118825729E-3</v>
      </c>
      <c r="J1456" s="3">
        <v>-2.1387570437447767E-4</v>
      </c>
      <c r="K1456" s="3">
        <v>0.45740333228544483</v>
      </c>
    </row>
    <row r="1457" spans="1:11" x14ac:dyDescent="0.2">
      <c r="A1457" s="1">
        <v>43773</v>
      </c>
      <c r="B1457">
        <v>135.919830322265</v>
      </c>
      <c r="C1457">
        <v>144.55000305175699</v>
      </c>
      <c r="D1457">
        <v>145</v>
      </c>
      <c r="E1457">
        <v>144.16000366210901</v>
      </c>
      <c r="F1457">
        <v>144.83000183105401</v>
      </c>
      <c r="G1457" s="2">
        <v>16912000</v>
      </c>
      <c r="H1457" s="3">
        <f t="shared" si="22"/>
        <v>5.7757650915613024E-3</v>
      </c>
      <c r="J1457" s="3">
        <v>-2.0742719195299131E-4</v>
      </c>
      <c r="K1457" s="3">
        <v>0.45771769883684377</v>
      </c>
    </row>
    <row r="1458" spans="1:11" x14ac:dyDescent="0.2">
      <c r="A1458" s="1">
        <v>43774</v>
      </c>
      <c r="B1458">
        <v>135.83514404296801</v>
      </c>
      <c r="C1458">
        <v>144.46000671386699</v>
      </c>
      <c r="D1458">
        <v>145.02000427246</v>
      </c>
      <c r="E1458">
        <v>143.91000366210901</v>
      </c>
      <c r="F1458">
        <v>144.97000122070301</v>
      </c>
      <c r="G1458" s="2">
        <v>18250200</v>
      </c>
      <c r="H1458" s="3">
        <f t="shared" si="22"/>
        <v>-6.2306051365867976E-4</v>
      </c>
      <c r="J1458" s="3">
        <v>-2.0683522783448982E-4</v>
      </c>
      <c r="K1458" s="3">
        <v>0.4580320653882427</v>
      </c>
    </row>
    <row r="1459" spans="1:11" x14ac:dyDescent="0.2">
      <c r="A1459" s="1">
        <v>43775</v>
      </c>
      <c r="B1459">
        <v>135.45904541015599</v>
      </c>
      <c r="C1459">
        <v>144.05999755859301</v>
      </c>
      <c r="D1459">
        <v>144.52000427246</v>
      </c>
      <c r="E1459">
        <v>143.19999694824199</v>
      </c>
      <c r="F1459">
        <v>144.36999511718699</v>
      </c>
      <c r="G1459" s="2">
        <v>16575800</v>
      </c>
      <c r="H1459" s="3">
        <f t="shared" si="22"/>
        <v>-2.768787381659088E-3</v>
      </c>
      <c r="J1459" s="3">
        <v>-2.0273677025217651E-4</v>
      </c>
      <c r="K1459" s="3">
        <v>0.45834643193964164</v>
      </c>
    </row>
    <row r="1460" spans="1:11" x14ac:dyDescent="0.2">
      <c r="A1460" s="1">
        <v>43776</v>
      </c>
      <c r="B1460">
        <v>135.64707946777301</v>
      </c>
      <c r="C1460">
        <v>144.259994506835</v>
      </c>
      <c r="D1460">
        <v>144.88000488281199</v>
      </c>
      <c r="E1460">
        <v>143.77000427246</v>
      </c>
      <c r="F1460">
        <v>143.83999633789</v>
      </c>
      <c r="G1460" s="2">
        <v>17786700</v>
      </c>
      <c r="H1460" s="3">
        <f t="shared" si="22"/>
        <v>1.388124780059341E-3</v>
      </c>
      <c r="J1460" s="3">
        <v>-1.9539874395713142E-4</v>
      </c>
      <c r="K1460" s="3">
        <v>0.45866079849104058</v>
      </c>
    </row>
    <row r="1461" spans="1:11" x14ac:dyDescent="0.2">
      <c r="A1461" s="1">
        <v>43777</v>
      </c>
      <c r="B1461">
        <v>137.24560546875</v>
      </c>
      <c r="C1461">
        <v>145.96000671386699</v>
      </c>
      <c r="D1461">
        <v>145.99000549316401</v>
      </c>
      <c r="E1461">
        <v>143.759994506835</v>
      </c>
      <c r="F1461">
        <v>143.97999572753901</v>
      </c>
      <c r="G1461" s="2">
        <v>16732700</v>
      </c>
      <c r="H1461" s="3">
        <f t="shared" si="22"/>
        <v>1.1784448343812315E-2</v>
      </c>
      <c r="J1461" s="3">
        <v>-1.9048360746865001E-4</v>
      </c>
      <c r="K1461" s="3">
        <v>0.45897516504243946</v>
      </c>
    </row>
    <row r="1462" spans="1:11" x14ac:dyDescent="0.2">
      <c r="A1462" s="1">
        <v>43780</v>
      </c>
      <c r="B1462">
        <v>137.38664245605401</v>
      </c>
      <c r="C1462">
        <v>146.11000061035099</v>
      </c>
      <c r="D1462">
        <v>146.419998168945</v>
      </c>
      <c r="E1462">
        <v>144.72999572753901</v>
      </c>
      <c r="F1462">
        <v>145.33999633789</v>
      </c>
      <c r="G1462" s="2">
        <v>14362600</v>
      </c>
      <c r="H1462" s="3">
        <f t="shared" si="22"/>
        <v>1.0276247958709295E-3</v>
      </c>
      <c r="J1462" s="3">
        <v>-1.9026468220106896E-4</v>
      </c>
      <c r="K1462" s="3">
        <v>0.4592895315938384</v>
      </c>
    </row>
    <row r="1463" spans="1:11" x14ac:dyDescent="0.2">
      <c r="A1463" s="1">
        <v>43781</v>
      </c>
      <c r="B1463">
        <v>138.28935241699199</v>
      </c>
      <c r="C1463">
        <v>147.07000732421801</v>
      </c>
      <c r="D1463">
        <v>147.57000732421801</v>
      </c>
      <c r="E1463">
        <v>146.05999755859301</v>
      </c>
      <c r="F1463">
        <v>146.27999877929599</v>
      </c>
      <c r="G1463" s="2">
        <v>18641600</v>
      </c>
      <c r="H1463" s="3">
        <f t="shared" si="22"/>
        <v>6.5705802602078478E-3</v>
      </c>
      <c r="J1463" s="3">
        <v>-1.8593875840211549E-4</v>
      </c>
      <c r="K1463" s="3">
        <v>0.45960389814523733</v>
      </c>
    </row>
    <row r="1464" spans="1:11" x14ac:dyDescent="0.2">
      <c r="A1464" s="1">
        <v>43782</v>
      </c>
      <c r="B1464">
        <v>138.51502990722599</v>
      </c>
      <c r="C1464">
        <v>147.30999755859301</v>
      </c>
      <c r="D1464">
        <v>147.46000671386699</v>
      </c>
      <c r="E1464">
        <v>146.27999877929599</v>
      </c>
      <c r="F1464">
        <v>146.74000549316401</v>
      </c>
      <c r="G1464" s="2">
        <v>16919200</v>
      </c>
      <c r="H1464" s="3">
        <f t="shared" si="22"/>
        <v>1.6319223880194578E-3</v>
      </c>
      <c r="J1464" s="3">
        <v>-1.8102313801371395E-4</v>
      </c>
      <c r="K1464" s="3">
        <v>0.45991826469663627</v>
      </c>
    </row>
    <row r="1465" spans="1:11" x14ac:dyDescent="0.2">
      <c r="A1465" s="1">
        <v>43783</v>
      </c>
      <c r="B1465">
        <v>139.22023010253901</v>
      </c>
      <c r="C1465">
        <v>148.05999755859301</v>
      </c>
      <c r="D1465">
        <v>148.41000366210901</v>
      </c>
      <c r="E1465">
        <v>147</v>
      </c>
      <c r="F1465">
        <v>147.02000427246</v>
      </c>
      <c r="G1465" s="2">
        <v>19729800</v>
      </c>
      <c r="H1465" s="3">
        <f t="shared" si="22"/>
        <v>5.091145674121611E-3</v>
      </c>
      <c r="J1465" s="3">
        <v>-1.7418164929017266E-4</v>
      </c>
      <c r="K1465" s="3">
        <v>0.46023263124803521</v>
      </c>
    </row>
    <row r="1466" spans="1:11" x14ac:dyDescent="0.2">
      <c r="A1466" s="1">
        <v>43784</v>
      </c>
      <c r="B1466">
        <v>141.01617431640599</v>
      </c>
      <c r="C1466">
        <v>149.97000122070301</v>
      </c>
      <c r="D1466">
        <v>149.99000549316401</v>
      </c>
      <c r="E1466">
        <v>148.27000427246</v>
      </c>
      <c r="F1466">
        <v>148.92999267578099</v>
      </c>
      <c r="G1466" s="2">
        <v>23485700</v>
      </c>
      <c r="H1466" s="3">
        <f t="shared" si="22"/>
        <v>1.2900023312303333E-2</v>
      </c>
      <c r="J1466" s="3">
        <v>-1.657954330844813E-4</v>
      </c>
      <c r="K1466" s="3">
        <v>0.46054699779943414</v>
      </c>
    </row>
    <row r="1467" spans="1:11" x14ac:dyDescent="0.2">
      <c r="A1467" s="1">
        <v>43787</v>
      </c>
      <c r="B1467">
        <v>141.36412048339801</v>
      </c>
      <c r="C1467">
        <v>150.33999633789</v>
      </c>
      <c r="D1467">
        <v>150.55000305175699</v>
      </c>
      <c r="E1467">
        <v>148.97999572753901</v>
      </c>
      <c r="F1467">
        <v>150.07000732421801</v>
      </c>
      <c r="G1467" s="2">
        <v>21534000</v>
      </c>
      <c r="H1467" s="3">
        <f t="shared" si="22"/>
        <v>2.4674202706089776E-3</v>
      </c>
      <c r="J1467" s="3">
        <v>-1.6395181337924836E-4</v>
      </c>
      <c r="K1467" s="3">
        <v>0.46086136435083308</v>
      </c>
    </row>
    <row r="1468" spans="1:11" x14ac:dyDescent="0.2">
      <c r="A1468" s="1">
        <v>43788</v>
      </c>
      <c r="B1468">
        <v>141.4111328125</v>
      </c>
      <c r="C1468">
        <v>150.38999938964801</v>
      </c>
      <c r="D1468">
        <v>151.33000183105401</v>
      </c>
      <c r="E1468">
        <v>150.19999694824199</v>
      </c>
      <c r="F1468">
        <v>150.88000488281199</v>
      </c>
      <c r="G1468" s="2">
        <v>23935700</v>
      </c>
      <c r="H1468" s="3">
        <f t="shared" si="22"/>
        <v>3.3256196085140743E-4</v>
      </c>
      <c r="J1468" s="3">
        <v>-1.5479016402097923E-4</v>
      </c>
      <c r="K1468" s="3">
        <v>0.46117573090223202</v>
      </c>
    </row>
    <row r="1469" spans="1:11" x14ac:dyDescent="0.2">
      <c r="A1469" s="1">
        <v>43789</v>
      </c>
      <c r="B1469">
        <v>141.16578674316401</v>
      </c>
      <c r="C1469">
        <v>149.61999511718699</v>
      </c>
      <c r="D1469">
        <v>150.83999633789</v>
      </c>
      <c r="E1469">
        <v>148.46000671386699</v>
      </c>
      <c r="F1469">
        <v>150.30999755859301</v>
      </c>
      <c r="G1469" s="2">
        <v>25696800</v>
      </c>
      <c r="H1469" s="3">
        <f t="shared" si="22"/>
        <v>-1.7349841165709146E-3</v>
      </c>
      <c r="J1469" s="3">
        <v>-1.4733595972982183E-4</v>
      </c>
      <c r="K1469" s="3">
        <v>0.46149009745363095</v>
      </c>
    </row>
    <row r="1470" spans="1:11" x14ac:dyDescent="0.2">
      <c r="A1470" s="1">
        <v>43790</v>
      </c>
      <c r="B1470">
        <v>141.03367614746</v>
      </c>
      <c r="C1470">
        <v>149.47999572753901</v>
      </c>
      <c r="D1470">
        <v>149.80000305175699</v>
      </c>
      <c r="E1470">
        <v>148.5</v>
      </c>
      <c r="F1470">
        <v>149.39999389648401</v>
      </c>
      <c r="G1470" s="2">
        <v>18576100</v>
      </c>
      <c r="H1470" s="3">
        <f t="shared" si="22"/>
        <v>-9.358542090964761E-4</v>
      </c>
      <c r="J1470" s="3">
        <v>-1.4217622650303241E-4</v>
      </c>
      <c r="K1470" s="3">
        <v>0.46180446400502989</v>
      </c>
    </row>
    <row r="1471" spans="1:11" x14ac:dyDescent="0.2">
      <c r="A1471" s="1">
        <v>43791</v>
      </c>
      <c r="B1471">
        <v>141.13746643066401</v>
      </c>
      <c r="C1471">
        <v>149.58999633789</v>
      </c>
      <c r="D1471">
        <v>150.30000305175699</v>
      </c>
      <c r="E1471">
        <v>148.82000732421801</v>
      </c>
      <c r="F1471">
        <v>150.07000732421801</v>
      </c>
      <c r="G1471" s="2">
        <v>15901800</v>
      </c>
      <c r="H1471" s="3">
        <f t="shared" si="22"/>
        <v>7.3592553239198999E-4</v>
      </c>
      <c r="J1471" s="3">
        <v>-1.3533440345692149E-4</v>
      </c>
      <c r="K1471" s="3">
        <v>0.46211883055642877</v>
      </c>
    </row>
    <row r="1472" spans="1:11" x14ac:dyDescent="0.2">
      <c r="A1472" s="1">
        <v>43794</v>
      </c>
      <c r="B1472">
        <v>142.68486022949199</v>
      </c>
      <c r="C1472">
        <v>151.22999572753901</v>
      </c>
      <c r="D1472">
        <v>151.350006103515</v>
      </c>
      <c r="E1472">
        <v>149.919998168945</v>
      </c>
      <c r="F1472">
        <v>150</v>
      </c>
      <c r="G1472" s="2">
        <v>22420900</v>
      </c>
      <c r="H1472" s="3">
        <f t="shared" si="22"/>
        <v>1.096373512973714E-2</v>
      </c>
      <c r="J1472" s="3">
        <v>-1.3079347855049495E-4</v>
      </c>
      <c r="K1472" s="3">
        <v>0.46243319710782771</v>
      </c>
    </row>
    <row r="1473" spans="1:11" x14ac:dyDescent="0.2">
      <c r="A1473" s="1">
        <v>43795</v>
      </c>
      <c r="B1473">
        <v>143.43965148925699</v>
      </c>
      <c r="C1473">
        <v>152.02999877929599</v>
      </c>
      <c r="D1473">
        <v>152.419998168945</v>
      </c>
      <c r="E1473">
        <v>151.32000732421801</v>
      </c>
      <c r="F1473">
        <v>151.36000061035099</v>
      </c>
      <c r="G1473" s="2">
        <v>24620100</v>
      </c>
      <c r="H1473" s="3">
        <f t="shared" si="22"/>
        <v>5.2899183455834553E-3</v>
      </c>
      <c r="J1473" s="3">
        <v>-7.9678733262311674E-5</v>
      </c>
      <c r="K1473" s="3">
        <v>0.46274756365922665</v>
      </c>
    </row>
    <row r="1474" spans="1:11" x14ac:dyDescent="0.2">
      <c r="A1474" s="1">
        <v>43796</v>
      </c>
      <c r="B1474">
        <v>143.713287353515</v>
      </c>
      <c r="C1474">
        <v>152.32000732421801</v>
      </c>
      <c r="D1474">
        <v>152.5</v>
      </c>
      <c r="E1474">
        <v>151.52000427246</v>
      </c>
      <c r="F1474">
        <v>152.33000183105401</v>
      </c>
      <c r="G1474" s="2">
        <v>15184400</v>
      </c>
      <c r="H1474" s="3">
        <f t="shared" ref="H1474:H1537" si="23">B1474/B1473-1</f>
        <v>1.9076724003230794E-3</v>
      </c>
      <c r="J1474" s="3">
        <v>-7.9554878085974501E-5</v>
      </c>
      <c r="K1474" s="3">
        <v>0.46306193021062558</v>
      </c>
    </row>
    <row r="1475" spans="1:11" x14ac:dyDescent="0.2">
      <c r="A1475" s="1">
        <v>43798</v>
      </c>
      <c r="B1475">
        <v>142.82635498046801</v>
      </c>
      <c r="C1475">
        <v>151.38000488281199</v>
      </c>
      <c r="D1475">
        <v>152.30000305175699</v>
      </c>
      <c r="E1475">
        <v>151.27999877929599</v>
      </c>
      <c r="F1475">
        <v>152.100006103515</v>
      </c>
      <c r="G1475" s="2">
        <v>11977300</v>
      </c>
      <c r="H1475" s="3">
        <f t="shared" si="23"/>
        <v>-6.1715404983065936E-3</v>
      </c>
      <c r="J1475" s="3">
        <v>-3.3366175080429272E-5</v>
      </c>
      <c r="K1475" s="3">
        <v>0.46337629676202452</v>
      </c>
    </row>
    <row r="1476" spans="1:11" x14ac:dyDescent="0.2">
      <c r="A1476" s="1">
        <v>43801</v>
      </c>
      <c r="B1476">
        <v>141.09979248046801</v>
      </c>
      <c r="C1476">
        <v>149.55000305175699</v>
      </c>
      <c r="D1476">
        <v>151.83000183105401</v>
      </c>
      <c r="E1476">
        <v>148.32000732421801</v>
      </c>
      <c r="F1476">
        <v>151.80999755859301</v>
      </c>
      <c r="G1476" s="2">
        <v>27418400</v>
      </c>
      <c r="H1476" s="3">
        <f t="shared" si="23"/>
        <v>-1.2088542763946553E-2</v>
      </c>
      <c r="J1476" s="3">
        <v>-2.6475161886363452E-5</v>
      </c>
      <c r="K1476" s="3">
        <v>0.46369066331342346</v>
      </c>
    </row>
    <row r="1477" spans="1:11" x14ac:dyDescent="0.2">
      <c r="A1477" s="1">
        <v>43802</v>
      </c>
      <c r="B1477">
        <v>140.87333679199199</v>
      </c>
      <c r="C1477">
        <v>149.30999755859301</v>
      </c>
      <c r="D1477">
        <v>149.42999267578099</v>
      </c>
      <c r="E1477">
        <v>146.64999389648401</v>
      </c>
      <c r="F1477">
        <v>147.49000549316401</v>
      </c>
      <c r="G1477" s="2">
        <v>24066000</v>
      </c>
      <c r="H1477" s="3">
        <f t="shared" si="23"/>
        <v>-1.6049328244573946E-3</v>
      </c>
      <c r="J1477" s="3">
        <v>0</v>
      </c>
      <c r="K1477" s="3">
        <v>0.46400502986482239</v>
      </c>
    </row>
    <row r="1478" spans="1:11" x14ac:dyDescent="0.2">
      <c r="A1478" s="1">
        <v>43803</v>
      </c>
      <c r="B1478">
        <v>141.3828125</v>
      </c>
      <c r="C1478">
        <v>149.850006103515</v>
      </c>
      <c r="D1478">
        <v>150.17999267578099</v>
      </c>
      <c r="E1478">
        <v>149.19999694824199</v>
      </c>
      <c r="F1478">
        <v>150.13999938964801</v>
      </c>
      <c r="G1478" s="2">
        <v>17574700</v>
      </c>
      <c r="H1478" s="3">
        <f t="shared" si="23"/>
        <v>3.6165517166693029E-3</v>
      </c>
      <c r="J1478" s="3">
        <v>0</v>
      </c>
      <c r="K1478" s="3">
        <v>0.46431939641622133</v>
      </c>
    </row>
    <row r="1479" spans="1:11" x14ac:dyDescent="0.2">
      <c r="A1479" s="1">
        <v>43804</v>
      </c>
      <c r="B1479">
        <v>141.45829772949199</v>
      </c>
      <c r="C1479">
        <v>149.92999267578099</v>
      </c>
      <c r="D1479">
        <v>150.32000732421801</v>
      </c>
      <c r="E1479">
        <v>149.47999572753901</v>
      </c>
      <c r="F1479">
        <v>150.05000305175699</v>
      </c>
      <c r="G1479" s="2">
        <v>17869100</v>
      </c>
      <c r="H1479" s="3">
        <f t="shared" si="23"/>
        <v>5.3390669033404059E-4</v>
      </c>
      <c r="J1479" s="3">
        <v>0</v>
      </c>
      <c r="K1479" s="3">
        <v>0.46463376296762027</v>
      </c>
    </row>
    <row r="1480" spans="1:11" x14ac:dyDescent="0.2">
      <c r="A1480" s="1">
        <v>43805</v>
      </c>
      <c r="B1480">
        <v>143.17543029785099</v>
      </c>
      <c r="C1480">
        <v>151.75</v>
      </c>
      <c r="D1480">
        <v>151.86999511718699</v>
      </c>
      <c r="E1480">
        <v>150.27000427246</v>
      </c>
      <c r="F1480">
        <v>150.99000549316401</v>
      </c>
      <c r="G1480" s="2">
        <v>16403500</v>
      </c>
      <c r="H1480" s="3">
        <f t="shared" si="23"/>
        <v>1.2138789989136312E-2</v>
      </c>
      <c r="J1480" s="3">
        <v>0</v>
      </c>
      <c r="K1480" s="3">
        <v>0.46494812951901915</v>
      </c>
    </row>
    <row r="1481" spans="1:11" x14ac:dyDescent="0.2">
      <c r="A1481" s="1">
        <v>43808</v>
      </c>
      <c r="B1481">
        <v>142.80751037597599</v>
      </c>
      <c r="C1481">
        <v>151.36000061035099</v>
      </c>
      <c r="D1481">
        <v>152.21000671386699</v>
      </c>
      <c r="E1481">
        <v>150.91000366210901</v>
      </c>
      <c r="F1481">
        <v>151.07000732421801</v>
      </c>
      <c r="G1481" s="2">
        <v>16687400</v>
      </c>
      <c r="H1481" s="3">
        <f t="shared" si="23"/>
        <v>-2.5697140990573741E-3</v>
      </c>
      <c r="J1481" s="3">
        <v>0</v>
      </c>
      <c r="K1481" s="3">
        <v>0.46526249607041809</v>
      </c>
    </row>
    <row r="1482" spans="1:11" x14ac:dyDescent="0.2">
      <c r="A1482" s="1">
        <v>43809</v>
      </c>
      <c r="B1482">
        <v>142.59046936035099</v>
      </c>
      <c r="C1482">
        <v>151.13000488281199</v>
      </c>
      <c r="D1482">
        <v>151.88999938964801</v>
      </c>
      <c r="E1482">
        <v>150.759994506835</v>
      </c>
      <c r="F1482">
        <v>151.28999328613199</v>
      </c>
      <c r="G1482" s="2">
        <v>16476100</v>
      </c>
      <c r="H1482" s="3">
        <f t="shared" si="23"/>
        <v>-1.5198151347474154E-3</v>
      </c>
      <c r="J1482" s="3">
        <v>0</v>
      </c>
      <c r="K1482" s="3">
        <v>0.46557686262181702</v>
      </c>
    </row>
    <row r="1483" spans="1:11" x14ac:dyDescent="0.2">
      <c r="A1483" s="1">
        <v>43810</v>
      </c>
      <c r="B1483">
        <v>143.12828063964801</v>
      </c>
      <c r="C1483">
        <v>151.69999694824199</v>
      </c>
      <c r="D1483">
        <v>151.86999511718699</v>
      </c>
      <c r="E1483">
        <v>150.33000183105401</v>
      </c>
      <c r="F1483">
        <v>151.53999328613199</v>
      </c>
      <c r="G1483" s="2">
        <v>18856600</v>
      </c>
      <c r="H1483" s="3">
        <f t="shared" si="23"/>
        <v>3.7717196788087382E-3</v>
      </c>
      <c r="J1483" s="3">
        <v>0</v>
      </c>
      <c r="K1483" s="3">
        <v>0.46589122917321596</v>
      </c>
    </row>
    <row r="1484" spans="1:11" x14ac:dyDescent="0.2">
      <c r="A1484" s="1">
        <v>43811</v>
      </c>
      <c r="B1484">
        <v>144.581283569335</v>
      </c>
      <c r="C1484">
        <v>153.24000549316401</v>
      </c>
      <c r="D1484">
        <v>153.44000244140599</v>
      </c>
      <c r="E1484">
        <v>151.02000427246</v>
      </c>
      <c r="F1484">
        <v>151.64999389648401</v>
      </c>
      <c r="G1484" s="2">
        <v>24612100</v>
      </c>
      <c r="H1484" s="3">
        <f t="shared" si="23"/>
        <v>1.0151752841530914E-2</v>
      </c>
      <c r="J1484" s="3">
        <v>0</v>
      </c>
      <c r="K1484" s="3">
        <v>0.4662055957246149</v>
      </c>
    </row>
    <row r="1485" spans="1:11" x14ac:dyDescent="0.2">
      <c r="A1485" s="1">
        <v>43812</v>
      </c>
      <c r="B1485">
        <v>145.79835510253901</v>
      </c>
      <c r="C1485">
        <v>154.52999877929599</v>
      </c>
      <c r="D1485">
        <v>154.88999938964801</v>
      </c>
      <c r="E1485">
        <v>152.83000183105401</v>
      </c>
      <c r="F1485">
        <v>153</v>
      </c>
      <c r="G1485" s="2">
        <v>23845400</v>
      </c>
      <c r="H1485" s="3">
        <f t="shared" si="23"/>
        <v>8.4179051614268197E-3</v>
      </c>
      <c r="J1485" s="3">
        <v>0</v>
      </c>
      <c r="K1485" s="3">
        <v>0.46651996227601383</v>
      </c>
    </row>
    <row r="1486" spans="1:11" x14ac:dyDescent="0.2">
      <c r="A1486" s="1">
        <v>43815</v>
      </c>
      <c r="B1486">
        <v>146.74186706542901</v>
      </c>
      <c r="C1486">
        <v>155.52999877929599</v>
      </c>
      <c r="D1486">
        <v>155.89999389648401</v>
      </c>
      <c r="E1486">
        <v>154.82000732421801</v>
      </c>
      <c r="F1486">
        <v>155.11000061035099</v>
      </c>
      <c r="G1486" s="2">
        <v>24144200</v>
      </c>
      <c r="H1486" s="3">
        <f t="shared" si="23"/>
        <v>6.4713484745861916E-3</v>
      </c>
      <c r="J1486" s="3">
        <v>0</v>
      </c>
      <c r="K1486" s="3">
        <v>0.46683432882741277</v>
      </c>
    </row>
    <row r="1487" spans="1:11" x14ac:dyDescent="0.2">
      <c r="A1487" s="1">
        <v>43816</v>
      </c>
      <c r="B1487">
        <v>145.94934082031199</v>
      </c>
      <c r="C1487">
        <v>154.69000244140599</v>
      </c>
      <c r="D1487">
        <v>155.71000671386699</v>
      </c>
      <c r="E1487">
        <v>154.44999694824199</v>
      </c>
      <c r="F1487">
        <v>155.44999694824199</v>
      </c>
      <c r="G1487" s="2">
        <v>25425600</v>
      </c>
      <c r="H1487" s="3">
        <f t="shared" si="23"/>
        <v>-5.4008188730735318E-3</v>
      </c>
      <c r="J1487" s="3">
        <v>0</v>
      </c>
      <c r="K1487" s="3">
        <v>0.46714869537881171</v>
      </c>
    </row>
    <row r="1488" spans="1:11" x14ac:dyDescent="0.2">
      <c r="A1488" s="1">
        <v>43817</v>
      </c>
      <c r="B1488">
        <v>145.64741516113199</v>
      </c>
      <c r="C1488">
        <v>154.36999511718699</v>
      </c>
      <c r="D1488">
        <v>155.47999572753901</v>
      </c>
      <c r="E1488">
        <v>154.17999267578099</v>
      </c>
      <c r="F1488">
        <v>154.30000305175699</v>
      </c>
      <c r="G1488" s="2">
        <v>24129200</v>
      </c>
      <c r="H1488" s="3">
        <f t="shared" si="23"/>
        <v>-2.0687017665377283E-3</v>
      </c>
      <c r="J1488" s="3">
        <v>0</v>
      </c>
      <c r="K1488" s="3">
        <v>0.46746306193021064</v>
      </c>
    </row>
    <row r="1489" spans="1:11" x14ac:dyDescent="0.2">
      <c r="A1489" s="1">
        <v>43818</v>
      </c>
      <c r="B1489">
        <v>146.91171264648401</v>
      </c>
      <c r="C1489">
        <v>155.71000671386699</v>
      </c>
      <c r="D1489">
        <v>155.77000427246</v>
      </c>
      <c r="E1489">
        <v>153.75</v>
      </c>
      <c r="F1489">
        <v>154</v>
      </c>
      <c r="G1489" s="2">
        <v>24958900</v>
      </c>
      <c r="H1489" s="3">
        <f t="shared" si="23"/>
        <v>8.680535002652201E-3</v>
      </c>
      <c r="J1489" s="3">
        <v>0</v>
      </c>
      <c r="K1489" s="3">
        <v>0.46777742848160958</v>
      </c>
    </row>
    <row r="1490" spans="1:11" x14ac:dyDescent="0.2">
      <c r="A1490" s="1">
        <v>43819</v>
      </c>
      <c r="B1490">
        <v>148.51564025878901</v>
      </c>
      <c r="C1490">
        <v>157.41000366210901</v>
      </c>
      <c r="D1490">
        <v>158.49000549316401</v>
      </c>
      <c r="E1490">
        <v>156.28999328613199</v>
      </c>
      <c r="F1490">
        <v>157.350006103515</v>
      </c>
      <c r="G1490" s="2">
        <v>53477500</v>
      </c>
      <c r="H1490" s="3">
        <f t="shared" si="23"/>
        <v>1.0917629257815253E-2</v>
      </c>
      <c r="J1490" s="3">
        <v>0</v>
      </c>
      <c r="K1490" s="3">
        <v>0.46809179503300846</v>
      </c>
    </row>
    <row r="1491" spans="1:11" x14ac:dyDescent="0.2">
      <c r="A1491" s="1">
        <v>43822</v>
      </c>
      <c r="B1491">
        <v>148.51564025878901</v>
      </c>
      <c r="C1491">
        <v>157.41000366210901</v>
      </c>
      <c r="D1491">
        <v>158.11999511718699</v>
      </c>
      <c r="E1491">
        <v>157.27000427246</v>
      </c>
      <c r="F1491">
        <v>158.11999511718699</v>
      </c>
      <c r="G1491" s="2">
        <v>17718200</v>
      </c>
      <c r="H1491" s="3">
        <f t="shared" si="23"/>
        <v>0</v>
      </c>
      <c r="J1491" s="3">
        <v>0</v>
      </c>
      <c r="K1491" s="3">
        <v>0.4684061615844074</v>
      </c>
    </row>
    <row r="1492" spans="1:11" x14ac:dyDescent="0.2">
      <c r="A1492" s="1">
        <v>43823</v>
      </c>
      <c r="B1492">
        <v>148.48735046386699</v>
      </c>
      <c r="C1492">
        <v>157.38000488281199</v>
      </c>
      <c r="D1492">
        <v>157.71000671386699</v>
      </c>
      <c r="E1492">
        <v>157.11999511718699</v>
      </c>
      <c r="F1492">
        <v>157.47999572753901</v>
      </c>
      <c r="G1492" s="2">
        <v>8989200</v>
      </c>
      <c r="H1492" s="3">
        <f t="shared" si="23"/>
        <v>-1.9048360746865001E-4</v>
      </c>
      <c r="J1492" s="3">
        <v>0</v>
      </c>
      <c r="K1492" s="3">
        <v>0.46872052813580634</v>
      </c>
    </row>
    <row r="1493" spans="1:11" x14ac:dyDescent="0.2">
      <c r="A1493" s="1">
        <v>43825</v>
      </c>
      <c r="B1493">
        <v>149.70448303222599</v>
      </c>
      <c r="C1493">
        <v>158.669998168945</v>
      </c>
      <c r="D1493">
        <v>158.72999572753901</v>
      </c>
      <c r="E1493">
        <v>157.39999389648401</v>
      </c>
      <c r="F1493">
        <v>157.55999755859301</v>
      </c>
      <c r="G1493" s="2">
        <v>14520600</v>
      </c>
      <c r="H1493" s="3">
        <f t="shared" si="23"/>
        <v>8.1968771384008932E-3</v>
      </c>
      <c r="J1493" s="3">
        <v>0</v>
      </c>
      <c r="K1493" s="3">
        <v>0.46903489468720527</v>
      </c>
    </row>
    <row r="1494" spans="1:11" x14ac:dyDescent="0.2">
      <c r="A1494" s="1">
        <v>43826</v>
      </c>
      <c r="B1494">
        <v>149.97805786132801</v>
      </c>
      <c r="C1494">
        <v>158.96000671386699</v>
      </c>
      <c r="D1494">
        <v>159.55000305175699</v>
      </c>
      <c r="E1494">
        <v>158.22000122070301</v>
      </c>
      <c r="F1494">
        <v>159.44999694824199</v>
      </c>
      <c r="G1494" s="2">
        <v>18412800</v>
      </c>
      <c r="H1494" s="3">
        <f t="shared" si="23"/>
        <v>1.8274324426419408E-3</v>
      </c>
      <c r="J1494" s="3">
        <v>1.9637792101789842E-5</v>
      </c>
      <c r="K1494" s="3">
        <v>0.46934926123860421</v>
      </c>
    </row>
    <row r="1495" spans="1:11" x14ac:dyDescent="0.2">
      <c r="A1495" s="1">
        <v>43829</v>
      </c>
      <c r="B1495">
        <v>148.68547058105401</v>
      </c>
      <c r="C1495">
        <v>157.58999633789</v>
      </c>
      <c r="D1495">
        <v>159.02000427246</v>
      </c>
      <c r="E1495">
        <v>156.72999572753901</v>
      </c>
      <c r="F1495">
        <v>158.99000549316401</v>
      </c>
      <c r="G1495" s="2">
        <v>16348400</v>
      </c>
      <c r="H1495" s="3">
        <f t="shared" si="23"/>
        <v>-8.6185092586620327E-3</v>
      </c>
      <c r="J1495" s="3">
        <v>3.5915303223443829E-5</v>
      </c>
      <c r="K1495" s="3">
        <v>0.46966362779000315</v>
      </c>
    </row>
    <row r="1496" spans="1:11" x14ac:dyDescent="0.2">
      <c r="A1496" s="1">
        <v>43830</v>
      </c>
      <c r="B1496">
        <v>148.78927612304599</v>
      </c>
      <c r="C1496">
        <v>157.69999694824199</v>
      </c>
      <c r="D1496">
        <v>157.77000427246</v>
      </c>
      <c r="E1496">
        <v>156.44999694824199</v>
      </c>
      <c r="F1496">
        <v>156.77000427246</v>
      </c>
      <c r="G1496" s="2">
        <v>18369400</v>
      </c>
      <c r="H1496" s="3">
        <f t="shared" si="23"/>
        <v>6.9815525072036699E-4</v>
      </c>
      <c r="J1496" s="3">
        <v>3.8539157852124362E-5</v>
      </c>
      <c r="K1496" s="3">
        <v>0.46997799434140208</v>
      </c>
    </row>
    <row r="1497" spans="1:11" x14ac:dyDescent="0.2">
      <c r="A1497" s="1">
        <v>43832</v>
      </c>
      <c r="B1497">
        <v>151.54429626464801</v>
      </c>
      <c r="C1497">
        <v>160.61999511718699</v>
      </c>
      <c r="D1497">
        <v>160.72999572753901</v>
      </c>
      <c r="E1497">
        <v>158.33000183105401</v>
      </c>
      <c r="F1497">
        <v>158.77999877929599</v>
      </c>
      <c r="G1497" s="2">
        <v>22622100</v>
      </c>
      <c r="H1497" s="3">
        <f t="shared" si="23"/>
        <v>1.8516254755643002E-2</v>
      </c>
      <c r="J1497" s="3">
        <v>4.6918231698001023E-5</v>
      </c>
      <c r="K1497" s="3">
        <v>0.47029236089280102</v>
      </c>
    </row>
    <row r="1498" spans="1:11" x14ac:dyDescent="0.2">
      <c r="A1498" s="1">
        <v>43833</v>
      </c>
      <c r="B1498">
        <v>149.65727233886699</v>
      </c>
      <c r="C1498">
        <v>158.61999511718699</v>
      </c>
      <c r="D1498">
        <v>159.94999694824199</v>
      </c>
      <c r="E1498">
        <v>158.05999755859301</v>
      </c>
      <c r="F1498">
        <v>158.32000732421801</v>
      </c>
      <c r="G1498" s="2">
        <v>21116200</v>
      </c>
      <c r="H1498" s="3">
        <f t="shared" si="23"/>
        <v>-1.245196270855109E-2</v>
      </c>
      <c r="J1498" s="3">
        <v>6.0556567600622557E-5</v>
      </c>
      <c r="K1498" s="3">
        <v>0.47060672744419996</v>
      </c>
    </row>
    <row r="1499" spans="1:11" x14ac:dyDescent="0.2">
      <c r="A1499" s="1">
        <v>43836</v>
      </c>
      <c r="B1499">
        <v>150.04411315917901</v>
      </c>
      <c r="C1499">
        <v>159.02999877929599</v>
      </c>
      <c r="D1499">
        <v>159.100006103515</v>
      </c>
      <c r="E1499">
        <v>156.509994506835</v>
      </c>
      <c r="F1499">
        <v>157.08000183105401</v>
      </c>
      <c r="G1499" s="2">
        <v>20813700</v>
      </c>
      <c r="H1499" s="3">
        <f t="shared" si="23"/>
        <v>2.5848447874694536E-3</v>
      </c>
      <c r="J1499" s="3">
        <v>9.2347446436269465E-5</v>
      </c>
      <c r="K1499" s="3">
        <v>0.47092109399559889</v>
      </c>
    </row>
    <row r="1500" spans="1:11" x14ac:dyDescent="0.2">
      <c r="A1500" s="1">
        <v>43837</v>
      </c>
      <c r="B1500">
        <v>148.676025390625</v>
      </c>
      <c r="C1500">
        <v>157.58000183105401</v>
      </c>
      <c r="D1500">
        <v>159.669998168945</v>
      </c>
      <c r="E1500">
        <v>157.32000732421801</v>
      </c>
      <c r="F1500">
        <v>159.32000732421801</v>
      </c>
      <c r="G1500" s="2">
        <v>21634100</v>
      </c>
      <c r="H1500" s="3">
        <f t="shared" si="23"/>
        <v>-9.1179036601231056E-3</v>
      </c>
      <c r="J1500" s="3">
        <v>9.9680439976435053E-5</v>
      </c>
      <c r="K1500" s="3">
        <v>0.47123546054699778</v>
      </c>
    </row>
    <row r="1501" spans="1:11" x14ac:dyDescent="0.2">
      <c r="A1501" s="1">
        <v>43838</v>
      </c>
      <c r="B1501">
        <v>151.04415893554599</v>
      </c>
      <c r="C1501">
        <v>160.08999633789</v>
      </c>
      <c r="D1501">
        <v>160.80000305175699</v>
      </c>
      <c r="E1501">
        <v>157.94999694824199</v>
      </c>
      <c r="F1501">
        <v>158.92999267578099</v>
      </c>
      <c r="G1501" s="2">
        <v>27746500</v>
      </c>
      <c r="H1501" s="3">
        <f t="shared" si="23"/>
        <v>1.5928146711610358E-2</v>
      </c>
      <c r="J1501" s="3">
        <v>1.1677939758225619E-4</v>
      </c>
      <c r="K1501" s="3">
        <v>0.47154982709839671</v>
      </c>
    </row>
    <row r="1502" spans="1:11" x14ac:dyDescent="0.2">
      <c r="A1502" s="1">
        <v>43839</v>
      </c>
      <c r="B1502">
        <v>152.93121337890599</v>
      </c>
      <c r="C1502">
        <v>162.08999633789</v>
      </c>
      <c r="D1502">
        <v>162.22000122070301</v>
      </c>
      <c r="E1502">
        <v>161.02999877929599</v>
      </c>
      <c r="F1502">
        <v>161.83999633789</v>
      </c>
      <c r="G1502" s="2">
        <v>21385000</v>
      </c>
      <c r="H1502" s="3">
        <f t="shared" si="23"/>
        <v>1.2493395684140651E-2</v>
      </c>
      <c r="J1502" s="3">
        <v>1.1687092880063865E-4</v>
      </c>
      <c r="K1502" s="3">
        <v>0.47186419364979565</v>
      </c>
    </row>
    <row r="1503" spans="1:11" x14ac:dyDescent="0.2">
      <c r="A1503" s="1">
        <v>43840</v>
      </c>
      <c r="B1503">
        <v>152.22360229492099</v>
      </c>
      <c r="C1503">
        <v>161.33999633789</v>
      </c>
      <c r="D1503">
        <v>163.22000122070301</v>
      </c>
      <c r="E1503">
        <v>161.17999267578099</v>
      </c>
      <c r="F1503">
        <v>162.82000732421801</v>
      </c>
      <c r="G1503" s="2">
        <v>20725900</v>
      </c>
      <c r="H1503" s="3">
        <f t="shared" si="23"/>
        <v>-4.6269892741372942E-3</v>
      </c>
      <c r="J1503" s="3">
        <v>1.3650671147025228E-4</v>
      </c>
      <c r="K1503" s="3">
        <v>0.47217856020119459</v>
      </c>
    </row>
    <row r="1504" spans="1:11" x14ac:dyDescent="0.2">
      <c r="A1504" s="1">
        <v>43843</v>
      </c>
      <c r="B1504">
        <v>154.05392456054599</v>
      </c>
      <c r="C1504">
        <v>163.27999877929599</v>
      </c>
      <c r="D1504">
        <v>163.30999755859301</v>
      </c>
      <c r="E1504">
        <v>161.259994506835</v>
      </c>
      <c r="F1504">
        <v>161.759994506835</v>
      </c>
      <c r="G1504" s="2">
        <v>21626500</v>
      </c>
      <c r="H1504" s="3">
        <f t="shared" si="23"/>
        <v>1.2023905872881047E-2</v>
      </c>
      <c r="J1504" s="3">
        <v>1.3744974385598852E-4</v>
      </c>
      <c r="K1504" s="3">
        <v>0.47249292675259352</v>
      </c>
    </row>
    <row r="1505" spans="1:11" x14ac:dyDescent="0.2">
      <c r="A1505" s="1">
        <v>43844</v>
      </c>
      <c r="B1505">
        <v>152.968978881835</v>
      </c>
      <c r="C1505">
        <v>162.13000488281199</v>
      </c>
      <c r="D1505">
        <v>163.600006103515</v>
      </c>
      <c r="E1505">
        <v>161.72000122070301</v>
      </c>
      <c r="F1505">
        <v>163.38999938964801</v>
      </c>
      <c r="G1505" s="2">
        <v>23477400</v>
      </c>
      <c r="H1505" s="3">
        <f t="shared" si="23"/>
        <v>-7.04263576410602E-3</v>
      </c>
      <c r="J1505" s="3">
        <v>1.419819205668027E-4</v>
      </c>
      <c r="K1505" s="3">
        <v>0.47280729330399246</v>
      </c>
    </row>
    <row r="1506" spans="1:11" x14ac:dyDescent="0.2">
      <c r="A1506" s="1">
        <v>43845</v>
      </c>
      <c r="B1506">
        <v>153.95962524414</v>
      </c>
      <c r="C1506">
        <v>163.17999267578099</v>
      </c>
      <c r="D1506">
        <v>163.94000244140599</v>
      </c>
      <c r="E1506">
        <v>162.57000732421801</v>
      </c>
      <c r="F1506">
        <v>162.61999511718699</v>
      </c>
      <c r="G1506" s="2">
        <v>21417900</v>
      </c>
      <c r="H1506" s="3">
        <f t="shared" si="23"/>
        <v>6.4761258756276252E-3</v>
      </c>
      <c r="J1506" s="3">
        <v>1.44911214969623E-4</v>
      </c>
      <c r="K1506" s="3">
        <v>0.4731216598553914</v>
      </c>
    </row>
    <row r="1507" spans="1:11" x14ac:dyDescent="0.2">
      <c r="A1507" s="1">
        <v>43846</v>
      </c>
      <c r="B1507">
        <v>156.780670166015</v>
      </c>
      <c r="C1507">
        <v>166.169998168945</v>
      </c>
      <c r="D1507">
        <v>166.24000549316401</v>
      </c>
      <c r="E1507">
        <v>164.02999877929599</v>
      </c>
      <c r="F1507">
        <v>164.350006103515</v>
      </c>
      <c r="G1507" s="2">
        <v>23865400</v>
      </c>
      <c r="H1507" s="3">
        <f t="shared" si="23"/>
        <v>1.832327740082218E-2</v>
      </c>
      <c r="J1507" s="3">
        <v>1.4575639066571888E-4</v>
      </c>
      <c r="K1507" s="3">
        <v>0.47343602640679033</v>
      </c>
    </row>
    <row r="1508" spans="1:11" x14ac:dyDescent="0.2">
      <c r="A1508" s="1">
        <v>43847</v>
      </c>
      <c r="B1508">
        <v>157.658111572265</v>
      </c>
      <c r="C1508">
        <v>167.100006103515</v>
      </c>
      <c r="D1508">
        <v>167.47000122070301</v>
      </c>
      <c r="E1508">
        <v>165.42999267578099</v>
      </c>
      <c r="F1508">
        <v>167.419998168945</v>
      </c>
      <c r="G1508" s="2">
        <v>34371700</v>
      </c>
      <c r="H1508" s="3">
        <f t="shared" si="23"/>
        <v>5.5966172699790651E-3</v>
      </c>
      <c r="J1508" s="3">
        <v>1.4935630842760617E-4</v>
      </c>
      <c r="K1508" s="3">
        <v>0.47375039295818927</v>
      </c>
    </row>
    <row r="1509" spans="1:11" x14ac:dyDescent="0.2">
      <c r="A1509" s="1">
        <v>43851</v>
      </c>
      <c r="B1509">
        <v>157.092025756835</v>
      </c>
      <c r="C1509">
        <v>166.5</v>
      </c>
      <c r="D1509">
        <v>168.19000244140599</v>
      </c>
      <c r="E1509">
        <v>166.42999267578099</v>
      </c>
      <c r="F1509">
        <v>166.67999267578099</v>
      </c>
      <c r="G1509" s="2">
        <v>29517200</v>
      </c>
      <c r="H1509" s="3">
        <f t="shared" si="23"/>
        <v>-3.5905911201437046E-3</v>
      </c>
      <c r="J1509" s="3">
        <v>1.5721475360686021E-4</v>
      </c>
      <c r="K1509" s="3">
        <v>0.47406475950958821</v>
      </c>
    </row>
    <row r="1510" spans="1:11" x14ac:dyDescent="0.2">
      <c r="A1510" s="1">
        <v>43852</v>
      </c>
      <c r="B1510">
        <v>156.33721923828099</v>
      </c>
      <c r="C1510">
        <v>165.69999694824199</v>
      </c>
      <c r="D1510">
        <v>167.49000549316401</v>
      </c>
      <c r="E1510">
        <v>165.67999267578099</v>
      </c>
      <c r="F1510">
        <v>167.39999389648401</v>
      </c>
      <c r="G1510" s="2">
        <v>24138800</v>
      </c>
      <c r="H1510" s="3">
        <f t="shared" si="23"/>
        <v>-4.8048684515812345E-3</v>
      </c>
      <c r="J1510" s="3">
        <v>1.5845760037502821E-4</v>
      </c>
      <c r="K1510" s="3">
        <v>0.47437912606098709</v>
      </c>
    </row>
    <row r="1511" spans="1:11" x14ac:dyDescent="0.2">
      <c r="A1511" s="1">
        <v>43853</v>
      </c>
      <c r="B1511">
        <v>157.299560546875</v>
      </c>
      <c r="C1511">
        <v>166.72000122070301</v>
      </c>
      <c r="D1511">
        <v>166.80000305175699</v>
      </c>
      <c r="E1511">
        <v>165.27000427246</v>
      </c>
      <c r="F1511">
        <v>166.19000244140599</v>
      </c>
      <c r="G1511" s="2">
        <v>19680800</v>
      </c>
      <c r="H1511" s="3">
        <f t="shared" si="23"/>
        <v>6.155548328688587E-3</v>
      </c>
      <c r="J1511" s="3">
        <v>1.6878248634188964E-4</v>
      </c>
      <c r="K1511" s="3">
        <v>0.47469349261238603</v>
      </c>
    </row>
    <row r="1512" spans="1:11" x14ac:dyDescent="0.2">
      <c r="A1512" s="1">
        <v>43854</v>
      </c>
      <c r="B1512">
        <v>155.71450805664</v>
      </c>
      <c r="C1512">
        <v>165.03999328613199</v>
      </c>
      <c r="D1512">
        <v>167.52999877929599</v>
      </c>
      <c r="E1512">
        <v>164.44999694824199</v>
      </c>
      <c r="F1512">
        <v>167.509994506835</v>
      </c>
      <c r="G1512" s="2">
        <v>24918100</v>
      </c>
      <c r="H1512" s="3">
        <f t="shared" si="23"/>
        <v>-1.0076649195486231E-2</v>
      </c>
      <c r="J1512" s="3">
        <v>1.7362956282318542E-4</v>
      </c>
      <c r="K1512" s="3">
        <v>0.47500785916378496</v>
      </c>
    </row>
    <row r="1513" spans="1:11" x14ac:dyDescent="0.2">
      <c r="A1513" s="1">
        <v>43857</v>
      </c>
      <c r="B1513">
        <v>153.11044311523401</v>
      </c>
      <c r="C1513">
        <v>162.27999877929599</v>
      </c>
      <c r="D1513">
        <v>163.38000488281199</v>
      </c>
      <c r="E1513">
        <v>160.19999694824199</v>
      </c>
      <c r="F1513">
        <v>161.14999389648401</v>
      </c>
      <c r="G1513" s="2">
        <v>32078100</v>
      </c>
      <c r="H1513" s="3">
        <f t="shared" si="23"/>
        <v>-1.6723328955698724E-2</v>
      </c>
      <c r="J1513" s="3">
        <v>1.8080479130189175E-4</v>
      </c>
      <c r="K1513" s="3">
        <v>0.4753222257151839</v>
      </c>
    </row>
    <row r="1514" spans="1:11" x14ac:dyDescent="0.2">
      <c r="A1514" s="1">
        <v>43858</v>
      </c>
      <c r="B1514">
        <v>156.11076354980401</v>
      </c>
      <c r="C1514">
        <v>165.46000671386699</v>
      </c>
      <c r="D1514">
        <v>165.759994506835</v>
      </c>
      <c r="E1514">
        <v>163.07000732421801</v>
      </c>
      <c r="F1514">
        <v>163.77999877929599</v>
      </c>
      <c r="G1514" s="2">
        <v>24899900</v>
      </c>
      <c r="H1514" s="3">
        <f t="shared" si="23"/>
        <v>1.9595792249859079E-2</v>
      </c>
      <c r="J1514" s="3">
        <v>1.9543693208823321E-4</v>
      </c>
      <c r="K1514" s="3">
        <v>0.47563659226658284</v>
      </c>
    </row>
    <row r="1515" spans="1:11" x14ac:dyDescent="0.2">
      <c r="A1515" s="1">
        <v>43859</v>
      </c>
      <c r="B1515">
        <v>158.54502868652301</v>
      </c>
      <c r="C1515">
        <v>168.03999328613199</v>
      </c>
      <c r="D1515">
        <v>168.75</v>
      </c>
      <c r="E1515">
        <v>165.69000244140599</v>
      </c>
      <c r="F1515">
        <v>167.83999633789</v>
      </c>
      <c r="G1515" s="2">
        <v>34754500</v>
      </c>
      <c r="H1515" s="3">
        <f t="shared" si="23"/>
        <v>1.5593192175646475E-2</v>
      </c>
      <c r="J1515" s="3">
        <v>2.1376847019038969E-4</v>
      </c>
      <c r="K1515" s="3">
        <v>0.47595095881798177</v>
      </c>
    </row>
    <row r="1516" spans="1:11" x14ac:dyDescent="0.2">
      <c r="A1516" s="1">
        <v>43860</v>
      </c>
      <c r="B1516">
        <v>163.01713562011699</v>
      </c>
      <c r="C1516">
        <v>172.77999877929599</v>
      </c>
      <c r="D1516">
        <v>174.05000305175699</v>
      </c>
      <c r="E1516">
        <v>170.78999328613199</v>
      </c>
      <c r="F1516">
        <v>174.05000305175699</v>
      </c>
      <c r="G1516" s="2">
        <v>51597500</v>
      </c>
      <c r="H1516" s="3">
        <f t="shared" si="23"/>
        <v>2.8207172250328094E-2</v>
      </c>
      <c r="J1516" s="3">
        <v>2.1864096243318087E-4</v>
      </c>
      <c r="K1516" s="3">
        <v>0.47626532536938071</v>
      </c>
    </row>
    <row r="1517" spans="1:11" x14ac:dyDescent="0.2">
      <c r="A1517" s="1">
        <v>43861</v>
      </c>
      <c r="B1517">
        <v>160.61125183105401</v>
      </c>
      <c r="C1517">
        <v>170.22999572753901</v>
      </c>
      <c r="D1517">
        <v>172.39999389648401</v>
      </c>
      <c r="E1517">
        <v>169.58000183105401</v>
      </c>
      <c r="F1517">
        <v>172.21000671386699</v>
      </c>
      <c r="G1517" s="2">
        <v>36142700</v>
      </c>
      <c r="H1517" s="3">
        <f t="shared" si="23"/>
        <v>-1.4758471739250045E-2</v>
      </c>
      <c r="J1517" s="3">
        <v>2.2311607813541023E-4</v>
      </c>
      <c r="K1517" s="3">
        <v>0.47657969192077965</v>
      </c>
    </row>
    <row r="1518" spans="1:11" x14ac:dyDescent="0.2">
      <c r="A1518" s="1">
        <v>43864</v>
      </c>
      <c r="B1518">
        <v>164.52677917480401</v>
      </c>
      <c r="C1518">
        <v>174.38000488281199</v>
      </c>
      <c r="D1518">
        <v>174.5</v>
      </c>
      <c r="E1518">
        <v>170.39999389648401</v>
      </c>
      <c r="F1518">
        <v>170.42999267578099</v>
      </c>
      <c r="G1518" s="2">
        <v>30107000</v>
      </c>
      <c r="H1518" s="3">
        <f t="shared" si="23"/>
        <v>2.4378910562684153E-2</v>
      </c>
      <c r="J1518" s="3">
        <v>2.3439300480099234E-4</v>
      </c>
      <c r="K1518" s="3">
        <v>0.47689405847217858</v>
      </c>
    </row>
    <row r="1519" spans="1:11" x14ac:dyDescent="0.2">
      <c r="A1519" s="1">
        <v>43865</v>
      </c>
      <c r="B1519">
        <v>169.94242858886699</v>
      </c>
      <c r="C1519">
        <v>180.11999511718699</v>
      </c>
      <c r="D1519">
        <v>180.63999938964801</v>
      </c>
      <c r="E1519">
        <v>176.30999755859301</v>
      </c>
      <c r="F1519">
        <v>177.13999938964801</v>
      </c>
      <c r="G1519" s="2">
        <v>36433300</v>
      </c>
      <c r="H1519" s="3">
        <f t="shared" si="23"/>
        <v>3.2916522411886806E-2</v>
      </c>
      <c r="J1519" s="3">
        <v>2.5389908081030477E-4</v>
      </c>
      <c r="K1519" s="3">
        <v>0.47720842502357746</v>
      </c>
    </row>
    <row r="1520" spans="1:11" x14ac:dyDescent="0.2">
      <c r="A1520" s="1">
        <v>43866</v>
      </c>
      <c r="B1520">
        <v>169.73486328125</v>
      </c>
      <c r="C1520">
        <v>179.89999389648401</v>
      </c>
      <c r="D1520">
        <v>184.19999694824199</v>
      </c>
      <c r="E1520">
        <v>178.41000366210901</v>
      </c>
      <c r="F1520">
        <v>184.02999877929599</v>
      </c>
      <c r="G1520" s="2">
        <v>39186300</v>
      </c>
      <c r="H1520" s="3">
        <f t="shared" si="23"/>
        <v>-1.2213860266711007E-3</v>
      </c>
      <c r="J1520" s="3">
        <v>2.576750787546267E-4</v>
      </c>
      <c r="K1520" s="3">
        <v>0.4775227915749764</v>
      </c>
    </row>
    <row r="1521" spans="1:11" x14ac:dyDescent="0.2">
      <c r="A1521" s="1">
        <v>43867</v>
      </c>
      <c r="B1521">
        <v>173.25407409667901</v>
      </c>
      <c r="C1521">
        <v>183.63000488281199</v>
      </c>
      <c r="D1521">
        <v>183.82000732421801</v>
      </c>
      <c r="E1521">
        <v>180.05999755859301</v>
      </c>
      <c r="F1521">
        <v>180.97000122070301</v>
      </c>
      <c r="G1521" s="2">
        <v>27751400</v>
      </c>
      <c r="H1521" s="3">
        <f t="shared" si="23"/>
        <v>2.073357675257137E-2</v>
      </c>
      <c r="J1521" s="3">
        <v>2.6008287541956499E-4</v>
      </c>
      <c r="K1521" s="3">
        <v>0.47783715812637534</v>
      </c>
    </row>
    <row r="1522" spans="1:11" x14ac:dyDescent="0.2">
      <c r="A1522" s="1">
        <v>43868</v>
      </c>
      <c r="B1522">
        <v>173.49937438964801</v>
      </c>
      <c r="C1522">
        <v>183.88999938964801</v>
      </c>
      <c r="D1522">
        <v>185.63000488281199</v>
      </c>
      <c r="E1522">
        <v>182.47999572753901</v>
      </c>
      <c r="F1522">
        <v>182.850006103515</v>
      </c>
      <c r="G1522" s="2">
        <v>33529100</v>
      </c>
      <c r="H1522" s="3">
        <f t="shared" si="23"/>
        <v>1.4158414123763841E-3</v>
      </c>
      <c r="J1522" s="3">
        <v>2.6597766722624705E-4</v>
      </c>
      <c r="K1522" s="3">
        <v>0.47815152467777428</v>
      </c>
    </row>
    <row r="1523" spans="1:11" x14ac:dyDescent="0.2">
      <c r="A1523" s="1">
        <v>43871</v>
      </c>
      <c r="B1523">
        <v>178.03761291503901</v>
      </c>
      <c r="C1523">
        <v>188.69999694824199</v>
      </c>
      <c r="D1523">
        <v>188.83999633789</v>
      </c>
      <c r="E1523">
        <v>183.25</v>
      </c>
      <c r="F1523">
        <v>183.58000183105401</v>
      </c>
      <c r="G1523" s="2">
        <v>35844300</v>
      </c>
      <c r="H1523" s="3">
        <f t="shared" si="23"/>
        <v>2.6157088700498266E-2</v>
      </c>
      <c r="J1523" s="3">
        <v>2.7061096730984779E-4</v>
      </c>
      <c r="K1523" s="3">
        <v>0.47846589122917321</v>
      </c>
    </row>
    <row r="1524" spans="1:11" x14ac:dyDescent="0.2">
      <c r="A1524" s="1">
        <v>43872</v>
      </c>
      <c r="B1524">
        <v>174.01834106445301</v>
      </c>
      <c r="C1524">
        <v>184.44000244140599</v>
      </c>
      <c r="D1524">
        <v>190.69999694824199</v>
      </c>
      <c r="E1524">
        <v>183.5</v>
      </c>
      <c r="F1524">
        <v>190.64999389648401</v>
      </c>
      <c r="G1524" s="2">
        <v>53159900</v>
      </c>
      <c r="H1524" s="3">
        <f t="shared" si="23"/>
        <v>-2.2575408559898036E-2</v>
      </c>
      <c r="J1524" s="3">
        <v>2.7393096435401887E-4</v>
      </c>
      <c r="K1524" s="3">
        <v>0.47878025778057215</v>
      </c>
    </row>
    <row r="1525" spans="1:11" x14ac:dyDescent="0.2">
      <c r="A1525" s="1">
        <v>43873</v>
      </c>
      <c r="B1525">
        <v>174.27311706542901</v>
      </c>
      <c r="C1525">
        <v>184.71000671386699</v>
      </c>
      <c r="D1525">
        <v>185.850006103515</v>
      </c>
      <c r="E1525">
        <v>181.850006103515</v>
      </c>
      <c r="F1525">
        <v>185.58000183105401</v>
      </c>
      <c r="G1525" s="2">
        <v>47062900</v>
      </c>
      <c r="H1525" s="3">
        <f t="shared" si="23"/>
        <v>1.4640755647798986E-3</v>
      </c>
      <c r="J1525" s="3">
        <v>2.7715378293335924E-4</v>
      </c>
      <c r="K1525" s="3">
        <v>0.47909462433197109</v>
      </c>
    </row>
    <row r="1526" spans="1:11" x14ac:dyDescent="0.2">
      <c r="A1526" s="1">
        <v>43874</v>
      </c>
      <c r="B1526">
        <v>173.32955932617099</v>
      </c>
      <c r="C1526">
        <v>183.71000671386699</v>
      </c>
      <c r="D1526">
        <v>186.22999572753901</v>
      </c>
      <c r="E1526">
        <v>182.86999511718699</v>
      </c>
      <c r="F1526">
        <v>183.08000183105401</v>
      </c>
      <c r="G1526" s="2">
        <v>35295800</v>
      </c>
      <c r="H1526" s="3">
        <f t="shared" si="23"/>
        <v>-5.4142472180821466E-3</v>
      </c>
      <c r="J1526" s="3">
        <v>2.9419161760046997E-4</v>
      </c>
      <c r="K1526" s="3">
        <v>0.47940899088337002</v>
      </c>
    </row>
    <row r="1527" spans="1:11" x14ac:dyDescent="0.2">
      <c r="A1527" s="1">
        <v>43875</v>
      </c>
      <c r="B1527">
        <v>174.87693786621</v>
      </c>
      <c r="C1527">
        <v>185.350006103515</v>
      </c>
      <c r="D1527">
        <v>185.41000366210901</v>
      </c>
      <c r="E1527">
        <v>182.64999389648401</v>
      </c>
      <c r="F1527">
        <v>183.25</v>
      </c>
      <c r="G1527" s="2">
        <v>23149500</v>
      </c>
      <c r="H1527" s="3">
        <f t="shared" si="23"/>
        <v>8.9273782617029784E-3</v>
      </c>
      <c r="J1527" s="3">
        <v>3.0620018132476723E-4</v>
      </c>
      <c r="K1527" s="3">
        <v>0.47972335743476896</v>
      </c>
    </row>
    <row r="1528" spans="1:11" x14ac:dyDescent="0.2">
      <c r="A1528" s="1">
        <v>43879</v>
      </c>
      <c r="B1528">
        <v>176.65069580078099</v>
      </c>
      <c r="C1528">
        <v>187.22999572753901</v>
      </c>
      <c r="D1528">
        <v>187.69999694824199</v>
      </c>
      <c r="E1528">
        <v>185.5</v>
      </c>
      <c r="F1528">
        <v>185.61000061035099</v>
      </c>
      <c r="G1528" s="2">
        <v>27792200</v>
      </c>
      <c r="H1528" s="3">
        <f t="shared" si="23"/>
        <v>1.0142892231610467E-2</v>
      </c>
      <c r="J1528" s="3">
        <v>3.0876621867181875E-4</v>
      </c>
      <c r="K1528" s="3">
        <v>0.4800377239861679</v>
      </c>
    </row>
    <row r="1529" spans="1:11" x14ac:dyDescent="0.2">
      <c r="A1529" s="1">
        <v>43880</v>
      </c>
      <c r="B1529">
        <v>177.18049621582</v>
      </c>
      <c r="C1529">
        <v>187.27999877929599</v>
      </c>
      <c r="D1529">
        <v>188.17999267578099</v>
      </c>
      <c r="E1529">
        <v>186.47000122070301</v>
      </c>
      <c r="F1529">
        <v>188.05999755859301</v>
      </c>
      <c r="G1529" s="2">
        <v>29997500</v>
      </c>
      <c r="H1529" s="3">
        <f t="shared" si="23"/>
        <v>2.9991413995702487E-3</v>
      </c>
      <c r="J1529" s="3">
        <v>3.1112751210882195E-4</v>
      </c>
      <c r="K1529" s="3">
        <v>0.48035209053756678</v>
      </c>
    </row>
    <row r="1530" spans="1:11" x14ac:dyDescent="0.2">
      <c r="A1530" s="1">
        <v>43881</v>
      </c>
      <c r="B1530">
        <v>174.47476196289</v>
      </c>
      <c r="C1530">
        <v>184.419998168945</v>
      </c>
      <c r="D1530">
        <v>187.25</v>
      </c>
      <c r="E1530">
        <v>181.100006103515</v>
      </c>
      <c r="F1530">
        <v>186.94999694824199</v>
      </c>
      <c r="G1530" s="2">
        <v>36862400</v>
      </c>
      <c r="H1530" s="3">
        <f t="shared" si="23"/>
        <v>-1.5271061492198368E-2</v>
      </c>
      <c r="J1530" s="3">
        <v>3.1458033372988581E-4</v>
      </c>
      <c r="K1530" s="3">
        <v>0.48066645708896572</v>
      </c>
    </row>
    <row r="1531" spans="1:11" x14ac:dyDescent="0.2">
      <c r="A1531" s="1">
        <v>43882</v>
      </c>
      <c r="B1531">
        <v>168.95910644531199</v>
      </c>
      <c r="C1531">
        <v>178.58999633789</v>
      </c>
      <c r="D1531">
        <v>183.5</v>
      </c>
      <c r="E1531">
        <v>177.25</v>
      </c>
      <c r="F1531">
        <v>183.169998168945</v>
      </c>
      <c r="G1531" s="2">
        <v>48572600</v>
      </c>
      <c r="H1531" s="3">
        <f t="shared" si="23"/>
        <v>-3.1612913269090215E-2</v>
      </c>
      <c r="J1531" s="3">
        <v>3.3256196085140743E-4</v>
      </c>
      <c r="K1531" s="3">
        <v>0.48098082364036465</v>
      </c>
    </row>
    <row r="1532" spans="1:11" x14ac:dyDescent="0.2">
      <c r="A1532" s="1">
        <v>43885</v>
      </c>
      <c r="B1532">
        <v>161.67434692382801</v>
      </c>
      <c r="C1532">
        <v>170.88999938964801</v>
      </c>
      <c r="D1532">
        <v>174.55000305175699</v>
      </c>
      <c r="E1532">
        <v>163.22999572753901</v>
      </c>
      <c r="F1532">
        <v>167.77000427246</v>
      </c>
      <c r="G1532" s="2">
        <v>68311100</v>
      </c>
      <c r="H1532" s="3">
        <f t="shared" si="23"/>
        <v>-4.3115518747383286E-2</v>
      </c>
      <c r="J1532" s="3">
        <v>3.3374979929079451E-4</v>
      </c>
      <c r="K1532" s="3">
        <v>0.48129519019176359</v>
      </c>
    </row>
    <row r="1533" spans="1:11" x14ac:dyDescent="0.2">
      <c r="A1533" s="1">
        <v>43886</v>
      </c>
      <c r="B1533">
        <v>159.00643920898401</v>
      </c>
      <c r="C1533">
        <v>168.07000732421801</v>
      </c>
      <c r="D1533">
        <v>174.83999633789</v>
      </c>
      <c r="E1533">
        <v>167.64999389648401</v>
      </c>
      <c r="F1533">
        <v>174.19999694824199</v>
      </c>
      <c r="G1533" s="2">
        <v>68073300</v>
      </c>
      <c r="H1533" s="3">
        <f t="shared" si="23"/>
        <v>-1.6501738003623867E-2</v>
      </c>
      <c r="J1533" s="3">
        <v>3.4688608025401635E-4</v>
      </c>
      <c r="K1533" s="3">
        <v>0.48160955674316253</v>
      </c>
    </row>
    <row r="1534" spans="1:11" x14ac:dyDescent="0.2">
      <c r="A1534" s="1">
        <v>43887</v>
      </c>
      <c r="B1534">
        <v>160.99319458007801</v>
      </c>
      <c r="C1534">
        <v>170.169998168945</v>
      </c>
      <c r="D1534">
        <v>173.259994506835</v>
      </c>
      <c r="E1534">
        <v>168.21000671386699</v>
      </c>
      <c r="F1534">
        <v>169.71000671386699</v>
      </c>
      <c r="G1534" s="2">
        <v>56206100</v>
      </c>
      <c r="H1534" s="3">
        <f t="shared" si="23"/>
        <v>1.2494810782365695E-2</v>
      </c>
      <c r="J1534" s="3">
        <v>3.5603760304825371E-4</v>
      </c>
      <c r="K1534" s="3">
        <v>0.48192392329456146</v>
      </c>
    </row>
    <row r="1535" spans="1:11" x14ac:dyDescent="0.2">
      <c r="A1535" s="1">
        <v>43888</v>
      </c>
      <c r="B1535">
        <v>149.64976501464801</v>
      </c>
      <c r="C1535">
        <v>158.17999267578099</v>
      </c>
      <c r="D1535">
        <v>167.02999877929599</v>
      </c>
      <c r="E1535">
        <v>157.97999572753901</v>
      </c>
      <c r="F1535">
        <v>163.32000732421801</v>
      </c>
      <c r="G1535" s="2">
        <v>93174900</v>
      </c>
      <c r="H1535" s="3">
        <f t="shared" si="23"/>
        <v>-7.0459062539986905E-2</v>
      </c>
      <c r="J1535" s="3">
        <v>3.6036101896619321E-4</v>
      </c>
      <c r="K1535" s="3">
        <v>0.4822382898459604</v>
      </c>
    </row>
    <row r="1536" spans="1:11" x14ac:dyDescent="0.2">
      <c r="A1536" s="1">
        <v>43889</v>
      </c>
      <c r="B1536">
        <v>153.27323913574199</v>
      </c>
      <c r="C1536">
        <v>162.009994506835</v>
      </c>
      <c r="D1536">
        <v>163.71000671386699</v>
      </c>
      <c r="E1536">
        <v>152</v>
      </c>
      <c r="F1536">
        <v>152.41000366210901</v>
      </c>
      <c r="G1536" s="2">
        <v>97012700</v>
      </c>
      <c r="H1536" s="3">
        <f t="shared" si="23"/>
        <v>2.4213029140001119E-2</v>
      </c>
      <c r="J1536" s="3">
        <v>3.7202246660461569E-4</v>
      </c>
      <c r="K1536" s="3">
        <v>0.48255265639735934</v>
      </c>
    </row>
    <row r="1537" spans="1:11" x14ac:dyDescent="0.2">
      <c r="A1537" s="1">
        <v>43892</v>
      </c>
      <c r="B1537">
        <v>163.47189331054599</v>
      </c>
      <c r="C1537">
        <v>172.78999328613199</v>
      </c>
      <c r="D1537">
        <v>172.919998168945</v>
      </c>
      <c r="E1537">
        <v>162.30999755859301</v>
      </c>
      <c r="F1537">
        <v>165.30999755859301</v>
      </c>
      <c r="G1537" s="2">
        <v>71030800</v>
      </c>
      <c r="H1537" s="3">
        <f t="shared" si="23"/>
        <v>6.6539039902274499E-2</v>
      </c>
      <c r="J1537" s="3">
        <v>3.801665857636749E-4</v>
      </c>
      <c r="K1537" s="3">
        <v>0.48286702294875827</v>
      </c>
    </row>
    <row r="1538" spans="1:11" x14ac:dyDescent="0.2">
      <c r="A1538" s="1">
        <v>43893</v>
      </c>
      <c r="B1538">
        <v>155.63845825195301</v>
      </c>
      <c r="C1538">
        <v>164.509994506835</v>
      </c>
      <c r="D1538">
        <v>175</v>
      </c>
      <c r="E1538">
        <v>162.259994506835</v>
      </c>
      <c r="F1538">
        <v>173.80000305175699</v>
      </c>
      <c r="G1538" s="2">
        <v>71677000</v>
      </c>
      <c r="H1538" s="3">
        <f t="shared" ref="H1538:H1601" si="24">B1538/B1537-1</f>
        <v>-4.7919155397019075E-2</v>
      </c>
      <c r="J1538" s="3">
        <v>3.9480988992690591E-4</v>
      </c>
      <c r="K1538" s="3">
        <v>0.48318138950015721</v>
      </c>
    </row>
    <row r="1539" spans="1:11" x14ac:dyDescent="0.2">
      <c r="A1539" s="1">
        <v>43894</v>
      </c>
      <c r="B1539">
        <v>161.35272216796801</v>
      </c>
      <c r="C1539">
        <v>170.55000305175699</v>
      </c>
      <c r="D1539">
        <v>170.69999694824199</v>
      </c>
      <c r="E1539">
        <v>165.61999511718699</v>
      </c>
      <c r="F1539">
        <v>168.49000549316401</v>
      </c>
      <c r="G1539" s="2">
        <v>49814400</v>
      </c>
      <c r="H1539" s="3">
        <f t="shared" si="24"/>
        <v>3.6714986644011516E-2</v>
      </c>
      <c r="J1539" s="3">
        <v>4.0606191221148613E-4</v>
      </c>
      <c r="K1539" s="3">
        <v>0.48349575605155609</v>
      </c>
    </row>
    <row r="1540" spans="1:11" x14ac:dyDescent="0.2">
      <c r="A1540" s="1">
        <v>43895</v>
      </c>
      <c r="B1540">
        <v>157.303466796875</v>
      </c>
      <c r="C1540">
        <v>166.27000427246</v>
      </c>
      <c r="D1540">
        <v>170.86999511718699</v>
      </c>
      <c r="E1540">
        <v>165.69000244140599</v>
      </c>
      <c r="F1540">
        <v>166.05000305175699</v>
      </c>
      <c r="G1540" s="2">
        <v>47817300</v>
      </c>
      <c r="H1540" s="3">
        <f t="shared" si="24"/>
        <v>-2.5095674350493646E-2</v>
      </c>
      <c r="J1540" s="3">
        <v>4.1159924740852283E-4</v>
      </c>
      <c r="K1540" s="3">
        <v>0.48381012260295503</v>
      </c>
    </row>
    <row r="1541" spans="1:11" x14ac:dyDescent="0.2">
      <c r="A1541" s="1">
        <v>43896</v>
      </c>
      <c r="B1541">
        <v>152.85697937011699</v>
      </c>
      <c r="C1541">
        <v>161.57000732421801</v>
      </c>
      <c r="D1541">
        <v>163.11000061035099</v>
      </c>
      <c r="E1541">
        <v>156</v>
      </c>
      <c r="F1541">
        <v>162.61000061035099</v>
      </c>
      <c r="G1541" s="2">
        <v>72821100</v>
      </c>
      <c r="H1541" s="3">
        <f t="shared" si="24"/>
        <v>-2.8266938531620101E-2</v>
      </c>
      <c r="J1541" s="3">
        <v>4.1912651077291585E-4</v>
      </c>
      <c r="K1541" s="3">
        <v>0.48412448915435397</v>
      </c>
    </row>
    <row r="1542" spans="1:11" x14ac:dyDescent="0.2">
      <c r="A1542" s="1">
        <v>43899</v>
      </c>
      <c r="B1542">
        <v>142.497467041015</v>
      </c>
      <c r="C1542">
        <v>150.61999511718699</v>
      </c>
      <c r="D1542">
        <v>157.75</v>
      </c>
      <c r="E1542">
        <v>150</v>
      </c>
      <c r="F1542">
        <v>151</v>
      </c>
      <c r="G1542" s="2">
        <v>70419300</v>
      </c>
      <c r="H1542" s="3">
        <f t="shared" si="24"/>
        <v>-6.777258304979461E-2</v>
      </c>
      <c r="J1542" s="3">
        <v>4.2144794543519382E-4</v>
      </c>
      <c r="K1542" s="3">
        <v>0.4844388557057529</v>
      </c>
    </row>
    <row r="1543" spans="1:11" x14ac:dyDescent="0.2">
      <c r="A1543" s="1">
        <v>43900</v>
      </c>
      <c r="B1543">
        <v>152.24200439453099</v>
      </c>
      <c r="C1543">
        <v>160.919998168945</v>
      </c>
      <c r="D1543">
        <v>161.02999877929599</v>
      </c>
      <c r="E1543">
        <v>152.58000183105401</v>
      </c>
      <c r="F1543">
        <v>158.16000366210901</v>
      </c>
      <c r="G1543" s="2">
        <v>65354400</v>
      </c>
      <c r="H1543" s="3">
        <f t="shared" si="24"/>
        <v>6.8383933805021391E-2</v>
      </c>
      <c r="J1543" s="3">
        <v>4.3596179775295951E-4</v>
      </c>
      <c r="K1543" s="3">
        <v>0.48475322225715184</v>
      </c>
    </row>
    <row r="1544" spans="1:11" x14ac:dyDescent="0.2">
      <c r="A1544" s="1">
        <v>43901</v>
      </c>
      <c r="B1544">
        <v>145.34510803222599</v>
      </c>
      <c r="C1544">
        <v>153.63000488281199</v>
      </c>
      <c r="D1544">
        <v>157.69999694824199</v>
      </c>
      <c r="E1544">
        <v>151.14999389648401</v>
      </c>
      <c r="F1544">
        <v>157.13000488281199</v>
      </c>
      <c r="G1544" s="2">
        <v>56371600</v>
      </c>
      <c r="H1544" s="3">
        <f t="shared" si="24"/>
        <v>-4.5302191006575843E-2</v>
      </c>
      <c r="J1544" s="3">
        <v>4.4246104300205147E-4</v>
      </c>
      <c r="K1544" s="3">
        <v>0.48506758880855078</v>
      </c>
    </row>
    <row r="1545" spans="1:11" x14ac:dyDescent="0.2">
      <c r="A1545" s="1">
        <v>43902</v>
      </c>
      <c r="B1545">
        <v>131.56083679199199</v>
      </c>
      <c r="C1545">
        <v>139.05999755859301</v>
      </c>
      <c r="D1545">
        <v>153.47000122070301</v>
      </c>
      <c r="E1545">
        <v>138.58000183105401</v>
      </c>
      <c r="F1545">
        <v>145.30000305175699</v>
      </c>
      <c r="G1545" s="2">
        <v>93226400</v>
      </c>
      <c r="H1545" s="3">
        <f t="shared" si="24"/>
        <v>-9.4838219372183841E-2</v>
      </c>
      <c r="J1545" s="3">
        <v>4.4761146358673898E-4</v>
      </c>
      <c r="K1545" s="3">
        <v>0.48538195535994971</v>
      </c>
    </row>
    <row r="1546" spans="1:11" x14ac:dyDescent="0.2">
      <c r="A1546" s="1">
        <v>43903</v>
      </c>
      <c r="B1546">
        <v>150.26470947265599</v>
      </c>
      <c r="C1546">
        <v>158.83000183105401</v>
      </c>
      <c r="D1546">
        <v>161.91000366210901</v>
      </c>
      <c r="E1546">
        <v>140.72999572753901</v>
      </c>
      <c r="F1546">
        <v>147.5</v>
      </c>
      <c r="G1546" s="2">
        <v>92727400</v>
      </c>
      <c r="H1546" s="3">
        <f t="shared" si="24"/>
        <v>0.14216900056843129</v>
      </c>
      <c r="J1546" s="3">
        <v>4.5532902471201453E-4</v>
      </c>
      <c r="K1546" s="3">
        <v>0.48569632191134865</v>
      </c>
    </row>
    <row r="1547" spans="1:11" x14ac:dyDescent="0.2">
      <c r="A1547" s="1">
        <v>43906</v>
      </c>
      <c r="B1547">
        <v>128.11714172363199</v>
      </c>
      <c r="C1547">
        <v>135.419998168945</v>
      </c>
      <c r="D1547">
        <v>149.350006103515</v>
      </c>
      <c r="E1547">
        <v>135</v>
      </c>
      <c r="F1547">
        <v>140</v>
      </c>
      <c r="G1547" s="2">
        <v>87905900</v>
      </c>
      <c r="H1547" s="3">
        <f t="shared" si="24"/>
        <v>-0.147390347519051</v>
      </c>
      <c r="J1547" s="3">
        <v>4.5929217675722001E-4</v>
      </c>
      <c r="K1547" s="3">
        <v>0.48601068846274759</v>
      </c>
    </row>
    <row r="1548" spans="1:11" x14ac:dyDescent="0.2">
      <c r="A1548" s="1">
        <v>43907</v>
      </c>
      <c r="B1548">
        <v>138.66590881347599</v>
      </c>
      <c r="C1548">
        <v>146.57000732421801</v>
      </c>
      <c r="D1548">
        <v>147.5</v>
      </c>
      <c r="E1548">
        <v>135</v>
      </c>
      <c r="F1548">
        <v>140</v>
      </c>
      <c r="G1548" s="2">
        <v>81059800</v>
      </c>
      <c r="H1548" s="3">
        <f t="shared" si="24"/>
        <v>8.2336890660574369E-2</v>
      </c>
      <c r="J1548" s="3">
        <v>4.7099862243582535E-4</v>
      </c>
      <c r="K1548" s="3">
        <v>0.48632505501414647</v>
      </c>
    </row>
    <row r="1549" spans="1:11" x14ac:dyDescent="0.2">
      <c r="A1549" s="1">
        <v>43908</v>
      </c>
      <c r="B1549">
        <v>132.82861328125</v>
      </c>
      <c r="C1549">
        <v>140.39999389648401</v>
      </c>
      <c r="D1549">
        <v>146</v>
      </c>
      <c r="E1549">
        <v>135.02000427246</v>
      </c>
      <c r="F1549">
        <v>138</v>
      </c>
      <c r="G1549" s="2">
        <v>81593200</v>
      </c>
      <c r="H1549" s="3">
        <f t="shared" si="24"/>
        <v>-4.2096111309362527E-2</v>
      </c>
      <c r="J1549" s="3">
        <v>4.736581699293918E-4</v>
      </c>
      <c r="K1549" s="3">
        <v>0.4866394215655454</v>
      </c>
    </row>
    <row r="1550" spans="1:11" x14ac:dyDescent="0.2">
      <c r="A1550" s="1">
        <v>43909</v>
      </c>
      <c r="B1550">
        <v>135.01403808593699</v>
      </c>
      <c r="C1550">
        <v>142.71000671386699</v>
      </c>
      <c r="D1550">
        <v>150.14999389648401</v>
      </c>
      <c r="E1550">
        <v>139</v>
      </c>
      <c r="F1550">
        <v>142.77000427246</v>
      </c>
      <c r="G1550" s="2">
        <v>85922700</v>
      </c>
      <c r="H1550" s="3">
        <f t="shared" si="24"/>
        <v>1.6452967103252059E-2</v>
      </c>
      <c r="J1550" s="3">
        <v>4.7543073450539985E-4</v>
      </c>
      <c r="K1550" s="3">
        <v>0.48695378811694434</v>
      </c>
    </row>
    <row r="1551" spans="1:11" x14ac:dyDescent="0.2">
      <c r="A1551" s="1">
        <v>43910</v>
      </c>
      <c r="B1551">
        <v>129.94308471679599</v>
      </c>
      <c r="C1551">
        <v>137.350006103515</v>
      </c>
      <c r="D1551">
        <v>147.100006103515</v>
      </c>
      <c r="E1551">
        <v>135.86000061035099</v>
      </c>
      <c r="F1551">
        <v>146</v>
      </c>
      <c r="G1551" s="2">
        <v>84866200</v>
      </c>
      <c r="H1551" s="3">
        <f t="shared" si="24"/>
        <v>-3.7558711975663739E-2</v>
      </c>
      <c r="J1551" s="3">
        <v>4.7999921203878415E-4</v>
      </c>
      <c r="K1551" s="3">
        <v>0.48726815466834328</v>
      </c>
    </row>
    <row r="1552" spans="1:11" x14ac:dyDescent="0.2">
      <c r="A1552" s="1">
        <v>43913</v>
      </c>
      <c r="B1552">
        <v>128.64700317382801</v>
      </c>
      <c r="C1552">
        <v>135.97999572753901</v>
      </c>
      <c r="D1552">
        <v>140.57000732421801</v>
      </c>
      <c r="E1552">
        <v>132.52000427246</v>
      </c>
      <c r="F1552">
        <v>137.009994506835</v>
      </c>
      <c r="G1552" s="2">
        <v>78975200</v>
      </c>
      <c r="H1552" s="3">
        <f t="shared" si="24"/>
        <v>-9.9742248369177888E-3</v>
      </c>
      <c r="J1552" s="3">
        <v>4.9856457980701485E-4</v>
      </c>
      <c r="K1552" s="3">
        <v>0.48758252121974222</v>
      </c>
    </row>
    <row r="1553" spans="1:11" x14ac:dyDescent="0.2">
      <c r="A1553" s="1">
        <v>43914</v>
      </c>
      <c r="B1553">
        <v>140.34043884277301</v>
      </c>
      <c r="C1553">
        <v>148.33999633789</v>
      </c>
      <c r="D1553">
        <v>149.600006103515</v>
      </c>
      <c r="E1553">
        <v>141.27000427246</v>
      </c>
      <c r="F1553">
        <v>143.75</v>
      </c>
      <c r="G1553" s="2">
        <v>82516700</v>
      </c>
      <c r="H1553" s="3">
        <f t="shared" si="24"/>
        <v>9.089551548390773E-2</v>
      </c>
      <c r="J1553" s="3">
        <v>5.0205854387908033E-4</v>
      </c>
      <c r="K1553" s="3">
        <v>0.48789688777114115</v>
      </c>
    </row>
    <row r="1554" spans="1:11" x14ac:dyDescent="0.2">
      <c r="A1554" s="1">
        <v>43915</v>
      </c>
      <c r="B1554">
        <v>138.996978759765</v>
      </c>
      <c r="C1554">
        <v>146.919998168945</v>
      </c>
      <c r="D1554">
        <v>154.33000183105401</v>
      </c>
      <c r="E1554">
        <v>144.44000244140599</v>
      </c>
      <c r="F1554">
        <v>148.91000366210901</v>
      </c>
      <c r="G1554" s="2">
        <v>75638200</v>
      </c>
      <c r="H1554" s="3">
        <f t="shared" si="24"/>
        <v>-9.5728650564725903E-3</v>
      </c>
      <c r="J1554" s="3">
        <v>5.0853382536719671E-4</v>
      </c>
      <c r="K1554" s="3">
        <v>0.48821125432254009</v>
      </c>
    </row>
    <row r="1555" spans="1:11" x14ac:dyDescent="0.2">
      <c r="A1555" s="1">
        <v>43916</v>
      </c>
      <c r="B1555">
        <v>147.69140625</v>
      </c>
      <c r="C1555">
        <v>156.11000061035099</v>
      </c>
      <c r="D1555">
        <v>156.66000366210901</v>
      </c>
      <c r="E1555">
        <v>148.36999511718699</v>
      </c>
      <c r="F1555">
        <v>148.39999389648401</v>
      </c>
      <c r="G1555" s="2">
        <v>64568100</v>
      </c>
      <c r="H1555" s="3">
        <f t="shared" si="24"/>
        <v>6.2551197643381684E-2</v>
      </c>
      <c r="J1555" s="3">
        <v>5.0985608851705777E-4</v>
      </c>
      <c r="K1555" s="3">
        <v>0.48852562087393903</v>
      </c>
    </row>
    <row r="1556" spans="1:11" x14ac:dyDescent="0.2">
      <c r="A1556" s="1">
        <v>43917</v>
      </c>
      <c r="B1556">
        <v>141.62707519531199</v>
      </c>
      <c r="C1556">
        <v>149.69999694824199</v>
      </c>
      <c r="D1556">
        <v>154.88999938964801</v>
      </c>
      <c r="E1556">
        <v>149.19999694824199</v>
      </c>
      <c r="F1556">
        <v>151.75</v>
      </c>
      <c r="G1556" s="2">
        <v>57042300</v>
      </c>
      <c r="H1556" s="3">
        <f t="shared" si="24"/>
        <v>-4.1060825464839912E-2</v>
      </c>
      <c r="J1556" s="3">
        <v>5.103886340238617E-4</v>
      </c>
      <c r="K1556" s="3">
        <v>0.48883998742533796</v>
      </c>
    </row>
    <row r="1557" spans="1:11" x14ac:dyDescent="0.2">
      <c r="A1557" s="1">
        <v>43920</v>
      </c>
      <c r="B1557">
        <v>151.58918762207</v>
      </c>
      <c r="C1557">
        <v>160.22999572753901</v>
      </c>
      <c r="D1557">
        <v>160.600006103515</v>
      </c>
      <c r="E1557">
        <v>150.009994506835</v>
      </c>
      <c r="F1557">
        <v>152.44000244140599</v>
      </c>
      <c r="G1557" s="2">
        <v>63420300</v>
      </c>
      <c r="H1557" s="3">
        <f t="shared" si="24"/>
        <v>7.034045159105129E-2</v>
      </c>
      <c r="J1557" s="3">
        <v>5.2897288583286795E-4</v>
      </c>
      <c r="K1557" s="3">
        <v>0.4891543539767369</v>
      </c>
    </row>
    <row r="1558" spans="1:11" x14ac:dyDescent="0.2">
      <c r="A1558" s="1">
        <v>43921</v>
      </c>
      <c r="B1558">
        <v>149.20512390136699</v>
      </c>
      <c r="C1558">
        <v>157.71000671386699</v>
      </c>
      <c r="D1558">
        <v>164.77999877929599</v>
      </c>
      <c r="E1558">
        <v>156.55999755859301</v>
      </c>
      <c r="F1558">
        <v>159.39999389648401</v>
      </c>
      <c r="G1558" s="2">
        <v>77927200</v>
      </c>
      <c r="H1558" s="3">
        <f t="shared" si="24"/>
        <v>-1.572713567571038E-2</v>
      </c>
      <c r="J1558" s="3">
        <v>5.3390669033404059E-4</v>
      </c>
      <c r="K1558" s="3">
        <v>0.48946872052813578</v>
      </c>
    </row>
    <row r="1559" spans="1:11" x14ac:dyDescent="0.2">
      <c r="A1559" s="1">
        <v>43922</v>
      </c>
      <c r="B1559">
        <v>143.90715026855401</v>
      </c>
      <c r="C1559">
        <v>152.11000061035099</v>
      </c>
      <c r="D1559">
        <v>157.75</v>
      </c>
      <c r="E1559">
        <v>150.82000732421801</v>
      </c>
      <c r="F1559">
        <v>153</v>
      </c>
      <c r="G1559" s="2">
        <v>57969900</v>
      </c>
      <c r="H1559" s="3">
        <f t="shared" si="24"/>
        <v>-3.5507987221104043E-2</v>
      </c>
      <c r="J1559" s="3">
        <v>5.4156751127720781E-4</v>
      </c>
      <c r="K1559" s="3">
        <v>0.48978308707953472</v>
      </c>
    </row>
    <row r="1560" spans="1:11" x14ac:dyDescent="0.2">
      <c r="A1560" s="1">
        <v>43923</v>
      </c>
      <c r="B1560">
        <v>146.88723754882801</v>
      </c>
      <c r="C1560">
        <v>155.259994506835</v>
      </c>
      <c r="D1560">
        <v>155.47999572753901</v>
      </c>
      <c r="E1560">
        <v>150.36000061035099</v>
      </c>
      <c r="F1560">
        <v>151.86000061035099</v>
      </c>
      <c r="G1560" s="2">
        <v>49630700</v>
      </c>
      <c r="H1560" s="3">
        <f t="shared" si="24"/>
        <v>2.0708403124602759E-2</v>
      </c>
      <c r="J1560" s="3">
        <v>5.6000330459693437E-4</v>
      </c>
      <c r="K1560" s="3">
        <v>0.49009745363093365</v>
      </c>
    </row>
    <row r="1561" spans="1:11" x14ac:dyDescent="0.2">
      <c r="A1561" s="1">
        <v>43924</v>
      </c>
      <c r="B1561">
        <v>145.53436279296801</v>
      </c>
      <c r="C1561">
        <v>153.83000183105401</v>
      </c>
      <c r="D1561">
        <v>157.38000488281199</v>
      </c>
      <c r="E1561">
        <v>152.19000244140599</v>
      </c>
      <c r="F1561">
        <v>155.100006103515</v>
      </c>
      <c r="G1561" s="2">
        <v>41243300</v>
      </c>
      <c r="H1561" s="3">
        <f t="shared" si="24"/>
        <v>-9.2102947705737792E-3</v>
      </c>
      <c r="J1561" s="3">
        <v>5.8776578612729224E-4</v>
      </c>
      <c r="K1561" s="3">
        <v>0.49041182018233259</v>
      </c>
    </row>
    <row r="1562" spans="1:11" x14ac:dyDescent="0.2">
      <c r="A1562" s="1">
        <v>43927</v>
      </c>
      <c r="B1562">
        <v>156.35745239257801</v>
      </c>
      <c r="C1562">
        <v>165.27000427246</v>
      </c>
      <c r="D1562">
        <v>166.5</v>
      </c>
      <c r="E1562">
        <v>157.58000183105401</v>
      </c>
      <c r="F1562">
        <v>160.32000732421801</v>
      </c>
      <c r="G1562" s="2">
        <v>67111700</v>
      </c>
      <c r="H1562" s="3">
        <f t="shared" si="24"/>
        <v>7.4367932025830585E-2</v>
      </c>
      <c r="J1562" s="3">
        <v>5.8904892763211869E-4</v>
      </c>
      <c r="K1562" s="3">
        <v>0.49072618673373153</v>
      </c>
    </row>
    <row r="1563" spans="1:11" x14ac:dyDescent="0.2">
      <c r="A1563" s="1">
        <v>43928</v>
      </c>
      <c r="B1563">
        <v>154.673416137695</v>
      </c>
      <c r="C1563">
        <v>163.49000549316401</v>
      </c>
      <c r="D1563">
        <v>170</v>
      </c>
      <c r="E1563">
        <v>163.259994506835</v>
      </c>
      <c r="F1563">
        <v>169.58999633789</v>
      </c>
      <c r="G1563" s="2">
        <v>62769000</v>
      </c>
      <c r="H1563" s="3">
        <f t="shared" si="24"/>
        <v>-1.0770425260286154E-2</v>
      </c>
      <c r="J1563" s="3">
        <v>6.3251700134081545E-4</v>
      </c>
      <c r="K1563" s="3">
        <v>0.49104055328513047</v>
      </c>
    </row>
    <row r="1564" spans="1:11" x14ac:dyDescent="0.2">
      <c r="A1564" s="1">
        <v>43929</v>
      </c>
      <c r="B1564">
        <v>156.22499084472599</v>
      </c>
      <c r="C1564">
        <v>165.13000488281199</v>
      </c>
      <c r="D1564">
        <v>166.669998168945</v>
      </c>
      <c r="E1564">
        <v>163.5</v>
      </c>
      <c r="F1564">
        <v>165.669998168945</v>
      </c>
      <c r="G1564" s="2">
        <v>48318200</v>
      </c>
      <c r="H1564" s="3">
        <f t="shared" si="24"/>
        <v>1.003129526569535E-2</v>
      </c>
      <c r="J1564" s="3">
        <v>6.385762216989388E-4</v>
      </c>
      <c r="K1564" s="3">
        <v>0.4913549198365294</v>
      </c>
    </row>
    <row r="1565" spans="1:11" x14ac:dyDescent="0.2">
      <c r="A1565" s="1">
        <v>43930</v>
      </c>
      <c r="B1565">
        <v>156.234451293945</v>
      </c>
      <c r="C1565">
        <v>165.13999938964801</v>
      </c>
      <c r="D1565">
        <v>167.36999511718699</v>
      </c>
      <c r="E1565">
        <v>163.33000183105401</v>
      </c>
      <c r="F1565">
        <v>166.36000061035099</v>
      </c>
      <c r="G1565" s="2">
        <v>51385100</v>
      </c>
      <c r="H1565" s="3">
        <f t="shared" si="24"/>
        <v>6.0556567600622557E-5</v>
      </c>
      <c r="J1565" s="3">
        <v>6.4507568243477031E-4</v>
      </c>
      <c r="K1565" s="3">
        <v>0.49166928638792834</v>
      </c>
    </row>
    <row r="1566" spans="1:11" x14ac:dyDescent="0.2">
      <c r="A1566" s="1">
        <v>43934</v>
      </c>
      <c r="B1566">
        <v>156.58448791503901</v>
      </c>
      <c r="C1566">
        <v>165.509994506835</v>
      </c>
      <c r="D1566">
        <v>165.57000732421801</v>
      </c>
      <c r="E1566">
        <v>162.30000305175699</v>
      </c>
      <c r="F1566">
        <v>164.350006103515</v>
      </c>
      <c r="G1566" s="2">
        <v>41905300</v>
      </c>
      <c r="H1566" s="3">
        <f t="shared" si="24"/>
        <v>2.2404573267609251E-3</v>
      </c>
      <c r="J1566" s="3">
        <v>6.4616092815072967E-4</v>
      </c>
      <c r="K1566" s="3">
        <v>0.49198365293932728</v>
      </c>
    </row>
    <row r="1567" spans="1:11" x14ac:dyDescent="0.2">
      <c r="A1567" s="1">
        <v>43935</v>
      </c>
      <c r="B1567">
        <v>164.33283996582</v>
      </c>
      <c r="C1567">
        <v>173.69999694824199</v>
      </c>
      <c r="D1567">
        <v>173.75</v>
      </c>
      <c r="E1567">
        <v>168</v>
      </c>
      <c r="F1567">
        <v>169</v>
      </c>
      <c r="G1567" s="2">
        <v>52874300</v>
      </c>
      <c r="H1567" s="3">
        <f t="shared" si="24"/>
        <v>4.9483522626999621E-2</v>
      </c>
      <c r="J1567" s="3">
        <v>6.5509519470063893E-4</v>
      </c>
      <c r="K1567" s="3">
        <v>0.49229801949072621</v>
      </c>
    </row>
    <row r="1568" spans="1:11" x14ac:dyDescent="0.2">
      <c r="A1568" s="1">
        <v>43936</v>
      </c>
      <c r="B1568">
        <v>162.61096191406199</v>
      </c>
      <c r="C1568">
        <v>171.88000488281199</v>
      </c>
      <c r="D1568">
        <v>173.57000732421801</v>
      </c>
      <c r="E1568">
        <v>169.24000549316401</v>
      </c>
      <c r="F1568">
        <v>171.19999694824199</v>
      </c>
      <c r="G1568" s="2">
        <v>40940800</v>
      </c>
      <c r="H1568" s="3">
        <f t="shared" si="24"/>
        <v>-1.0477991204412618E-2</v>
      </c>
      <c r="J1568" s="3">
        <v>6.7865327317773172E-4</v>
      </c>
      <c r="K1568" s="3">
        <v>0.49261238604212509</v>
      </c>
    </row>
    <row r="1569" spans="1:11" x14ac:dyDescent="0.2">
      <c r="A1569" s="1">
        <v>43937</v>
      </c>
      <c r="B1569">
        <v>167.49269104003901</v>
      </c>
      <c r="C1569">
        <v>177.03999328613199</v>
      </c>
      <c r="D1569">
        <v>177.27999877929599</v>
      </c>
      <c r="E1569">
        <v>172.89999389648401</v>
      </c>
      <c r="F1569">
        <v>174.30000305175699</v>
      </c>
      <c r="G1569" s="2">
        <v>50479600</v>
      </c>
      <c r="H1569" s="3">
        <f t="shared" si="24"/>
        <v>3.0020910451024507E-2</v>
      </c>
      <c r="J1569" s="3">
        <v>6.8039328260760534E-4</v>
      </c>
      <c r="K1569" s="3">
        <v>0.49292675259352403</v>
      </c>
    </row>
    <row r="1570" spans="1:11" x14ac:dyDescent="0.2">
      <c r="A1570" s="1">
        <v>43938</v>
      </c>
      <c r="B1570">
        <v>168.96859741210901</v>
      </c>
      <c r="C1570">
        <v>178.600006103515</v>
      </c>
      <c r="D1570">
        <v>180</v>
      </c>
      <c r="E1570">
        <v>175.86999511718699</v>
      </c>
      <c r="F1570">
        <v>179.5</v>
      </c>
      <c r="G1570" s="2">
        <v>52765600</v>
      </c>
      <c r="H1570" s="3">
        <f t="shared" si="24"/>
        <v>8.8117658323203507E-3</v>
      </c>
      <c r="J1570" s="3">
        <v>6.8089707719787285E-4</v>
      </c>
      <c r="K1570" s="3">
        <v>0.49324111914492297</v>
      </c>
    </row>
    <row r="1571" spans="1:11" x14ac:dyDescent="0.2">
      <c r="A1571" s="1">
        <v>43941</v>
      </c>
      <c r="B1571">
        <v>165.61947631835901</v>
      </c>
      <c r="C1571">
        <v>175.05999755859301</v>
      </c>
      <c r="D1571">
        <v>178.75</v>
      </c>
      <c r="E1571">
        <v>174.99000549316401</v>
      </c>
      <c r="F1571">
        <v>176.63000488281199</v>
      </c>
      <c r="G1571" s="2">
        <v>36669600</v>
      </c>
      <c r="H1571" s="3">
        <f t="shared" si="24"/>
        <v>-1.9820967594242345E-2</v>
      </c>
      <c r="J1571" s="3">
        <v>6.8328509316484265E-4</v>
      </c>
      <c r="K1571" s="3">
        <v>0.49355548569632191</v>
      </c>
    </row>
    <row r="1572" spans="1:11" x14ac:dyDescent="0.2">
      <c r="A1572" s="1">
        <v>43942</v>
      </c>
      <c r="B1572">
        <v>158.76989746093699</v>
      </c>
      <c r="C1572">
        <v>167.82000732421801</v>
      </c>
      <c r="D1572">
        <v>173.669998168945</v>
      </c>
      <c r="E1572">
        <v>166.11000061035099</v>
      </c>
      <c r="F1572">
        <v>173.5</v>
      </c>
      <c r="G1572" s="2">
        <v>56203700</v>
      </c>
      <c r="H1572" s="3">
        <f t="shared" si="24"/>
        <v>-4.1357327107202857E-2</v>
      </c>
      <c r="J1572" s="3">
        <v>6.8333049533686463E-4</v>
      </c>
      <c r="K1572" s="3">
        <v>0.49386985224772084</v>
      </c>
    </row>
    <row r="1573" spans="1:11" x14ac:dyDescent="0.2">
      <c r="A1573" s="1">
        <v>43943</v>
      </c>
      <c r="B1573">
        <v>164.16255187988199</v>
      </c>
      <c r="C1573">
        <v>173.52000427246</v>
      </c>
      <c r="D1573">
        <v>174</v>
      </c>
      <c r="E1573">
        <v>170.82000732421801</v>
      </c>
      <c r="F1573">
        <v>171.38999938964801</v>
      </c>
      <c r="G1573" s="2">
        <v>34620200</v>
      </c>
      <c r="H1573" s="3">
        <f t="shared" si="24"/>
        <v>3.3965219510655453E-2</v>
      </c>
      <c r="J1573" s="3">
        <v>6.8438186734010031E-4</v>
      </c>
      <c r="K1573" s="3">
        <v>0.49418421879911978</v>
      </c>
    </row>
    <row r="1574" spans="1:11" x14ac:dyDescent="0.2">
      <c r="A1574" s="1">
        <v>43944</v>
      </c>
      <c r="B1574">
        <v>162.17578125</v>
      </c>
      <c r="C1574">
        <v>171.419998168945</v>
      </c>
      <c r="D1574">
        <v>175.05999755859301</v>
      </c>
      <c r="E1574">
        <v>170.91000366210901</v>
      </c>
      <c r="F1574">
        <v>174.11000061035099</v>
      </c>
      <c r="G1574" s="2">
        <v>32790800</v>
      </c>
      <c r="H1574" s="3">
        <f t="shared" si="24"/>
        <v>-1.2102459465516247E-2</v>
      </c>
      <c r="J1574" s="3">
        <v>6.9492599534592969E-4</v>
      </c>
      <c r="K1574" s="3">
        <v>0.49449858535051872</v>
      </c>
    </row>
    <row r="1575" spans="1:11" x14ac:dyDescent="0.2">
      <c r="A1575" s="1">
        <v>43945</v>
      </c>
      <c r="B1575">
        <v>165.13699340820301</v>
      </c>
      <c r="C1575">
        <v>174.55000305175699</v>
      </c>
      <c r="D1575">
        <v>174.55999755859301</v>
      </c>
      <c r="E1575">
        <v>170.71000671386699</v>
      </c>
      <c r="F1575">
        <v>172.05999755859301</v>
      </c>
      <c r="G1575" s="2">
        <v>34277600</v>
      </c>
      <c r="H1575" s="3">
        <f t="shared" si="24"/>
        <v>1.825927481513534E-2</v>
      </c>
      <c r="J1575" s="3">
        <v>6.9815525072036699E-4</v>
      </c>
      <c r="K1575" s="3">
        <v>0.49481295190191765</v>
      </c>
    </row>
    <row r="1576" spans="1:11" x14ac:dyDescent="0.2">
      <c r="A1576" s="1">
        <v>43948</v>
      </c>
      <c r="B1576">
        <v>164.66394042968699</v>
      </c>
      <c r="C1576">
        <v>174.05000305175699</v>
      </c>
      <c r="D1576">
        <v>176.89999389648401</v>
      </c>
      <c r="E1576">
        <v>173.30000305175699</v>
      </c>
      <c r="F1576">
        <v>176.58999633789</v>
      </c>
      <c r="G1576" s="2">
        <v>33194400</v>
      </c>
      <c r="H1576" s="3">
        <f t="shared" si="24"/>
        <v>-2.8646093691840901E-3</v>
      </c>
      <c r="J1576" s="3">
        <v>6.9890782011139407E-4</v>
      </c>
      <c r="K1576" s="3">
        <v>0.49512731845331659</v>
      </c>
    </row>
    <row r="1577" spans="1:11" x14ac:dyDescent="0.2">
      <c r="A1577" s="1">
        <v>43949</v>
      </c>
      <c r="B1577">
        <v>160.65261840820301</v>
      </c>
      <c r="C1577">
        <v>169.80999755859301</v>
      </c>
      <c r="D1577">
        <v>175.669998168945</v>
      </c>
      <c r="E1577">
        <v>169.38999938964801</v>
      </c>
      <c r="F1577">
        <v>175.58999633789</v>
      </c>
      <c r="G1577" s="2">
        <v>34392700</v>
      </c>
      <c r="H1577" s="3">
        <f t="shared" si="24"/>
        <v>-2.4360658508575272E-2</v>
      </c>
      <c r="J1577" s="3">
        <v>7.1524275339007737E-4</v>
      </c>
      <c r="K1577" s="3">
        <v>0.49544168500471547</v>
      </c>
    </row>
    <row r="1578" spans="1:11" x14ac:dyDescent="0.2">
      <c r="A1578" s="1">
        <v>43950</v>
      </c>
      <c r="B1578">
        <v>167.86163330078099</v>
      </c>
      <c r="C1578">
        <v>177.42999267578099</v>
      </c>
      <c r="D1578">
        <v>177.67999267578099</v>
      </c>
      <c r="E1578">
        <v>171.88000488281199</v>
      </c>
      <c r="F1578">
        <v>173.22000122070301</v>
      </c>
      <c r="G1578" s="2">
        <v>51286600</v>
      </c>
      <c r="H1578" s="3">
        <f t="shared" si="24"/>
        <v>4.4873310899051555E-2</v>
      </c>
      <c r="J1578" s="3">
        <v>7.1666841114037538E-4</v>
      </c>
      <c r="K1578" s="3">
        <v>0.49575605155611441</v>
      </c>
    </row>
    <row r="1579" spans="1:11" x14ac:dyDescent="0.2">
      <c r="A1579" s="1">
        <v>43951</v>
      </c>
      <c r="B1579">
        <v>169.54566955566401</v>
      </c>
      <c r="C1579">
        <v>179.21000671386699</v>
      </c>
      <c r="D1579">
        <v>180.39999389648401</v>
      </c>
      <c r="E1579">
        <v>176.22999572753901</v>
      </c>
      <c r="F1579">
        <v>180</v>
      </c>
      <c r="G1579" s="2">
        <v>53875900</v>
      </c>
      <c r="H1579" s="3">
        <f t="shared" si="24"/>
        <v>1.0032288032521874E-2</v>
      </c>
      <c r="J1579" s="3">
        <v>7.3093343934371724E-4</v>
      </c>
      <c r="K1579" s="3">
        <v>0.49607041810751334</v>
      </c>
    </row>
    <row r="1580" spans="1:11" x14ac:dyDescent="0.2">
      <c r="A1580" s="1">
        <v>43952</v>
      </c>
      <c r="B1580">
        <v>165.15589904785099</v>
      </c>
      <c r="C1580">
        <v>174.57000732421801</v>
      </c>
      <c r="D1580">
        <v>178.63999938964801</v>
      </c>
      <c r="E1580">
        <v>174.009994506835</v>
      </c>
      <c r="F1580">
        <v>175.80000305175699</v>
      </c>
      <c r="G1580" s="2">
        <v>39370500</v>
      </c>
      <c r="H1580" s="3">
        <f t="shared" si="24"/>
        <v>-2.5891374986559579E-2</v>
      </c>
      <c r="J1580" s="3">
        <v>7.3225405789667519E-4</v>
      </c>
      <c r="K1580" s="3">
        <v>0.49638478465891228</v>
      </c>
    </row>
    <row r="1581" spans="1:11" x14ac:dyDescent="0.2">
      <c r="A1581" s="1">
        <v>43955</v>
      </c>
      <c r="B1581">
        <v>169.19563293457</v>
      </c>
      <c r="C1581">
        <v>178.83999633789</v>
      </c>
      <c r="D1581">
        <v>179</v>
      </c>
      <c r="E1581">
        <v>173.80000305175699</v>
      </c>
      <c r="F1581">
        <v>174.49000549316401</v>
      </c>
      <c r="G1581" s="2">
        <v>30372900</v>
      </c>
      <c r="H1581" s="3">
        <f t="shared" si="24"/>
        <v>2.4460124706466413E-2</v>
      </c>
      <c r="J1581" s="3">
        <v>7.3592553239198999E-4</v>
      </c>
      <c r="K1581" s="3">
        <v>0.49669915121031122</v>
      </c>
    </row>
    <row r="1582" spans="1:11" x14ac:dyDescent="0.2">
      <c r="A1582" s="1">
        <v>43956</v>
      </c>
      <c r="B1582">
        <v>171.01214599609301</v>
      </c>
      <c r="C1582">
        <v>180.759994506835</v>
      </c>
      <c r="D1582">
        <v>183.64999389648401</v>
      </c>
      <c r="E1582">
        <v>179.89999389648401</v>
      </c>
      <c r="F1582">
        <v>180.61999511718699</v>
      </c>
      <c r="G1582" s="2">
        <v>36839200</v>
      </c>
      <c r="H1582" s="3">
        <f t="shared" si="24"/>
        <v>1.0736169899996595E-2</v>
      </c>
      <c r="J1582" s="3">
        <v>7.4398049826940316E-4</v>
      </c>
      <c r="K1582" s="3">
        <v>0.49701351776171016</v>
      </c>
    </row>
    <row r="1583" spans="1:11" x14ac:dyDescent="0.2">
      <c r="A1583" s="1">
        <v>43957</v>
      </c>
      <c r="B1583">
        <v>172.69610595703099</v>
      </c>
      <c r="C1583">
        <v>182.53999328613199</v>
      </c>
      <c r="D1583">
        <v>184.19999694824199</v>
      </c>
      <c r="E1583">
        <v>181.63000488281199</v>
      </c>
      <c r="F1583">
        <v>182.08000183105401</v>
      </c>
      <c r="G1583" s="2">
        <v>32139300</v>
      </c>
      <c r="H1583" s="3">
        <f t="shared" si="24"/>
        <v>9.8470196437185908E-3</v>
      </c>
      <c r="J1583" s="3">
        <v>7.6296174048140486E-4</v>
      </c>
      <c r="K1583" s="3">
        <v>0.49732788431310909</v>
      </c>
    </row>
    <row r="1584" spans="1:11" x14ac:dyDescent="0.2">
      <c r="A1584" s="1">
        <v>43958</v>
      </c>
      <c r="B1584">
        <v>173.69894409179599</v>
      </c>
      <c r="C1584">
        <v>183.600006103515</v>
      </c>
      <c r="D1584">
        <v>184.55000305175699</v>
      </c>
      <c r="E1584">
        <v>182.58000183105401</v>
      </c>
      <c r="F1584">
        <v>184.169998168945</v>
      </c>
      <c r="G1584" s="2">
        <v>28316000</v>
      </c>
      <c r="H1584" s="3">
        <f t="shared" si="24"/>
        <v>5.8069527926385422E-3</v>
      </c>
      <c r="J1584" s="3">
        <v>7.8016880749731676E-4</v>
      </c>
      <c r="K1584" s="3">
        <v>0.49764225086450803</v>
      </c>
    </row>
    <row r="1585" spans="1:11" x14ac:dyDescent="0.2">
      <c r="A1585" s="1">
        <v>43959</v>
      </c>
      <c r="B1585">
        <v>174.720703125</v>
      </c>
      <c r="C1585">
        <v>184.67999267578099</v>
      </c>
      <c r="D1585">
        <v>185</v>
      </c>
      <c r="E1585">
        <v>183.36000061035099</v>
      </c>
      <c r="F1585">
        <v>184.97999572753901</v>
      </c>
      <c r="G1585" s="2">
        <v>30877800</v>
      </c>
      <c r="H1585" s="3">
        <f t="shared" si="24"/>
        <v>5.8823560416350062E-3</v>
      </c>
      <c r="J1585" s="3">
        <v>7.853751599651293E-4</v>
      </c>
      <c r="K1585" s="3">
        <v>0.49795661741590697</v>
      </c>
    </row>
    <row r="1586" spans="1:11" x14ac:dyDescent="0.2">
      <c r="A1586" s="1">
        <v>43962</v>
      </c>
      <c r="B1586">
        <v>176.66958618164</v>
      </c>
      <c r="C1586">
        <v>186.74000549316401</v>
      </c>
      <c r="D1586">
        <v>187.509994506835</v>
      </c>
      <c r="E1586">
        <v>182.850006103515</v>
      </c>
      <c r="F1586">
        <v>183.14999389648401</v>
      </c>
      <c r="G1586" s="2">
        <v>30892700</v>
      </c>
      <c r="H1586" s="3">
        <f t="shared" si="24"/>
        <v>1.1154276635698457E-2</v>
      </c>
      <c r="J1586" s="3">
        <v>7.8634052505477392E-4</v>
      </c>
      <c r="K1586" s="3">
        <v>0.4982709839673059</v>
      </c>
    </row>
    <row r="1587" spans="1:11" x14ac:dyDescent="0.2">
      <c r="A1587" s="1">
        <v>43963</v>
      </c>
      <c r="B1587">
        <v>172.667724609375</v>
      </c>
      <c r="C1587">
        <v>182.509994506835</v>
      </c>
      <c r="D1587">
        <v>187.03999328613199</v>
      </c>
      <c r="E1587">
        <v>182.30000305175699</v>
      </c>
      <c r="F1587">
        <v>186.80000305175699</v>
      </c>
      <c r="G1587" s="2">
        <v>32038200</v>
      </c>
      <c r="H1587" s="3">
        <f t="shared" si="24"/>
        <v>-2.2651672303972803E-2</v>
      </c>
      <c r="J1587" s="3">
        <v>8.2723122230587975E-4</v>
      </c>
      <c r="K1587" s="3">
        <v>0.49858535051870478</v>
      </c>
    </row>
    <row r="1588" spans="1:11" x14ac:dyDescent="0.2">
      <c r="A1588" s="1">
        <v>43964</v>
      </c>
      <c r="B1588">
        <v>170.056549072265</v>
      </c>
      <c r="C1588">
        <v>179.75</v>
      </c>
      <c r="D1588">
        <v>184.05000305175699</v>
      </c>
      <c r="E1588">
        <v>176.53999328613199</v>
      </c>
      <c r="F1588">
        <v>182.55000305175699</v>
      </c>
      <c r="G1588" s="2">
        <v>44711500</v>
      </c>
      <c r="H1588" s="3">
        <f t="shared" si="24"/>
        <v>-1.5122545588744152E-2</v>
      </c>
      <c r="J1588" s="3">
        <v>8.2734387137328724E-4</v>
      </c>
      <c r="K1588" s="3">
        <v>0.49889971707010372</v>
      </c>
    </row>
    <row r="1589" spans="1:11" x14ac:dyDescent="0.2">
      <c r="A1589" s="1">
        <v>43965</v>
      </c>
      <c r="B1589">
        <v>170.794509887695</v>
      </c>
      <c r="C1589">
        <v>180.52999877929599</v>
      </c>
      <c r="D1589">
        <v>180.69000244140599</v>
      </c>
      <c r="E1589">
        <v>175.67999267578099</v>
      </c>
      <c r="F1589">
        <v>177.53999328613199</v>
      </c>
      <c r="G1589" s="2">
        <v>41873900</v>
      </c>
      <c r="H1589" s="3">
        <f t="shared" si="24"/>
        <v>4.3395024740646715E-3</v>
      </c>
      <c r="J1589" s="3">
        <v>8.3281671538726343E-4</v>
      </c>
      <c r="K1589" s="3">
        <v>0.49921408362150266</v>
      </c>
    </row>
    <row r="1590" spans="1:11" x14ac:dyDescent="0.2">
      <c r="A1590" s="1">
        <v>43966</v>
      </c>
      <c r="B1590">
        <v>173.28268432617099</v>
      </c>
      <c r="C1590">
        <v>183.16000366210901</v>
      </c>
      <c r="D1590">
        <v>187.05999755859301</v>
      </c>
      <c r="E1590">
        <v>177</v>
      </c>
      <c r="F1590">
        <v>179.05999755859301</v>
      </c>
      <c r="G1590" s="2">
        <v>46610400</v>
      </c>
      <c r="H1590" s="3">
        <f t="shared" si="24"/>
        <v>1.4568234307484884E-2</v>
      </c>
      <c r="J1590" s="3">
        <v>8.349442988966338E-4</v>
      </c>
      <c r="K1590" s="3">
        <v>0.49952845017290159</v>
      </c>
    </row>
    <row r="1591" spans="1:11" x14ac:dyDescent="0.2">
      <c r="A1591" s="1">
        <v>43969</v>
      </c>
      <c r="B1591">
        <v>174.93829345703099</v>
      </c>
      <c r="C1591">
        <v>184.91000366210901</v>
      </c>
      <c r="D1591">
        <v>186.19999694824199</v>
      </c>
      <c r="E1591">
        <v>183.96000671386699</v>
      </c>
      <c r="F1591">
        <v>185.75</v>
      </c>
      <c r="G1591" s="2">
        <v>35264500</v>
      </c>
      <c r="H1591" s="3">
        <f t="shared" si="24"/>
        <v>9.5543829858015794E-3</v>
      </c>
      <c r="J1591" s="3">
        <v>8.4101263191915798E-4</v>
      </c>
      <c r="K1591" s="3">
        <v>0.49984281672430053</v>
      </c>
    </row>
    <row r="1592" spans="1:11" x14ac:dyDescent="0.2">
      <c r="A1592" s="1">
        <v>43970</v>
      </c>
      <c r="B1592">
        <v>173.72731018066401</v>
      </c>
      <c r="C1592">
        <v>183.63000488281199</v>
      </c>
      <c r="D1592">
        <v>186.600006103515</v>
      </c>
      <c r="E1592">
        <v>183.49000549316401</v>
      </c>
      <c r="F1592">
        <v>185.02999877929599</v>
      </c>
      <c r="G1592" s="2">
        <v>26799100</v>
      </c>
      <c r="H1592" s="3">
        <f t="shared" si="24"/>
        <v>-6.9223453163754778E-3</v>
      </c>
      <c r="J1592" s="3">
        <v>8.425593984400237E-4</v>
      </c>
      <c r="K1592" s="3">
        <v>0.50015718327569947</v>
      </c>
    </row>
    <row r="1593" spans="1:11" x14ac:dyDescent="0.2">
      <c r="A1593" s="1">
        <v>43971</v>
      </c>
      <c r="B1593">
        <v>176.13702392578099</v>
      </c>
      <c r="C1593">
        <v>185.66000366210901</v>
      </c>
      <c r="D1593">
        <v>185.850006103515</v>
      </c>
      <c r="E1593">
        <v>183.94000244140599</v>
      </c>
      <c r="F1593">
        <v>184.80999755859301</v>
      </c>
      <c r="G1593" s="2">
        <v>31261300</v>
      </c>
      <c r="H1593" s="3">
        <f t="shared" si="24"/>
        <v>1.3870667442045015E-2</v>
      </c>
      <c r="J1593" s="3">
        <v>8.4463842728599303E-4</v>
      </c>
      <c r="K1593" s="3">
        <v>0.50047154982709841</v>
      </c>
    </row>
    <row r="1594" spans="1:11" x14ac:dyDescent="0.2">
      <c r="A1594" s="1">
        <v>43972</v>
      </c>
      <c r="B1594">
        <v>174.02143859863199</v>
      </c>
      <c r="C1594">
        <v>183.42999267578099</v>
      </c>
      <c r="D1594">
        <v>186.669998168945</v>
      </c>
      <c r="E1594">
        <v>183.28999328613199</v>
      </c>
      <c r="F1594">
        <v>185.39999389648401</v>
      </c>
      <c r="G1594" s="2">
        <v>29119500</v>
      </c>
      <c r="H1594" s="3">
        <f t="shared" si="24"/>
        <v>-1.2011020056978183E-2</v>
      </c>
      <c r="J1594" s="3">
        <v>8.4642004430568463E-4</v>
      </c>
      <c r="K1594" s="3">
        <v>0.50078591637849734</v>
      </c>
    </row>
    <row r="1595" spans="1:11" x14ac:dyDescent="0.2">
      <c r="A1595" s="1">
        <v>43973</v>
      </c>
      <c r="B1595">
        <v>174.09730529785099</v>
      </c>
      <c r="C1595">
        <v>183.509994506835</v>
      </c>
      <c r="D1595">
        <v>184.46000671386699</v>
      </c>
      <c r="E1595">
        <v>182.53999328613199</v>
      </c>
      <c r="F1595">
        <v>183.19000244140599</v>
      </c>
      <c r="G1595" s="2">
        <v>20826900</v>
      </c>
      <c r="H1595" s="3">
        <f t="shared" si="24"/>
        <v>4.3596179775295951E-4</v>
      </c>
      <c r="J1595" s="3">
        <v>8.6792100300892017E-4</v>
      </c>
      <c r="K1595" s="3">
        <v>0.50110028292989628</v>
      </c>
    </row>
    <row r="1596" spans="1:11" x14ac:dyDescent="0.2">
      <c r="A1596" s="1">
        <v>43977</v>
      </c>
      <c r="B1596">
        <v>172.25682067871</v>
      </c>
      <c r="C1596">
        <v>181.57000732421801</v>
      </c>
      <c r="D1596">
        <v>186.5</v>
      </c>
      <c r="E1596">
        <v>181.100006103515</v>
      </c>
      <c r="F1596">
        <v>186.33999633789</v>
      </c>
      <c r="G1596" s="2">
        <v>36073600</v>
      </c>
      <c r="H1596" s="3">
        <f t="shared" si="24"/>
        <v>-1.0571585907043435E-2</v>
      </c>
      <c r="J1596" s="3">
        <v>8.6792240375688223E-4</v>
      </c>
      <c r="K1596" s="3">
        <v>0.50141464948129522</v>
      </c>
    </row>
    <row r="1597" spans="1:11" x14ac:dyDescent="0.2">
      <c r="A1597" s="1">
        <v>43978</v>
      </c>
      <c r="B1597">
        <v>172.48449707031199</v>
      </c>
      <c r="C1597">
        <v>181.80999755859301</v>
      </c>
      <c r="D1597">
        <v>181.99000549316401</v>
      </c>
      <c r="E1597">
        <v>176.600006103515</v>
      </c>
      <c r="F1597">
        <v>180.19999694824199</v>
      </c>
      <c r="G1597" s="2">
        <v>39517100</v>
      </c>
      <c r="H1597" s="3">
        <f t="shared" si="24"/>
        <v>1.3217264239808735E-3</v>
      </c>
      <c r="J1597" s="3">
        <v>8.9192245605018705E-4</v>
      </c>
      <c r="K1597" s="3">
        <v>0.50172901603269415</v>
      </c>
    </row>
    <row r="1598" spans="1:11" x14ac:dyDescent="0.2">
      <c r="A1598" s="1">
        <v>43979</v>
      </c>
      <c r="B1598">
        <v>172.09552001953099</v>
      </c>
      <c r="C1598">
        <v>181.39999389648401</v>
      </c>
      <c r="D1598">
        <v>184.14999389648401</v>
      </c>
      <c r="E1598">
        <v>180.38000488281199</v>
      </c>
      <c r="F1598">
        <v>180.74000549316401</v>
      </c>
      <c r="G1598" s="2">
        <v>33810200</v>
      </c>
      <c r="H1598" s="3">
        <f t="shared" si="24"/>
        <v>-2.2551420990747362E-3</v>
      </c>
      <c r="J1598" s="3">
        <v>9.039006589823817E-4</v>
      </c>
      <c r="K1598" s="3">
        <v>0.50204338258409309</v>
      </c>
    </row>
    <row r="1599" spans="1:11" x14ac:dyDescent="0.2">
      <c r="A1599" s="1">
        <v>43980</v>
      </c>
      <c r="B1599">
        <v>173.85069274902301</v>
      </c>
      <c r="C1599">
        <v>183.25</v>
      </c>
      <c r="D1599">
        <v>184.27000427246</v>
      </c>
      <c r="E1599">
        <v>180.41000366210901</v>
      </c>
      <c r="F1599">
        <v>182.72999572753901</v>
      </c>
      <c r="G1599" s="2">
        <v>42130400</v>
      </c>
      <c r="H1599" s="3">
        <f t="shared" si="24"/>
        <v>1.0198828704505614E-2</v>
      </c>
      <c r="J1599" s="3">
        <v>9.1163609250077826E-4</v>
      </c>
      <c r="K1599" s="3">
        <v>0.50235774913549203</v>
      </c>
    </row>
    <row r="1600" spans="1:11" x14ac:dyDescent="0.2">
      <c r="A1600" s="1">
        <v>43983</v>
      </c>
      <c r="B1600">
        <v>173.45220947265599</v>
      </c>
      <c r="C1600">
        <v>182.83000183105401</v>
      </c>
      <c r="D1600">
        <v>183</v>
      </c>
      <c r="E1600">
        <v>181.46000671386699</v>
      </c>
      <c r="F1600">
        <v>182.53999328613199</v>
      </c>
      <c r="G1600" s="2">
        <v>22622400</v>
      </c>
      <c r="H1600" s="3">
        <f t="shared" si="24"/>
        <v>-2.292100595436164E-3</v>
      </c>
      <c r="J1600" s="3">
        <v>9.127725334314718E-4</v>
      </c>
      <c r="K1600" s="3">
        <v>0.50267211568689096</v>
      </c>
    </row>
    <row r="1601" spans="1:11" x14ac:dyDescent="0.2">
      <c r="A1601" s="1">
        <v>43984</v>
      </c>
      <c r="B1601">
        <v>175.42549133300699</v>
      </c>
      <c r="C1601">
        <v>184.91000366210901</v>
      </c>
      <c r="D1601">
        <v>185</v>
      </c>
      <c r="E1601">
        <v>181.350006103515</v>
      </c>
      <c r="F1601">
        <v>184.25</v>
      </c>
      <c r="G1601" s="2">
        <v>30794600</v>
      </c>
      <c r="H1601" s="3">
        <f t="shared" si="24"/>
        <v>1.1376516138654758E-2</v>
      </c>
      <c r="J1601" s="3">
        <v>9.246578432526853E-4</v>
      </c>
      <c r="K1601" s="3">
        <v>0.5029864822382899</v>
      </c>
    </row>
    <row r="1602" spans="1:11" x14ac:dyDescent="0.2">
      <c r="A1602" s="1">
        <v>43985</v>
      </c>
      <c r="B1602">
        <v>175.85241699218699</v>
      </c>
      <c r="C1602">
        <v>185.36000061035099</v>
      </c>
      <c r="D1602">
        <v>185.94000244140599</v>
      </c>
      <c r="E1602">
        <v>183.58000183105401</v>
      </c>
      <c r="F1602">
        <v>184.82000732421801</v>
      </c>
      <c r="G1602" s="2">
        <v>27311000</v>
      </c>
      <c r="H1602" s="3">
        <f t="shared" ref="H1602:H1665" si="25">B1602/B1601-1</f>
        <v>2.4336580501267413E-3</v>
      </c>
      <c r="J1602" s="3">
        <v>9.333780303071304E-4</v>
      </c>
      <c r="K1602" s="3">
        <v>0.50330084878968873</v>
      </c>
    </row>
    <row r="1603" spans="1:11" x14ac:dyDescent="0.2">
      <c r="A1603" s="1">
        <v>43986</v>
      </c>
      <c r="B1603">
        <v>173.53759765625</v>
      </c>
      <c r="C1603">
        <v>182.919998168945</v>
      </c>
      <c r="D1603">
        <v>185.83999633789</v>
      </c>
      <c r="E1603">
        <v>182.30000305175699</v>
      </c>
      <c r="F1603">
        <v>184.30000305175699</v>
      </c>
      <c r="G1603" s="2">
        <v>28761800</v>
      </c>
      <c r="H1603" s="3">
        <f t="shared" si="25"/>
        <v>-1.3163420642889667E-2</v>
      </c>
      <c r="J1603" s="3">
        <v>9.5292153875314867E-4</v>
      </c>
      <c r="K1603" s="3">
        <v>0.50361521534108766</v>
      </c>
    </row>
    <row r="1604" spans="1:11" x14ac:dyDescent="0.2">
      <c r="A1604" s="1">
        <v>43987</v>
      </c>
      <c r="B1604">
        <v>177.59802246093699</v>
      </c>
      <c r="C1604">
        <v>187.19999694824199</v>
      </c>
      <c r="D1604">
        <v>187.72999572753901</v>
      </c>
      <c r="E1604">
        <v>182.009994506835</v>
      </c>
      <c r="F1604">
        <v>182.61999511718699</v>
      </c>
      <c r="G1604" s="2">
        <v>39893600</v>
      </c>
      <c r="H1604" s="3">
        <f t="shared" si="25"/>
        <v>2.3397954446332969E-2</v>
      </c>
      <c r="J1604" s="3">
        <v>9.5430650707273301E-4</v>
      </c>
      <c r="K1604" s="3">
        <v>0.5039295818924866</v>
      </c>
    </row>
    <row r="1605" spans="1:11" x14ac:dyDescent="0.2">
      <c r="A1605" s="1">
        <v>43990</v>
      </c>
      <c r="B1605">
        <v>178.69854736328099</v>
      </c>
      <c r="C1605">
        <v>188.36000061035099</v>
      </c>
      <c r="D1605">
        <v>188.55000305175699</v>
      </c>
      <c r="E1605">
        <v>184.44000244140599</v>
      </c>
      <c r="F1605">
        <v>185.94000244140599</v>
      </c>
      <c r="G1605" s="2">
        <v>33211600</v>
      </c>
      <c r="H1605" s="3">
        <f t="shared" si="25"/>
        <v>6.1967182240785235E-3</v>
      </c>
      <c r="J1605" s="3">
        <v>9.5832108619187117E-4</v>
      </c>
      <c r="K1605" s="3">
        <v>0.50424394844388554</v>
      </c>
    </row>
    <row r="1606" spans="1:11" x14ac:dyDescent="0.2">
      <c r="A1606" s="1">
        <v>43991</v>
      </c>
      <c r="B1606">
        <v>180.06472778320301</v>
      </c>
      <c r="C1606">
        <v>189.80000305175699</v>
      </c>
      <c r="D1606">
        <v>190.69999694824199</v>
      </c>
      <c r="E1606">
        <v>187.259994506835</v>
      </c>
      <c r="F1606">
        <v>188</v>
      </c>
      <c r="G1606" s="2">
        <v>29783900</v>
      </c>
      <c r="H1606" s="3">
        <f t="shared" si="25"/>
        <v>7.6451680222373586E-3</v>
      </c>
      <c r="J1606" s="3">
        <v>9.58990019623851E-4</v>
      </c>
      <c r="K1606" s="3">
        <v>0.50455831499528447</v>
      </c>
    </row>
    <row r="1607" spans="1:11" x14ac:dyDescent="0.2">
      <c r="A1607" s="1">
        <v>43992</v>
      </c>
      <c r="B1607">
        <v>186.74359130859301</v>
      </c>
      <c r="C1607">
        <v>196.83999633789</v>
      </c>
      <c r="D1607">
        <v>198.52000427246</v>
      </c>
      <c r="E1607">
        <v>191.009994506835</v>
      </c>
      <c r="F1607">
        <v>191.13000488281199</v>
      </c>
      <c r="G1607" s="2">
        <v>43872300</v>
      </c>
      <c r="H1607" s="3">
        <f t="shared" si="25"/>
        <v>3.7091459319180675E-2</v>
      </c>
      <c r="J1607" s="3">
        <v>9.6464001107943176E-4</v>
      </c>
      <c r="K1607" s="3">
        <v>0.50487268154668341</v>
      </c>
    </row>
    <row r="1608" spans="1:11" x14ac:dyDescent="0.2">
      <c r="A1608" s="1">
        <v>43993</v>
      </c>
      <c r="B1608">
        <v>176.71574401855401</v>
      </c>
      <c r="C1608">
        <v>186.27000427246</v>
      </c>
      <c r="D1608">
        <v>195.759994506835</v>
      </c>
      <c r="E1608">
        <v>186.07000732421801</v>
      </c>
      <c r="F1608">
        <v>193.13000488281199</v>
      </c>
      <c r="G1608" s="2">
        <v>52854700</v>
      </c>
      <c r="H1608" s="3">
        <f t="shared" si="25"/>
        <v>-5.3698481537007736E-2</v>
      </c>
      <c r="J1608" s="3">
        <v>9.7841204503978929E-4</v>
      </c>
      <c r="K1608" s="3">
        <v>0.50518704809808235</v>
      </c>
    </row>
    <row r="1609" spans="1:11" x14ac:dyDescent="0.2">
      <c r="A1609" s="1">
        <v>43994</v>
      </c>
      <c r="B1609">
        <v>178.11038208007801</v>
      </c>
      <c r="C1609">
        <v>187.74000549316401</v>
      </c>
      <c r="D1609">
        <v>191.72000122070301</v>
      </c>
      <c r="E1609">
        <v>185.17999267578099</v>
      </c>
      <c r="F1609">
        <v>190.53999328613199</v>
      </c>
      <c r="G1609" s="2">
        <v>43373600</v>
      </c>
      <c r="H1609" s="3">
        <f t="shared" si="25"/>
        <v>7.891985342163732E-3</v>
      </c>
      <c r="J1609" s="3">
        <v>9.8265961389465417E-4</v>
      </c>
      <c r="K1609" s="3">
        <v>0.50550141464948128</v>
      </c>
    </row>
    <row r="1610" spans="1:11" x14ac:dyDescent="0.2">
      <c r="A1610" s="1">
        <v>43997</v>
      </c>
      <c r="B1610">
        <v>179.24879455566401</v>
      </c>
      <c r="C1610">
        <v>188.94000244140599</v>
      </c>
      <c r="D1610">
        <v>190.82000732421801</v>
      </c>
      <c r="E1610">
        <v>184.009994506835</v>
      </c>
      <c r="F1610">
        <v>184.58000183105401</v>
      </c>
      <c r="G1610" s="2">
        <v>32770200</v>
      </c>
      <c r="H1610" s="3">
        <f t="shared" si="25"/>
        <v>6.3916121131790682E-3</v>
      </c>
      <c r="J1610" s="3">
        <v>1.0198492925139746E-3</v>
      </c>
      <c r="K1610" s="3">
        <v>0.50581578120088022</v>
      </c>
    </row>
    <row r="1611" spans="1:11" x14ac:dyDescent="0.2">
      <c r="A1611" s="1">
        <v>43998</v>
      </c>
      <c r="B1611">
        <v>183.64129638671801</v>
      </c>
      <c r="C1611">
        <v>193.57000732421801</v>
      </c>
      <c r="D1611">
        <v>195.58000183105401</v>
      </c>
      <c r="E1611">
        <v>191.46000671386699</v>
      </c>
      <c r="F1611">
        <v>192.88999938964801</v>
      </c>
      <c r="G1611" s="2">
        <v>42556700</v>
      </c>
      <c r="H1611" s="3">
        <f t="shared" si="25"/>
        <v>2.4505056460449204E-2</v>
      </c>
      <c r="J1611" s="3">
        <v>1.0247028424414939E-3</v>
      </c>
      <c r="K1611" s="3">
        <v>0.50613014775227916</v>
      </c>
    </row>
    <row r="1612" spans="1:11" x14ac:dyDescent="0.2">
      <c r="A1612" s="1">
        <v>43999</v>
      </c>
      <c r="B1612">
        <v>184.27696228027301</v>
      </c>
      <c r="C1612">
        <v>194.24000549316401</v>
      </c>
      <c r="D1612">
        <v>196.32000732421801</v>
      </c>
      <c r="E1612">
        <v>193.69000244140599</v>
      </c>
      <c r="F1612">
        <v>195.02999877929599</v>
      </c>
      <c r="G1612" s="2">
        <v>25687800</v>
      </c>
      <c r="H1612" s="3">
        <f t="shared" si="25"/>
        <v>3.4614539652149112E-3</v>
      </c>
      <c r="J1612" s="3">
        <v>1.0276247958709295E-3</v>
      </c>
      <c r="K1612" s="3">
        <v>0.50644451430367809</v>
      </c>
    </row>
    <row r="1613" spans="1:11" x14ac:dyDescent="0.2">
      <c r="A1613" s="1">
        <v>44000</v>
      </c>
      <c r="B1613">
        <v>186.25027465820301</v>
      </c>
      <c r="C1613">
        <v>196.32000732421801</v>
      </c>
      <c r="D1613">
        <v>196.49000549316401</v>
      </c>
      <c r="E1613">
        <v>194</v>
      </c>
      <c r="F1613">
        <v>194</v>
      </c>
      <c r="G1613" s="2">
        <v>23061600</v>
      </c>
      <c r="H1613" s="3">
        <f t="shared" si="25"/>
        <v>1.0708405182676684E-2</v>
      </c>
      <c r="J1613" s="3">
        <v>1.0365584241809334E-3</v>
      </c>
      <c r="K1613" s="3">
        <v>0.50675888085507703</v>
      </c>
    </row>
    <row r="1614" spans="1:11" x14ac:dyDescent="0.2">
      <c r="A1614" s="1">
        <v>44001</v>
      </c>
      <c r="B1614">
        <v>185.14030456542901</v>
      </c>
      <c r="C1614">
        <v>195.14999389648401</v>
      </c>
      <c r="D1614">
        <v>199.28999328613199</v>
      </c>
      <c r="E1614">
        <v>194.36999511718699</v>
      </c>
      <c r="F1614">
        <v>198.58999633789</v>
      </c>
      <c r="G1614" s="2">
        <v>44441100</v>
      </c>
      <c r="H1614" s="3">
        <f t="shared" si="25"/>
        <v>-5.9595621794972242E-3</v>
      </c>
      <c r="J1614" s="3">
        <v>1.0387428162481616E-3</v>
      </c>
      <c r="K1614" s="3">
        <v>0.50707324740647597</v>
      </c>
    </row>
    <row r="1615" spans="1:11" x14ac:dyDescent="0.2">
      <c r="A1615" s="1">
        <v>44004</v>
      </c>
      <c r="B1615">
        <v>190.28228759765599</v>
      </c>
      <c r="C1615">
        <v>200.57000732421801</v>
      </c>
      <c r="D1615">
        <v>200.759994506835</v>
      </c>
      <c r="E1615">
        <v>195.22999572753901</v>
      </c>
      <c r="F1615">
        <v>195.78999328613199</v>
      </c>
      <c r="G1615" s="2">
        <v>32818900</v>
      </c>
      <c r="H1615" s="3">
        <f t="shared" si="25"/>
        <v>2.7773439415563983E-2</v>
      </c>
      <c r="J1615" s="3">
        <v>1.039102345330889E-3</v>
      </c>
      <c r="K1615" s="3">
        <v>0.50738761395787491</v>
      </c>
    </row>
    <row r="1616" spans="1:11" x14ac:dyDescent="0.2">
      <c r="A1616" s="1">
        <v>44005</v>
      </c>
      <c r="B1616">
        <v>191.55355834960901</v>
      </c>
      <c r="C1616">
        <v>201.91000366210901</v>
      </c>
      <c r="D1616">
        <v>203.94999694824199</v>
      </c>
      <c r="E1616">
        <v>201.42999267578099</v>
      </c>
      <c r="F1616">
        <v>202.08999633789</v>
      </c>
      <c r="G1616" s="2">
        <v>30917400</v>
      </c>
      <c r="H1616" s="3">
        <f t="shared" si="25"/>
        <v>6.6809726118126633E-3</v>
      </c>
      <c r="J1616" s="3">
        <v>1.0490664357125645E-3</v>
      </c>
      <c r="K1616" s="3">
        <v>0.50770198050927384</v>
      </c>
    </row>
    <row r="1617" spans="1:11" x14ac:dyDescent="0.2">
      <c r="A1617" s="1">
        <v>44006</v>
      </c>
      <c r="B1617">
        <v>187.69230651855401</v>
      </c>
      <c r="C1617">
        <v>197.83999633789</v>
      </c>
      <c r="D1617">
        <v>203.25</v>
      </c>
      <c r="E1617">
        <v>196.55999755859301</v>
      </c>
      <c r="F1617">
        <v>201.600006103515</v>
      </c>
      <c r="G1617" s="2">
        <v>36740600</v>
      </c>
      <c r="H1617" s="3">
        <f t="shared" si="25"/>
        <v>-2.0157557313593366E-2</v>
      </c>
      <c r="J1617" s="3">
        <v>1.0491709393680715E-3</v>
      </c>
      <c r="K1617" s="3">
        <v>0.50801634706067278</v>
      </c>
    </row>
    <row r="1618" spans="1:11" x14ac:dyDescent="0.2">
      <c r="A1618" s="1">
        <v>44007</v>
      </c>
      <c r="B1618">
        <v>190.06405639648401</v>
      </c>
      <c r="C1618">
        <v>200.33999633789</v>
      </c>
      <c r="D1618">
        <v>200.61000061035099</v>
      </c>
      <c r="E1618">
        <v>195.47000122070301</v>
      </c>
      <c r="F1618">
        <v>197.80000305175699</v>
      </c>
      <c r="G1618" s="2">
        <v>27803900</v>
      </c>
      <c r="H1618" s="3">
        <f t="shared" si="25"/>
        <v>1.2636372379469574E-2</v>
      </c>
      <c r="J1618" s="3">
        <v>1.0609712048055275E-3</v>
      </c>
      <c r="K1618" s="3">
        <v>0.50833071361207172</v>
      </c>
    </row>
    <row r="1619" spans="1:11" x14ac:dyDescent="0.2">
      <c r="A1619" s="1">
        <v>44008</v>
      </c>
      <c r="B1619">
        <v>186.259765625</v>
      </c>
      <c r="C1619">
        <v>196.33000183105401</v>
      </c>
      <c r="D1619">
        <v>199.88999938964801</v>
      </c>
      <c r="E1619">
        <v>194.88000488281199</v>
      </c>
      <c r="F1619">
        <v>199.72999572753901</v>
      </c>
      <c r="G1619" s="2">
        <v>54675800</v>
      </c>
      <c r="H1619" s="3">
        <f t="shared" si="25"/>
        <v>-2.0015834890675266E-2</v>
      </c>
      <c r="J1619" s="3">
        <v>1.0691533971312062E-3</v>
      </c>
      <c r="K1619" s="3">
        <v>0.50864508016347065</v>
      </c>
    </row>
    <row r="1620" spans="1:11" x14ac:dyDescent="0.2">
      <c r="A1620" s="1">
        <v>44011</v>
      </c>
      <c r="B1620">
        <v>188.26155090332</v>
      </c>
      <c r="C1620">
        <v>198.44000244140599</v>
      </c>
      <c r="D1620">
        <v>198.52999877929599</v>
      </c>
      <c r="E1620">
        <v>193.55000305175699</v>
      </c>
      <c r="F1620">
        <v>195.77999877929599</v>
      </c>
      <c r="G1620" s="2">
        <v>26701600</v>
      </c>
      <c r="H1620" s="3">
        <f t="shared" si="25"/>
        <v>1.0747276909766068E-2</v>
      </c>
      <c r="J1620" s="3">
        <v>1.0692262889744342E-3</v>
      </c>
      <c r="K1620" s="3">
        <v>0.50895944671486959</v>
      </c>
    </row>
    <row r="1621" spans="1:11" x14ac:dyDescent="0.2">
      <c r="A1621" s="1">
        <v>44012</v>
      </c>
      <c r="B1621">
        <v>193.07142639160099</v>
      </c>
      <c r="C1621">
        <v>203.509994506835</v>
      </c>
      <c r="D1621">
        <v>204.39999389648401</v>
      </c>
      <c r="E1621">
        <v>197.74000549316401</v>
      </c>
      <c r="F1621">
        <v>197.88000488281199</v>
      </c>
      <c r="G1621" s="2">
        <v>34310300</v>
      </c>
      <c r="H1621" s="3">
        <f t="shared" si="25"/>
        <v>2.5548899736574704E-2</v>
      </c>
      <c r="J1621" s="3">
        <v>1.0709660495080708E-3</v>
      </c>
      <c r="K1621" s="3">
        <v>0.50927381326626842</v>
      </c>
    </row>
    <row r="1622" spans="1:11" x14ac:dyDescent="0.2">
      <c r="A1622" s="1">
        <v>44013</v>
      </c>
      <c r="B1622">
        <v>194.200439453125</v>
      </c>
      <c r="C1622">
        <v>204.69999694824199</v>
      </c>
      <c r="D1622">
        <v>206.350006103515</v>
      </c>
      <c r="E1622">
        <v>201.77000427246</v>
      </c>
      <c r="F1622">
        <v>203.13999938964801</v>
      </c>
      <c r="G1622" s="2">
        <v>32061200</v>
      </c>
      <c r="H1622" s="3">
        <f t="shared" si="25"/>
        <v>5.8476444838297947E-3</v>
      </c>
      <c r="J1622" s="3">
        <v>1.0871193638808396E-3</v>
      </c>
      <c r="K1622" s="3">
        <v>0.50958817981766735</v>
      </c>
    </row>
    <row r="1623" spans="1:11" x14ac:dyDescent="0.2">
      <c r="A1623" s="1">
        <v>44014</v>
      </c>
      <c r="B1623">
        <v>195.680419921875</v>
      </c>
      <c r="C1623">
        <v>206.259994506835</v>
      </c>
      <c r="D1623">
        <v>208.02000427246</v>
      </c>
      <c r="E1623">
        <v>205</v>
      </c>
      <c r="F1623">
        <v>205.67999267578099</v>
      </c>
      <c r="G1623" s="2">
        <v>29315800</v>
      </c>
      <c r="H1623" s="3">
        <f t="shared" si="25"/>
        <v>7.6208914506974423E-3</v>
      </c>
      <c r="J1623" s="3">
        <v>1.0881915395226649E-3</v>
      </c>
      <c r="K1623" s="3">
        <v>0.50990254636906629</v>
      </c>
    </row>
    <row r="1624" spans="1:11" x14ac:dyDescent="0.2">
      <c r="A1624" s="1">
        <v>44018</v>
      </c>
      <c r="B1624">
        <v>199.89266967773401</v>
      </c>
      <c r="C1624">
        <v>210.69999694824199</v>
      </c>
      <c r="D1624">
        <v>211.13000488281199</v>
      </c>
      <c r="E1624">
        <v>208.08999633789</v>
      </c>
      <c r="F1624">
        <v>208.83000183105401</v>
      </c>
      <c r="G1624" s="2">
        <v>31897600</v>
      </c>
      <c r="H1624" s="3">
        <f t="shared" si="25"/>
        <v>2.1526168829465675E-2</v>
      </c>
      <c r="J1624" s="3">
        <v>1.1003457480251999E-3</v>
      </c>
      <c r="K1624" s="3">
        <v>0.51021691292046523</v>
      </c>
    </row>
    <row r="1625" spans="1:11" x14ac:dyDescent="0.2">
      <c r="A1625" s="1">
        <v>44019</v>
      </c>
      <c r="B1625">
        <v>197.56837463378901</v>
      </c>
      <c r="C1625">
        <v>208.25</v>
      </c>
      <c r="D1625">
        <v>214.669998168945</v>
      </c>
      <c r="E1625">
        <v>207.99000549316401</v>
      </c>
      <c r="F1625">
        <v>210.44999694824199</v>
      </c>
      <c r="G1625" s="2">
        <v>33600700</v>
      </c>
      <c r="H1625" s="3">
        <f t="shared" si="25"/>
        <v>-1.1627715251851023E-2</v>
      </c>
      <c r="J1625" s="3">
        <v>1.1007790523900329E-3</v>
      </c>
      <c r="K1625" s="3">
        <v>0.51053127947186416</v>
      </c>
    </row>
    <row r="1626" spans="1:11" x14ac:dyDescent="0.2">
      <c r="A1626" s="1">
        <v>44020</v>
      </c>
      <c r="B1626">
        <v>201.91339111328099</v>
      </c>
      <c r="C1626">
        <v>212.83000183105401</v>
      </c>
      <c r="D1626">
        <v>213.259994506835</v>
      </c>
      <c r="E1626">
        <v>208.69000244140599</v>
      </c>
      <c r="F1626">
        <v>210.07000732421801</v>
      </c>
      <c r="G1626" s="2">
        <v>33600000</v>
      </c>
      <c r="H1626" s="3">
        <f t="shared" si="25"/>
        <v>2.1992469632581058E-2</v>
      </c>
      <c r="J1626" s="3">
        <v>1.1074305531908468E-3</v>
      </c>
      <c r="K1626" s="3">
        <v>0.5108456460232631</v>
      </c>
    </row>
    <row r="1627" spans="1:11" x14ac:dyDescent="0.2">
      <c r="A1627" s="1">
        <v>44021</v>
      </c>
      <c r="B1627">
        <v>203.32699584960901</v>
      </c>
      <c r="C1627">
        <v>214.32000732421801</v>
      </c>
      <c r="D1627">
        <v>216.38000488281199</v>
      </c>
      <c r="E1627">
        <v>211.47000122070301</v>
      </c>
      <c r="F1627">
        <v>216.33000183105401</v>
      </c>
      <c r="G1627" s="2">
        <v>33121700</v>
      </c>
      <c r="H1627" s="3">
        <f t="shared" si="25"/>
        <v>7.0010449952520037E-3</v>
      </c>
      <c r="J1627" s="3">
        <v>1.1093028811755001E-3</v>
      </c>
      <c r="K1627" s="3">
        <v>0.51116001257466204</v>
      </c>
    </row>
    <row r="1628" spans="1:11" x14ac:dyDescent="0.2">
      <c r="A1628" s="1">
        <v>44022</v>
      </c>
      <c r="B1628">
        <v>202.71034240722599</v>
      </c>
      <c r="C1628">
        <v>213.669998168945</v>
      </c>
      <c r="D1628">
        <v>214.08000183105401</v>
      </c>
      <c r="E1628">
        <v>211.08000183105401</v>
      </c>
      <c r="F1628">
        <v>213.61999511718699</v>
      </c>
      <c r="G1628" s="2">
        <v>26177600</v>
      </c>
      <c r="H1628" s="3">
        <f t="shared" si="25"/>
        <v>-3.0328163744627323E-3</v>
      </c>
      <c r="J1628" s="3">
        <v>1.1111518260389364E-3</v>
      </c>
      <c r="K1628" s="3">
        <v>0.51147437912606097</v>
      </c>
    </row>
    <row r="1629" spans="1:11" x14ac:dyDescent="0.2">
      <c r="A1629" s="1">
        <v>44025</v>
      </c>
      <c r="B1629">
        <v>196.44888305664</v>
      </c>
      <c r="C1629">
        <v>207.07000732421801</v>
      </c>
      <c r="D1629">
        <v>215.80000305175699</v>
      </c>
      <c r="E1629">
        <v>206.5</v>
      </c>
      <c r="F1629">
        <v>214.47999572753901</v>
      </c>
      <c r="G1629" s="2">
        <v>38135600</v>
      </c>
      <c r="H1629" s="3">
        <f t="shared" si="25"/>
        <v>-3.0888701958814324E-2</v>
      </c>
      <c r="J1629" s="3">
        <v>1.114731516279166E-3</v>
      </c>
      <c r="K1629" s="3">
        <v>0.51178874567745991</v>
      </c>
    </row>
    <row r="1630" spans="1:11" x14ac:dyDescent="0.2">
      <c r="A1630" s="1">
        <v>44026</v>
      </c>
      <c r="B1630">
        <v>197.66317749023401</v>
      </c>
      <c r="C1630">
        <v>208.350006103515</v>
      </c>
      <c r="D1630">
        <v>208.850006103515</v>
      </c>
      <c r="E1630">
        <v>202.02999877929599</v>
      </c>
      <c r="F1630">
        <v>206.13000488281199</v>
      </c>
      <c r="G1630" s="2">
        <v>37591800</v>
      </c>
      <c r="H1630" s="3">
        <f t="shared" si="25"/>
        <v>6.1812234037690317E-3</v>
      </c>
      <c r="J1630" s="3">
        <v>1.1429351161764689E-3</v>
      </c>
      <c r="K1630" s="3">
        <v>0.51210311222885885</v>
      </c>
    </row>
    <row r="1631" spans="1:11" x14ac:dyDescent="0.2">
      <c r="A1631" s="1">
        <v>44027</v>
      </c>
      <c r="B1631">
        <v>197.36907958984301</v>
      </c>
      <c r="C1631">
        <v>208.03999328613199</v>
      </c>
      <c r="D1631">
        <v>211.33000183105401</v>
      </c>
      <c r="E1631">
        <v>205.02999877929599</v>
      </c>
      <c r="F1631">
        <v>209.55999755859301</v>
      </c>
      <c r="G1631" s="2">
        <v>32179400</v>
      </c>
      <c r="H1631" s="3">
        <f t="shared" si="25"/>
        <v>-1.4878739891021064E-3</v>
      </c>
      <c r="J1631" s="3">
        <v>1.1484251907301068E-3</v>
      </c>
      <c r="K1631" s="3">
        <v>0.51241747878025778</v>
      </c>
    </row>
    <row r="1632" spans="1:11" x14ac:dyDescent="0.2">
      <c r="A1632" s="1">
        <v>44028</v>
      </c>
      <c r="B1632">
        <v>193.46044921875</v>
      </c>
      <c r="C1632">
        <v>203.919998168945</v>
      </c>
      <c r="D1632">
        <v>205.69999694824199</v>
      </c>
      <c r="E1632">
        <v>202.30999755859301</v>
      </c>
      <c r="F1632">
        <v>205.39999389648401</v>
      </c>
      <c r="G1632" s="2">
        <v>29940700</v>
      </c>
      <c r="H1632" s="3">
        <f t="shared" si="25"/>
        <v>-1.9803661136869155E-2</v>
      </c>
      <c r="J1632" s="3">
        <v>1.1542872145982042E-3</v>
      </c>
      <c r="K1632" s="3">
        <v>0.51273184533165672</v>
      </c>
    </row>
    <row r="1633" spans="1:11" x14ac:dyDescent="0.2">
      <c r="A1633" s="1">
        <v>44029</v>
      </c>
      <c r="B1633">
        <v>192.47380065917901</v>
      </c>
      <c r="C1633">
        <v>202.88000488281199</v>
      </c>
      <c r="D1633">
        <v>205.03999328613199</v>
      </c>
      <c r="E1633">
        <v>201.38999938964801</v>
      </c>
      <c r="F1633">
        <v>204.47000122070301</v>
      </c>
      <c r="G1633" s="2">
        <v>31635300</v>
      </c>
      <c r="H1633" s="3">
        <f t="shared" si="25"/>
        <v>-5.1000013881667972E-3</v>
      </c>
      <c r="J1633" s="3">
        <v>1.1569119760705959E-3</v>
      </c>
      <c r="K1633" s="3">
        <v>0.51304621188305566</v>
      </c>
    </row>
    <row r="1634" spans="1:11" x14ac:dyDescent="0.2">
      <c r="A1634" s="1">
        <v>44032</v>
      </c>
      <c r="B1634">
        <v>200.746490478515</v>
      </c>
      <c r="C1634">
        <v>211.600006103515</v>
      </c>
      <c r="D1634">
        <v>212.30000305175699</v>
      </c>
      <c r="E1634">
        <v>203.009994506835</v>
      </c>
      <c r="F1634">
        <v>205</v>
      </c>
      <c r="G1634" s="2">
        <v>36884800</v>
      </c>
      <c r="H1634" s="3">
        <f t="shared" si="25"/>
        <v>4.2980861764063016E-2</v>
      </c>
      <c r="J1634" s="3">
        <v>1.1614593637194748E-3</v>
      </c>
      <c r="K1634" s="3">
        <v>0.5133605784344546</v>
      </c>
    </row>
    <row r="1635" spans="1:11" x14ac:dyDescent="0.2">
      <c r="A1635" s="1">
        <v>44033</v>
      </c>
      <c r="B1635">
        <v>198.04267883300699</v>
      </c>
      <c r="C1635">
        <v>208.75</v>
      </c>
      <c r="D1635">
        <v>213.94000244140599</v>
      </c>
      <c r="E1635">
        <v>208.02999877929599</v>
      </c>
      <c r="F1635">
        <v>213.66000366210901</v>
      </c>
      <c r="G1635" s="2">
        <v>37990400</v>
      </c>
      <c r="H1635" s="3">
        <f t="shared" si="25"/>
        <v>-1.3468786622685136E-2</v>
      </c>
      <c r="J1635" s="3">
        <v>1.1649027019016156E-3</v>
      </c>
      <c r="K1635" s="3">
        <v>0.51367494498585353</v>
      </c>
    </row>
    <row r="1636" spans="1:11" x14ac:dyDescent="0.2">
      <c r="A1636" s="1">
        <v>44034</v>
      </c>
      <c r="B1636">
        <v>200.88880920410099</v>
      </c>
      <c r="C1636">
        <v>211.75</v>
      </c>
      <c r="D1636">
        <v>212.30000305175699</v>
      </c>
      <c r="E1636">
        <v>208.38999938964801</v>
      </c>
      <c r="F1636">
        <v>209.19999694824199</v>
      </c>
      <c r="G1636" s="2">
        <v>49605700</v>
      </c>
      <c r="H1636" s="3">
        <f t="shared" si="25"/>
        <v>1.437129808516624E-2</v>
      </c>
      <c r="J1636" s="3">
        <v>1.1676996921892169E-3</v>
      </c>
      <c r="K1636" s="3">
        <v>0.51398931153725247</v>
      </c>
    </row>
    <row r="1637" spans="1:11" x14ac:dyDescent="0.2">
      <c r="A1637" s="1">
        <v>44035</v>
      </c>
      <c r="B1637">
        <v>192.15122985839801</v>
      </c>
      <c r="C1637">
        <v>202.53999328613199</v>
      </c>
      <c r="D1637">
        <v>210.919998168945</v>
      </c>
      <c r="E1637">
        <v>202.14999389648401</v>
      </c>
      <c r="F1637">
        <v>207.19000244140599</v>
      </c>
      <c r="G1637" s="2">
        <v>67457000</v>
      </c>
      <c r="H1637" s="3">
        <f t="shared" si="25"/>
        <v>-4.3494604703568585E-2</v>
      </c>
      <c r="J1637" s="3">
        <v>1.1787528202309439E-3</v>
      </c>
      <c r="K1637" s="3">
        <v>0.51430367808865141</v>
      </c>
    </row>
    <row r="1638" spans="1:11" x14ac:dyDescent="0.2">
      <c r="A1638" s="1">
        <v>44036</v>
      </c>
      <c r="B1638">
        <v>190.974838256835</v>
      </c>
      <c r="C1638">
        <v>201.30000305175699</v>
      </c>
      <c r="D1638">
        <v>202.86000061035099</v>
      </c>
      <c r="E1638">
        <v>197.509994506835</v>
      </c>
      <c r="F1638">
        <v>200.419998168945</v>
      </c>
      <c r="G1638" s="2">
        <v>39827000</v>
      </c>
      <c r="H1638" s="3">
        <f t="shared" si="25"/>
        <v>-6.1222173931956281E-3</v>
      </c>
      <c r="J1638" s="3">
        <v>1.1874013586761212E-3</v>
      </c>
      <c r="K1638" s="3">
        <v>0.51461804464005034</v>
      </c>
    </row>
    <row r="1639" spans="1:11" x14ac:dyDescent="0.2">
      <c r="A1639" s="1">
        <v>44039</v>
      </c>
      <c r="B1639">
        <v>193.39404296875</v>
      </c>
      <c r="C1639">
        <v>203.850006103515</v>
      </c>
      <c r="D1639">
        <v>203.97000122070301</v>
      </c>
      <c r="E1639">
        <v>200.86000061035099</v>
      </c>
      <c r="F1639">
        <v>201.47000122070301</v>
      </c>
      <c r="G1639" s="2">
        <v>30160900</v>
      </c>
      <c r="H1639" s="3">
        <f t="shared" si="25"/>
        <v>1.2667662054314688E-2</v>
      </c>
      <c r="J1639" s="3">
        <v>1.1881320280553442E-3</v>
      </c>
      <c r="K1639" s="3">
        <v>0.51493241119144928</v>
      </c>
    </row>
    <row r="1640" spans="1:11" x14ac:dyDescent="0.2">
      <c r="A1640" s="1">
        <v>44040</v>
      </c>
      <c r="B1640">
        <v>191.65789794921801</v>
      </c>
      <c r="C1640">
        <v>202.02000427246</v>
      </c>
      <c r="D1640">
        <v>204.69999694824199</v>
      </c>
      <c r="E1640">
        <v>201.74000549316401</v>
      </c>
      <c r="F1640">
        <v>203.61000061035099</v>
      </c>
      <c r="G1640" s="2">
        <v>23251400</v>
      </c>
      <c r="H1640" s="3">
        <f t="shared" si="25"/>
        <v>-8.9772414541875456E-3</v>
      </c>
      <c r="J1640" s="3">
        <v>1.2027144828605785E-3</v>
      </c>
      <c r="K1640" s="3">
        <v>0.51524677774284811</v>
      </c>
    </row>
    <row r="1641" spans="1:11" x14ac:dyDescent="0.2">
      <c r="A1641" s="1">
        <v>44041</v>
      </c>
      <c r="B1641">
        <v>193.59326171875</v>
      </c>
      <c r="C1641">
        <v>204.05999755859301</v>
      </c>
      <c r="D1641">
        <v>204.64999389648401</v>
      </c>
      <c r="E1641">
        <v>202.009994506835</v>
      </c>
      <c r="F1641">
        <v>202.5</v>
      </c>
      <c r="G1641" s="2">
        <v>19632600</v>
      </c>
      <c r="H1641" s="3">
        <f t="shared" si="25"/>
        <v>1.009801208424399E-2</v>
      </c>
      <c r="J1641" s="3">
        <v>1.2061784944303877E-3</v>
      </c>
      <c r="K1641" s="3">
        <v>0.51556114429424704</v>
      </c>
    </row>
    <row r="1642" spans="1:11" x14ac:dyDescent="0.2">
      <c r="A1642" s="1">
        <v>44042</v>
      </c>
      <c r="B1642">
        <v>193.44145202636699</v>
      </c>
      <c r="C1642">
        <v>203.89999389648401</v>
      </c>
      <c r="D1642">
        <v>204.46000671386699</v>
      </c>
      <c r="E1642">
        <v>199.57000732421801</v>
      </c>
      <c r="F1642">
        <v>201</v>
      </c>
      <c r="G1642" s="2">
        <v>25079600</v>
      </c>
      <c r="H1642" s="3">
        <f t="shared" si="25"/>
        <v>-7.8416826616389823E-4</v>
      </c>
      <c r="J1642" s="3">
        <v>1.2427174025393395E-3</v>
      </c>
      <c r="K1642" s="3">
        <v>0.51587551084564598</v>
      </c>
    </row>
    <row r="1643" spans="1:11" x14ac:dyDescent="0.2">
      <c r="A1643" s="1">
        <v>44043</v>
      </c>
      <c r="B1643">
        <v>194.494537353515</v>
      </c>
      <c r="C1643">
        <v>205.009994506835</v>
      </c>
      <c r="D1643">
        <v>205.100006103515</v>
      </c>
      <c r="E1643">
        <v>199.009994506835</v>
      </c>
      <c r="F1643">
        <v>204.39999389648401</v>
      </c>
      <c r="G1643" s="2">
        <v>51044000</v>
      </c>
      <c r="H1643" s="3">
        <f t="shared" si="25"/>
        <v>5.4439486269182158E-3</v>
      </c>
      <c r="J1643" s="3">
        <v>1.2503738543301335E-3</v>
      </c>
      <c r="K1643" s="3">
        <v>0.51618987739704492</v>
      </c>
    </row>
    <row r="1644" spans="1:11" x14ac:dyDescent="0.2">
      <c r="A1644" s="1">
        <v>44046</v>
      </c>
      <c r="B1644">
        <v>205.43313598632801</v>
      </c>
      <c r="C1644">
        <v>216.53999328613199</v>
      </c>
      <c r="D1644">
        <v>217.63999938964801</v>
      </c>
      <c r="E1644">
        <v>210.44000244140599</v>
      </c>
      <c r="F1644">
        <v>211.52000427246</v>
      </c>
      <c r="G1644" s="2">
        <v>78983000</v>
      </c>
      <c r="H1644" s="3">
        <f t="shared" si="25"/>
        <v>5.6241161225679681E-2</v>
      </c>
      <c r="J1644" s="3">
        <v>1.2518391813833851E-3</v>
      </c>
      <c r="K1644" s="3">
        <v>0.51650424394844385</v>
      </c>
    </row>
    <row r="1645" spans="1:11" x14ac:dyDescent="0.2">
      <c r="A1645" s="1">
        <v>44047</v>
      </c>
      <c r="B1645">
        <v>202.349838256835</v>
      </c>
      <c r="C1645">
        <v>213.28999328613199</v>
      </c>
      <c r="D1645">
        <v>214.77000427246</v>
      </c>
      <c r="E1645">
        <v>210.30999755859301</v>
      </c>
      <c r="F1645">
        <v>214.169998168945</v>
      </c>
      <c r="G1645" s="2">
        <v>49280100</v>
      </c>
      <c r="H1645" s="3">
        <f t="shared" si="25"/>
        <v>-1.5008765332279239E-2</v>
      </c>
      <c r="J1645" s="3">
        <v>1.2539548390186894E-3</v>
      </c>
      <c r="K1645" s="3">
        <v>0.51681861049984279</v>
      </c>
    </row>
    <row r="1646" spans="1:11" x14ac:dyDescent="0.2">
      <c r="A1646" s="1">
        <v>44048</v>
      </c>
      <c r="B1646">
        <v>202.01777648925699</v>
      </c>
      <c r="C1646">
        <v>212.94000244140599</v>
      </c>
      <c r="D1646">
        <v>215</v>
      </c>
      <c r="E1646">
        <v>211.57000732421801</v>
      </c>
      <c r="F1646">
        <v>214.89999389648401</v>
      </c>
      <c r="G1646" s="2">
        <v>28806400</v>
      </c>
      <c r="H1646" s="3">
        <f t="shared" si="25"/>
        <v>-1.6410280850165382E-3</v>
      </c>
      <c r="J1646" s="3">
        <v>1.2546977716512142E-3</v>
      </c>
      <c r="K1646" s="3">
        <v>0.51713297705124173</v>
      </c>
    </row>
    <row r="1647" spans="1:11" x14ac:dyDescent="0.2">
      <c r="A1647" s="1">
        <v>44049</v>
      </c>
      <c r="B1647">
        <v>205.25288391113199</v>
      </c>
      <c r="C1647">
        <v>216.350006103515</v>
      </c>
      <c r="D1647">
        <v>216.36999511718699</v>
      </c>
      <c r="E1647">
        <v>211.55000305175699</v>
      </c>
      <c r="F1647">
        <v>212.33999633789</v>
      </c>
      <c r="G1647" s="2">
        <v>32656800</v>
      </c>
      <c r="H1647" s="3">
        <f t="shared" si="25"/>
        <v>1.6013974008109333E-2</v>
      </c>
      <c r="J1647" s="3">
        <v>1.2564831920129915E-3</v>
      </c>
      <c r="K1647" s="3">
        <v>0.51744734360264066</v>
      </c>
    </row>
    <row r="1648" spans="1:11" x14ac:dyDescent="0.2">
      <c r="A1648" s="1">
        <v>44050</v>
      </c>
      <c r="B1648">
        <v>201.58134460449199</v>
      </c>
      <c r="C1648">
        <v>212.47999572753901</v>
      </c>
      <c r="D1648">
        <v>215.69999694824199</v>
      </c>
      <c r="E1648">
        <v>210.92999267578099</v>
      </c>
      <c r="F1648">
        <v>214.850006103515</v>
      </c>
      <c r="G1648" s="2">
        <v>27820400</v>
      </c>
      <c r="H1648" s="3">
        <f t="shared" si="25"/>
        <v>-1.788788170318556E-2</v>
      </c>
      <c r="J1648" s="3">
        <v>1.2693711396742913E-3</v>
      </c>
      <c r="K1648" s="3">
        <v>0.5177617101540396</v>
      </c>
    </row>
    <row r="1649" spans="1:11" x14ac:dyDescent="0.2">
      <c r="A1649" s="1">
        <v>44053</v>
      </c>
      <c r="B1649">
        <v>197.56837463378901</v>
      </c>
      <c r="C1649">
        <v>208.25</v>
      </c>
      <c r="D1649">
        <v>211.88000488281199</v>
      </c>
      <c r="E1649">
        <v>206.350006103515</v>
      </c>
      <c r="F1649">
        <v>211.669998168945</v>
      </c>
      <c r="G1649" s="2">
        <v>36716500</v>
      </c>
      <c r="H1649" s="3">
        <f t="shared" si="25"/>
        <v>-1.9907447182558213E-2</v>
      </c>
      <c r="J1649" s="3">
        <v>1.2751984527592519E-3</v>
      </c>
      <c r="K1649" s="3">
        <v>0.51807607670543854</v>
      </c>
    </row>
    <row r="1650" spans="1:11" x14ac:dyDescent="0.2">
      <c r="A1650" s="1">
        <v>44054</v>
      </c>
      <c r="B1650">
        <v>192.948150634765</v>
      </c>
      <c r="C1650">
        <v>203.38000488281199</v>
      </c>
      <c r="D1650">
        <v>207.64999389648401</v>
      </c>
      <c r="E1650">
        <v>203.13999938964801</v>
      </c>
      <c r="F1650">
        <v>207.16000366210901</v>
      </c>
      <c r="G1650" s="2">
        <v>36446500</v>
      </c>
      <c r="H1650" s="3">
        <f t="shared" si="25"/>
        <v>-2.3385443179294363E-2</v>
      </c>
      <c r="J1650" s="3">
        <v>1.2779605846120479E-3</v>
      </c>
      <c r="K1650" s="3">
        <v>0.51839044325683747</v>
      </c>
    </row>
    <row r="1651" spans="1:11" x14ac:dyDescent="0.2">
      <c r="A1651" s="1">
        <v>44055</v>
      </c>
      <c r="B1651">
        <v>198.46011352539</v>
      </c>
      <c r="C1651">
        <v>209.19000244140599</v>
      </c>
      <c r="D1651">
        <v>210.27999877929599</v>
      </c>
      <c r="E1651">
        <v>204.75</v>
      </c>
      <c r="F1651">
        <v>205.28999328613199</v>
      </c>
      <c r="G1651" s="2">
        <v>28013100</v>
      </c>
      <c r="H1651" s="3">
        <f t="shared" si="25"/>
        <v>2.8567067745876917E-2</v>
      </c>
      <c r="J1651" s="3">
        <v>1.2790915541400771E-3</v>
      </c>
      <c r="K1651" s="3">
        <v>0.51870480980823641</v>
      </c>
    </row>
    <row r="1652" spans="1:11" x14ac:dyDescent="0.2">
      <c r="A1652" s="1">
        <v>44056</v>
      </c>
      <c r="B1652">
        <v>197.99526977539</v>
      </c>
      <c r="C1652">
        <v>208.69999694824199</v>
      </c>
      <c r="D1652">
        <v>211.350006103515</v>
      </c>
      <c r="E1652">
        <v>208.14999389648401</v>
      </c>
      <c r="F1652">
        <v>209.44000244140599</v>
      </c>
      <c r="G1652" s="2">
        <v>22588900</v>
      </c>
      <c r="H1652" s="3">
        <f t="shared" si="25"/>
        <v>-2.3422527667783521E-3</v>
      </c>
      <c r="J1652" s="3">
        <v>1.2856650250294699E-3</v>
      </c>
      <c r="K1652" s="3">
        <v>0.51901917635963535</v>
      </c>
    </row>
    <row r="1653" spans="1:11" x14ac:dyDescent="0.2">
      <c r="A1653" s="1">
        <v>44057</v>
      </c>
      <c r="B1653">
        <v>198.18501281738199</v>
      </c>
      <c r="C1653">
        <v>208.89999389648401</v>
      </c>
      <c r="D1653">
        <v>209.58999633789</v>
      </c>
      <c r="E1653">
        <v>207.509994506835</v>
      </c>
      <c r="F1653">
        <v>208.759994506835</v>
      </c>
      <c r="G1653" s="2">
        <v>17958900</v>
      </c>
      <c r="H1653" s="3">
        <f t="shared" si="25"/>
        <v>9.5832108619187117E-4</v>
      </c>
      <c r="J1653" s="3">
        <v>1.2917137488717145E-3</v>
      </c>
      <c r="K1653" s="3">
        <v>0.51933354291103428</v>
      </c>
    </row>
    <row r="1654" spans="1:11" x14ac:dyDescent="0.2">
      <c r="A1654" s="1">
        <v>44060</v>
      </c>
      <c r="B1654">
        <v>199.49423217773401</v>
      </c>
      <c r="C1654">
        <v>210.27999877929599</v>
      </c>
      <c r="D1654">
        <v>211.19000244140599</v>
      </c>
      <c r="E1654">
        <v>208.919998168945</v>
      </c>
      <c r="F1654">
        <v>209.600006103515</v>
      </c>
      <c r="G1654" s="2">
        <v>20184800</v>
      </c>
      <c r="H1654" s="3">
        <f t="shared" si="25"/>
        <v>6.6060462481005722E-3</v>
      </c>
      <c r="J1654" s="3">
        <v>1.2931709583134943E-3</v>
      </c>
      <c r="K1654" s="3">
        <v>0.51964790946243322</v>
      </c>
    </row>
    <row r="1655" spans="1:11" x14ac:dyDescent="0.2">
      <c r="A1655" s="1">
        <v>44061</v>
      </c>
      <c r="B1655">
        <v>200.64212036132801</v>
      </c>
      <c r="C1655">
        <v>211.49000549316401</v>
      </c>
      <c r="D1655">
        <v>212.36000061035099</v>
      </c>
      <c r="E1655">
        <v>209.21000671386699</v>
      </c>
      <c r="F1655">
        <v>210.52999877929599</v>
      </c>
      <c r="G1655" s="2">
        <v>21336200</v>
      </c>
      <c r="H1655" s="3">
        <f t="shared" si="25"/>
        <v>5.7539918375750787E-3</v>
      </c>
      <c r="J1655" s="3">
        <v>1.295771636022236E-3</v>
      </c>
      <c r="K1655" s="3">
        <v>0.51996227601383216</v>
      </c>
    </row>
    <row r="1656" spans="1:11" x14ac:dyDescent="0.2">
      <c r="A1656" s="1">
        <v>44062</v>
      </c>
      <c r="B1656">
        <v>199.42489624023401</v>
      </c>
      <c r="C1656">
        <v>209.69999694824199</v>
      </c>
      <c r="D1656">
        <v>212.100006103515</v>
      </c>
      <c r="E1656">
        <v>209.25</v>
      </c>
      <c r="F1656">
        <v>211.49000549316401</v>
      </c>
      <c r="G1656" s="2">
        <v>27627600</v>
      </c>
      <c r="H1656" s="3">
        <f t="shared" si="25"/>
        <v>-6.0666430303963903E-3</v>
      </c>
      <c r="J1656" s="3">
        <v>1.3071589681465934E-3</v>
      </c>
      <c r="K1656" s="3">
        <v>0.5202766425652311</v>
      </c>
    </row>
    <row r="1657" spans="1:11" x14ac:dyDescent="0.2">
      <c r="A1657" s="1">
        <v>44063</v>
      </c>
      <c r="B1657">
        <v>204.06576538085901</v>
      </c>
      <c r="C1657">
        <v>214.58000183105401</v>
      </c>
      <c r="D1657">
        <v>215</v>
      </c>
      <c r="E1657">
        <v>208.91000366210901</v>
      </c>
      <c r="F1657">
        <v>209.53999328613199</v>
      </c>
      <c r="G1657" s="2">
        <v>26981500</v>
      </c>
      <c r="H1657" s="3">
        <f t="shared" si="25"/>
        <v>2.327126265636581E-2</v>
      </c>
      <c r="J1657" s="3">
        <v>1.3106217839291556E-3</v>
      </c>
      <c r="K1657" s="3">
        <v>0.52059100911663003</v>
      </c>
    </row>
    <row r="1658" spans="1:11" x14ac:dyDescent="0.2">
      <c r="A1658" s="1">
        <v>44064</v>
      </c>
      <c r="B1658">
        <v>202.58224487304599</v>
      </c>
      <c r="C1658">
        <v>213.02000427246</v>
      </c>
      <c r="D1658">
        <v>216.25</v>
      </c>
      <c r="E1658">
        <v>212.850006103515</v>
      </c>
      <c r="F1658">
        <v>213.86000061035099</v>
      </c>
      <c r="G1658" s="2">
        <v>36249300</v>
      </c>
      <c r="H1658" s="3">
        <f t="shared" si="25"/>
        <v>-7.2698157137932595E-3</v>
      </c>
      <c r="J1658" s="3">
        <v>1.3122145276220909E-3</v>
      </c>
      <c r="K1658" s="3">
        <v>0.52090537566802897</v>
      </c>
    </row>
    <row r="1659" spans="1:11" x14ac:dyDescent="0.2">
      <c r="A1659" s="1">
        <v>44067</v>
      </c>
      <c r="B1659">
        <v>203.21937561035099</v>
      </c>
      <c r="C1659">
        <v>213.69000244140599</v>
      </c>
      <c r="D1659">
        <v>215.52000427246</v>
      </c>
      <c r="E1659">
        <v>212.42999267578099</v>
      </c>
      <c r="F1659">
        <v>214.78999328613199</v>
      </c>
      <c r="G1659" s="2">
        <v>25460100</v>
      </c>
      <c r="H1659" s="3">
        <f t="shared" si="25"/>
        <v>3.145047275511681E-3</v>
      </c>
      <c r="J1659" s="3">
        <v>1.3217264239808735E-3</v>
      </c>
      <c r="K1659" s="3">
        <v>0.52121974221942791</v>
      </c>
    </row>
    <row r="1660" spans="1:11" x14ac:dyDescent="0.2">
      <c r="A1660" s="1">
        <v>44068</v>
      </c>
      <c r="B1660">
        <v>205.86315917968699</v>
      </c>
      <c r="C1660">
        <v>216.47000122070301</v>
      </c>
      <c r="D1660">
        <v>216.61000061035099</v>
      </c>
      <c r="E1660">
        <v>213.100006103515</v>
      </c>
      <c r="F1660">
        <v>213.100006103515</v>
      </c>
      <c r="G1660" s="2">
        <v>23043700</v>
      </c>
      <c r="H1660" s="3">
        <f t="shared" si="25"/>
        <v>1.3009505424350642E-2</v>
      </c>
      <c r="J1660" s="3">
        <v>1.321882610112235E-3</v>
      </c>
      <c r="K1660" s="3">
        <v>0.52153410877082673</v>
      </c>
    </row>
    <row r="1661" spans="1:11" x14ac:dyDescent="0.2">
      <c r="A1661" s="1">
        <v>44069</v>
      </c>
      <c r="B1661">
        <v>210.31382751464801</v>
      </c>
      <c r="C1661">
        <v>221.14999389648401</v>
      </c>
      <c r="D1661">
        <v>222.08999633789</v>
      </c>
      <c r="E1661">
        <v>217.36000061035099</v>
      </c>
      <c r="F1661">
        <v>217.88000488281199</v>
      </c>
      <c r="G1661" s="2">
        <v>39600800</v>
      </c>
      <c r="H1661" s="3">
        <f t="shared" si="25"/>
        <v>2.1619547434790221E-2</v>
      </c>
      <c r="J1661" s="3">
        <v>1.3427565032730904E-3</v>
      </c>
      <c r="K1661" s="3">
        <v>0.52184847532222567</v>
      </c>
    </row>
    <row r="1662" spans="1:11" x14ac:dyDescent="0.2">
      <c r="A1662" s="1">
        <v>44070</v>
      </c>
      <c r="B1662">
        <v>215.47779846191401</v>
      </c>
      <c r="C1662">
        <v>226.58000183105401</v>
      </c>
      <c r="D1662">
        <v>231.14999389648401</v>
      </c>
      <c r="E1662">
        <v>219.39999389648401</v>
      </c>
      <c r="F1662">
        <v>222.88999938964801</v>
      </c>
      <c r="G1662" s="2">
        <v>57602200</v>
      </c>
      <c r="H1662" s="3">
        <f t="shared" si="25"/>
        <v>2.4553644466892344E-2</v>
      </c>
      <c r="J1662" s="3">
        <v>1.3704594303374229E-3</v>
      </c>
      <c r="K1662" s="3">
        <v>0.52216284187362461</v>
      </c>
    </row>
    <row r="1663" spans="1:11" x14ac:dyDescent="0.2">
      <c r="A1663" s="1">
        <v>44071</v>
      </c>
      <c r="B1663">
        <v>217.69364929199199</v>
      </c>
      <c r="C1663">
        <v>228.91000366210901</v>
      </c>
      <c r="D1663">
        <v>230.63999938964801</v>
      </c>
      <c r="E1663">
        <v>226.58000183105401</v>
      </c>
      <c r="F1663">
        <v>228.17999267578099</v>
      </c>
      <c r="G1663" s="2">
        <v>26292900</v>
      </c>
      <c r="H1663" s="3">
        <f t="shared" si="25"/>
        <v>1.0283429874886396E-2</v>
      </c>
      <c r="J1663" s="3">
        <v>1.3804243798616334E-3</v>
      </c>
      <c r="K1663" s="3">
        <v>0.52247720842502354</v>
      </c>
    </row>
    <row r="1664" spans="1:11" x14ac:dyDescent="0.2">
      <c r="A1664" s="1">
        <v>44074</v>
      </c>
      <c r="B1664">
        <v>214.479248046875</v>
      </c>
      <c r="C1664">
        <v>225.52999877929599</v>
      </c>
      <c r="D1664">
        <v>228.69999694824199</v>
      </c>
      <c r="E1664">
        <v>224.30999755859301</v>
      </c>
      <c r="F1664">
        <v>227</v>
      </c>
      <c r="G1664" s="2">
        <v>28774200</v>
      </c>
      <c r="H1664" s="3">
        <f t="shared" si="25"/>
        <v>-1.4765709774130942E-2</v>
      </c>
      <c r="J1664" s="3">
        <v>1.388124780059341E-3</v>
      </c>
      <c r="K1664" s="3">
        <v>0.52279157497642248</v>
      </c>
    </row>
    <row r="1665" spans="1:11" x14ac:dyDescent="0.2">
      <c r="A1665" s="1">
        <v>44075</v>
      </c>
      <c r="B1665">
        <v>216.13400268554599</v>
      </c>
      <c r="C1665">
        <v>227.27000427246</v>
      </c>
      <c r="D1665">
        <v>227.44999694824199</v>
      </c>
      <c r="E1665">
        <v>224.42999267578099</v>
      </c>
      <c r="F1665">
        <v>225.509994506835</v>
      </c>
      <c r="G1665" s="2">
        <v>25725500</v>
      </c>
      <c r="H1665" s="3">
        <f t="shared" si="25"/>
        <v>7.715220254359334E-3</v>
      </c>
      <c r="J1665" s="3">
        <v>1.3892776174126986E-3</v>
      </c>
      <c r="K1665" s="3">
        <v>0.52310594152782142</v>
      </c>
    </row>
    <row r="1666" spans="1:11" x14ac:dyDescent="0.2">
      <c r="A1666" s="1">
        <v>44076</v>
      </c>
      <c r="B1666">
        <v>220.29936218261699</v>
      </c>
      <c r="C1666">
        <v>231.64999389648401</v>
      </c>
      <c r="D1666">
        <v>232.86000061035099</v>
      </c>
      <c r="E1666">
        <v>227.350006103515</v>
      </c>
      <c r="F1666">
        <v>227.97000122070301</v>
      </c>
      <c r="G1666" s="2">
        <v>34080800</v>
      </c>
      <c r="H1666" s="3">
        <f t="shared" ref="H1666:H1729" si="26">B1666/B1665-1</f>
        <v>1.9272115656559619E-2</v>
      </c>
      <c r="J1666" s="3">
        <v>1.4035737011477423E-3</v>
      </c>
      <c r="K1666" s="3">
        <v>0.52342030807922035</v>
      </c>
    </row>
    <row r="1667" spans="1:11" x14ac:dyDescent="0.2">
      <c r="A1667" s="1">
        <v>44077</v>
      </c>
      <c r="B1667">
        <v>206.65251159667901</v>
      </c>
      <c r="C1667">
        <v>217.30000305175699</v>
      </c>
      <c r="D1667">
        <v>229.30999755859301</v>
      </c>
      <c r="E1667">
        <v>214.96000671386699</v>
      </c>
      <c r="F1667">
        <v>229.27000427246</v>
      </c>
      <c r="G1667" s="2">
        <v>58400300</v>
      </c>
      <c r="H1667" s="3">
        <f t="shared" si="26"/>
        <v>-6.1946845650081572E-2</v>
      </c>
      <c r="J1667" s="3">
        <v>1.4158414123763841E-3</v>
      </c>
      <c r="K1667" s="3">
        <v>0.52373467463061929</v>
      </c>
    </row>
    <row r="1668" spans="1:11" x14ac:dyDescent="0.2">
      <c r="A1668" s="1">
        <v>44078</v>
      </c>
      <c r="B1668">
        <v>203.751953125</v>
      </c>
      <c r="C1668">
        <v>214.25</v>
      </c>
      <c r="D1668">
        <v>218.36000061035099</v>
      </c>
      <c r="E1668">
        <v>205.19000244140599</v>
      </c>
      <c r="F1668">
        <v>215.100006103515</v>
      </c>
      <c r="G1668" s="2">
        <v>59664100</v>
      </c>
      <c r="H1668" s="3">
        <f t="shared" si="26"/>
        <v>-1.4035921699030673E-2</v>
      </c>
      <c r="J1668" s="3">
        <v>1.4194189420850822E-3</v>
      </c>
      <c r="K1668" s="3">
        <v>0.52404904118201823</v>
      </c>
    </row>
    <row r="1669" spans="1:11" x14ac:dyDescent="0.2">
      <c r="A1669" s="1">
        <v>44082</v>
      </c>
      <c r="B1669">
        <v>192.72984313964801</v>
      </c>
      <c r="C1669">
        <v>202.66000366210901</v>
      </c>
      <c r="D1669">
        <v>210.02999877929599</v>
      </c>
      <c r="E1669">
        <v>202.19999694824199</v>
      </c>
      <c r="F1669">
        <v>206.5</v>
      </c>
      <c r="G1669" s="2">
        <v>52924300</v>
      </c>
      <c r="H1669" s="3">
        <f t="shared" si="26"/>
        <v>-5.4095726771217878E-2</v>
      </c>
      <c r="J1669" s="3">
        <v>1.4283759661823936E-3</v>
      </c>
      <c r="K1669" s="3">
        <v>0.52436340773341716</v>
      </c>
    </row>
    <row r="1670" spans="1:11" x14ac:dyDescent="0.2">
      <c r="A1670" s="1">
        <v>44083</v>
      </c>
      <c r="B1670">
        <v>200.93698120117099</v>
      </c>
      <c r="C1670">
        <v>211.28999328613199</v>
      </c>
      <c r="D1670">
        <v>214.83999633789</v>
      </c>
      <c r="E1670">
        <v>206.69999694824199</v>
      </c>
      <c r="F1670">
        <v>207.600006103515</v>
      </c>
      <c r="G1670" s="2">
        <v>45679000</v>
      </c>
      <c r="H1670" s="3">
        <f t="shared" si="26"/>
        <v>4.2583638983072492E-2</v>
      </c>
      <c r="J1670" s="3">
        <v>1.429663018571059E-3</v>
      </c>
      <c r="K1670" s="3">
        <v>0.5246777742848161</v>
      </c>
    </row>
    <row r="1671" spans="1:11" x14ac:dyDescent="0.2">
      <c r="A1671" s="1">
        <v>44084</v>
      </c>
      <c r="B1671">
        <v>195.30699157714801</v>
      </c>
      <c r="C1671">
        <v>205.36999511718699</v>
      </c>
      <c r="D1671">
        <v>214.74000549316401</v>
      </c>
      <c r="E1671">
        <v>204.11000061035099</v>
      </c>
      <c r="F1671">
        <v>213.39999389648401</v>
      </c>
      <c r="G1671" s="2">
        <v>35461500</v>
      </c>
      <c r="H1671" s="3">
        <f t="shared" si="26"/>
        <v>-2.8018683222808205E-2</v>
      </c>
      <c r="J1671" s="3">
        <v>1.4304944985981116E-3</v>
      </c>
      <c r="K1671" s="3">
        <v>0.52499214083621504</v>
      </c>
    </row>
    <row r="1672" spans="1:11" x14ac:dyDescent="0.2">
      <c r="A1672" s="1">
        <v>44085</v>
      </c>
      <c r="B1672">
        <v>194.03271484375</v>
      </c>
      <c r="C1672">
        <v>204.02999877929599</v>
      </c>
      <c r="D1672">
        <v>208.63000488281199</v>
      </c>
      <c r="E1672">
        <v>201.24000549316401</v>
      </c>
      <c r="F1672">
        <v>207.19999694824199</v>
      </c>
      <c r="G1672" s="2">
        <v>33620100</v>
      </c>
      <c r="H1672" s="3">
        <f t="shared" si="26"/>
        <v>-6.5244808857478631E-3</v>
      </c>
      <c r="J1672" s="3">
        <v>1.4373811936965186E-3</v>
      </c>
      <c r="K1672" s="3">
        <v>0.52530650738761397</v>
      </c>
    </row>
    <row r="1673" spans="1:11" x14ac:dyDescent="0.2">
      <c r="A1673" s="1">
        <v>44088</v>
      </c>
      <c r="B1673">
        <v>195.34510803222599</v>
      </c>
      <c r="C1673">
        <v>205.41000366210901</v>
      </c>
      <c r="D1673">
        <v>209.19999694824199</v>
      </c>
      <c r="E1673">
        <v>204.02999877929599</v>
      </c>
      <c r="F1673">
        <v>204.24000549316401</v>
      </c>
      <c r="G1673" s="2">
        <v>30375800</v>
      </c>
      <c r="H1673" s="3">
        <f t="shared" si="26"/>
        <v>6.7637727459146646E-3</v>
      </c>
      <c r="J1673" s="3">
        <v>1.4418135770946083E-3</v>
      </c>
      <c r="K1673" s="3">
        <v>0.52562087393901291</v>
      </c>
    </row>
    <row r="1674" spans="1:11" x14ac:dyDescent="0.2">
      <c r="A1674" s="1">
        <v>44089</v>
      </c>
      <c r="B1674">
        <v>198.54995727539</v>
      </c>
      <c r="C1674">
        <v>208.77999877929599</v>
      </c>
      <c r="D1674">
        <v>209.77999877929599</v>
      </c>
      <c r="E1674">
        <v>206.92999267578099</v>
      </c>
      <c r="F1674">
        <v>208.419998168945</v>
      </c>
      <c r="G1674" s="2">
        <v>21823900</v>
      </c>
      <c r="H1674" s="3">
        <f t="shared" si="26"/>
        <v>1.6406089077159347E-2</v>
      </c>
      <c r="J1674" s="3">
        <v>1.4485257307383925E-3</v>
      </c>
      <c r="K1674" s="3">
        <v>0.52593524049041185</v>
      </c>
    </row>
    <row r="1675" spans="1:11" x14ac:dyDescent="0.2">
      <c r="A1675" s="1">
        <v>44090</v>
      </c>
      <c r="B1675">
        <v>195.00274658203099</v>
      </c>
      <c r="C1675">
        <v>205.05000305175699</v>
      </c>
      <c r="D1675">
        <v>210.64999389648401</v>
      </c>
      <c r="E1675">
        <v>204.63999938964801</v>
      </c>
      <c r="F1675">
        <v>210.61999511718699</v>
      </c>
      <c r="G1675" s="2">
        <v>26328100</v>
      </c>
      <c r="H1675" s="3">
        <f t="shared" si="26"/>
        <v>-1.7865582758292975E-2</v>
      </c>
      <c r="J1675" s="3">
        <v>1.4503609444749266E-3</v>
      </c>
      <c r="K1675" s="3">
        <v>0.52624960704181079</v>
      </c>
    </row>
    <row r="1676" spans="1:11" x14ac:dyDescent="0.2">
      <c r="A1676" s="1">
        <v>44091</v>
      </c>
      <c r="B1676">
        <v>192.96755981445301</v>
      </c>
      <c r="C1676">
        <v>202.91000366210901</v>
      </c>
      <c r="D1676">
        <v>204.33000183105401</v>
      </c>
      <c r="E1676">
        <v>199.96000671386699</v>
      </c>
      <c r="F1676">
        <v>200.05000305175699</v>
      </c>
      <c r="G1676" s="2">
        <v>34011300</v>
      </c>
      <c r="H1676" s="3">
        <f t="shared" si="26"/>
        <v>-1.0436708216937096E-2</v>
      </c>
      <c r="J1676" s="3">
        <v>1.4552101502840475E-3</v>
      </c>
      <c r="K1676" s="3">
        <v>0.52656397359320972</v>
      </c>
    </row>
    <row r="1677" spans="1:11" x14ac:dyDescent="0.2">
      <c r="A1677" s="1">
        <v>44092</v>
      </c>
      <c r="B1677">
        <v>190.57107543945301</v>
      </c>
      <c r="C1677">
        <v>200.38999938964801</v>
      </c>
      <c r="D1677">
        <v>203.64999389648401</v>
      </c>
      <c r="E1677">
        <v>196.25</v>
      </c>
      <c r="F1677">
        <v>202.80000305175699</v>
      </c>
      <c r="G1677" s="2">
        <v>55225300</v>
      </c>
      <c r="H1677" s="3">
        <f t="shared" si="26"/>
        <v>-1.2419104938178882E-2</v>
      </c>
      <c r="J1677" s="3">
        <v>1.4640755647798986E-3</v>
      </c>
      <c r="K1677" s="3">
        <v>0.52687834014460866</v>
      </c>
    </row>
    <row r="1678" spans="1:11" x14ac:dyDescent="0.2">
      <c r="A1678" s="1">
        <v>44095</v>
      </c>
      <c r="B1678">
        <v>192.61570739746</v>
      </c>
      <c r="C1678">
        <v>202.53999328613199</v>
      </c>
      <c r="D1678">
        <v>202.71000671386699</v>
      </c>
      <c r="E1678">
        <v>196.38000488281199</v>
      </c>
      <c r="F1678">
        <v>197.19000244140599</v>
      </c>
      <c r="G1678" s="2">
        <v>39839700</v>
      </c>
      <c r="H1678" s="3">
        <f t="shared" si="26"/>
        <v>1.0728973183848023E-2</v>
      </c>
      <c r="J1678" s="3">
        <v>1.466449609368814E-3</v>
      </c>
      <c r="K1678" s="3">
        <v>0.5271927066960076</v>
      </c>
    </row>
    <row r="1679" spans="1:11" x14ac:dyDescent="0.2">
      <c r="A1679" s="1">
        <v>44096</v>
      </c>
      <c r="B1679">
        <v>197.25662231445301</v>
      </c>
      <c r="C1679">
        <v>207.419998168945</v>
      </c>
      <c r="D1679">
        <v>208.100006103515</v>
      </c>
      <c r="E1679">
        <v>202.08000183105401</v>
      </c>
      <c r="F1679">
        <v>205.05999755859301</v>
      </c>
      <c r="G1679" s="2">
        <v>33517100</v>
      </c>
      <c r="H1679" s="3">
        <f t="shared" si="26"/>
        <v>2.4094166460768118E-2</v>
      </c>
      <c r="J1679" s="3">
        <v>1.4746266833782773E-3</v>
      </c>
      <c r="K1679" s="3">
        <v>0.52750707324740642</v>
      </c>
    </row>
    <row r="1680" spans="1:11" x14ac:dyDescent="0.2">
      <c r="A1680" s="1">
        <v>44097</v>
      </c>
      <c r="B1680">
        <v>190.76127624511699</v>
      </c>
      <c r="C1680">
        <v>200.58999633789</v>
      </c>
      <c r="D1680">
        <v>208.100006103515</v>
      </c>
      <c r="E1680">
        <v>200.02999877929599</v>
      </c>
      <c r="F1680">
        <v>207.89999389648401</v>
      </c>
      <c r="G1680" s="2">
        <v>30803800</v>
      </c>
      <c r="H1680" s="3">
        <f t="shared" si="26"/>
        <v>-3.2928405612570932E-2</v>
      </c>
      <c r="J1680" s="3">
        <v>1.4757105500118328E-3</v>
      </c>
      <c r="K1680" s="3">
        <v>0.52782143979880536</v>
      </c>
    </row>
    <row r="1681" spans="1:11" x14ac:dyDescent="0.2">
      <c r="A1681" s="1">
        <v>44098</v>
      </c>
      <c r="B1681">
        <v>193.23384094238199</v>
      </c>
      <c r="C1681">
        <v>203.19000244140599</v>
      </c>
      <c r="D1681">
        <v>205.57000732421801</v>
      </c>
      <c r="E1681">
        <v>199.19999694824199</v>
      </c>
      <c r="F1681">
        <v>199.850006103515</v>
      </c>
      <c r="G1681" s="2">
        <v>31202500</v>
      </c>
      <c r="H1681" s="3">
        <f t="shared" si="26"/>
        <v>1.2961565082464155E-2</v>
      </c>
      <c r="J1681" s="3">
        <v>1.482744167212724E-3</v>
      </c>
      <c r="K1681" s="3">
        <v>0.5281358063502043</v>
      </c>
    </row>
    <row r="1682" spans="1:11" x14ac:dyDescent="0.2">
      <c r="A1682" s="1">
        <v>44099</v>
      </c>
      <c r="B1682">
        <v>197.63700866699199</v>
      </c>
      <c r="C1682">
        <v>207.82000732421801</v>
      </c>
      <c r="D1682">
        <v>209.03999328613199</v>
      </c>
      <c r="E1682">
        <v>202.53999328613199</v>
      </c>
      <c r="F1682">
        <v>203.55000305175699</v>
      </c>
      <c r="G1682" s="2">
        <v>29437300</v>
      </c>
      <c r="H1682" s="3">
        <f t="shared" si="26"/>
        <v>2.2786731884726796E-2</v>
      </c>
      <c r="J1682" s="3">
        <v>1.4838207755631938E-3</v>
      </c>
      <c r="K1682" s="3">
        <v>0.52845017290160323</v>
      </c>
    </row>
    <row r="1683" spans="1:11" x14ac:dyDescent="0.2">
      <c r="A1683" s="1">
        <v>44102</v>
      </c>
      <c r="B1683">
        <v>199.17762756347599</v>
      </c>
      <c r="C1683">
        <v>209.44000244140599</v>
      </c>
      <c r="D1683">
        <v>212.57000732421801</v>
      </c>
      <c r="E1683">
        <v>208.05999755859301</v>
      </c>
      <c r="F1683">
        <v>210.88000488281199</v>
      </c>
      <c r="G1683" s="2">
        <v>32004900</v>
      </c>
      <c r="H1683" s="3">
        <f t="shared" si="26"/>
        <v>7.795194366050584E-3</v>
      </c>
      <c r="J1683" s="3">
        <v>1.5082944654147834E-3</v>
      </c>
      <c r="K1683" s="3">
        <v>0.52876453945300217</v>
      </c>
    </row>
    <row r="1684" spans="1:11" x14ac:dyDescent="0.2">
      <c r="A1684" s="1">
        <v>44103</v>
      </c>
      <c r="B1684">
        <v>197.10441589355401</v>
      </c>
      <c r="C1684">
        <v>207.259994506835</v>
      </c>
      <c r="D1684">
        <v>210.07000732421801</v>
      </c>
      <c r="E1684">
        <v>206.80999755859301</v>
      </c>
      <c r="F1684">
        <v>209.350006103515</v>
      </c>
      <c r="G1684" s="2">
        <v>24221900</v>
      </c>
      <c r="H1684" s="3">
        <f t="shared" si="26"/>
        <v>-1.0408858139759114E-2</v>
      </c>
      <c r="J1684" s="3">
        <v>1.5260593574510928E-3</v>
      </c>
      <c r="K1684" s="3">
        <v>0.52907890600440111</v>
      </c>
    </row>
    <row r="1685" spans="1:11" x14ac:dyDescent="0.2">
      <c r="A1685" s="1">
        <v>44104</v>
      </c>
      <c r="B1685">
        <v>200.024002075195</v>
      </c>
      <c r="C1685">
        <v>210.33000183105401</v>
      </c>
      <c r="D1685">
        <v>211.97999572753901</v>
      </c>
      <c r="E1685">
        <v>206.53999328613199</v>
      </c>
      <c r="F1685">
        <v>207.72999572753901</v>
      </c>
      <c r="G1685" s="2">
        <v>33829100</v>
      </c>
      <c r="H1685" s="3">
        <f t="shared" si="26"/>
        <v>1.4812383418226993E-2</v>
      </c>
      <c r="J1685" s="3">
        <v>1.5314574217988319E-3</v>
      </c>
      <c r="K1685" s="3">
        <v>0.52939327255580004</v>
      </c>
    </row>
    <row r="1686" spans="1:11" x14ac:dyDescent="0.2">
      <c r="A1686" s="1">
        <v>44105</v>
      </c>
      <c r="B1686">
        <v>202.04965209960901</v>
      </c>
      <c r="C1686">
        <v>212.46000671386699</v>
      </c>
      <c r="D1686">
        <v>213.99000549316401</v>
      </c>
      <c r="E1686">
        <v>211.32000732421801</v>
      </c>
      <c r="F1686">
        <v>213.49000549316401</v>
      </c>
      <c r="G1686" s="2">
        <v>27158400</v>
      </c>
      <c r="H1686" s="3">
        <f t="shared" si="26"/>
        <v>1.012703477281951E-2</v>
      </c>
      <c r="J1686" s="3">
        <v>1.5495217854037957E-3</v>
      </c>
      <c r="K1686" s="3">
        <v>0.52970763910719898</v>
      </c>
    </row>
    <row r="1687" spans="1:11" x14ac:dyDescent="0.2">
      <c r="A1687" s="1">
        <v>44106</v>
      </c>
      <c r="B1687">
        <v>196.08683776855401</v>
      </c>
      <c r="C1687">
        <v>206.19000244140599</v>
      </c>
      <c r="D1687">
        <v>210.99000549316401</v>
      </c>
      <c r="E1687">
        <v>205.53999328613199</v>
      </c>
      <c r="F1687">
        <v>208</v>
      </c>
      <c r="G1687" s="2">
        <v>33154800</v>
      </c>
      <c r="H1687" s="3">
        <f t="shared" si="26"/>
        <v>-2.9511628795655498E-2</v>
      </c>
      <c r="J1687" s="3">
        <v>1.5643374760019313E-3</v>
      </c>
      <c r="K1687" s="3">
        <v>0.53002200565859792</v>
      </c>
    </row>
    <row r="1688" spans="1:11" x14ac:dyDescent="0.2">
      <c r="A1688" s="1">
        <v>44109</v>
      </c>
      <c r="B1688">
        <v>200.07157897949199</v>
      </c>
      <c r="C1688">
        <v>210.38000488281199</v>
      </c>
      <c r="D1688">
        <v>210.41000366210901</v>
      </c>
      <c r="E1688">
        <v>206.97999572753901</v>
      </c>
      <c r="F1688">
        <v>207.22000122070301</v>
      </c>
      <c r="G1688" s="2">
        <v>21331600</v>
      </c>
      <c r="H1688" s="3">
        <f t="shared" si="26"/>
        <v>2.0321308948034966E-2</v>
      </c>
      <c r="J1688" s="3">
        <v>1.5774940001840321E-3</v>
      </c>
      <c r="K1688" s="3">
        <v>0.53033637220999685</v>
      </c>
    </row>
    <row r="1689" spans="1:11" x14ac:dyDescent="0.2">
      <c r="A1689" s="1">
        <v>44110</v>
      </c>
      <c r="B1689">
        <v>195.82058715820301</v>
      </c>
      <c r="C1689">
        <v>205.91000366210901</v>
      </c>
      <c r="D1689">
        <v>210.17999267578099</v>
      </c>
      <c r="E1689">
        <v>204.82000732421801</v>
      </c>
      <c r="F1689">
        <v>208.82000732421801</v>
      </c>
      <c r="G1689" s="2">
        <v>28554300</v>
      </c>
      <c r="H1689" s="3">
        <f t="shared" si="26"/>
        <v>-2.124735478658224E-2</v>
      </c>
      <c r="J1689" s="3">
        <v>1.5856538880691939E-3</v>
      </c>
      <c r="K1689" s="3">
        <v>0.53065073876139579</v>
      </c>
    </row>
    <row r="1690" spans="1:11" x14ac:dyDescent="0.2">
      <c r="A1690" s="1">
        <v>44111</v>
      </c>
      <c r="B1690">
        <v>199.54849243164</v>
      </c>
      <c r="C1690">
        <v>209.83000183105401</v>
      </c>
      <c r="D1690">
        <v>210.11000061035099</v>
      </c>
      <c r="E1690">
        <v>206.72000122070301</v>
      </c>
      <c r="F1690">
        <v>207.05999755859301</v>
      </c>
      <c r="G1690" s="2">
        <v>25681100</v>
      </c>
      <c r="H1690" s="3">
        <f t="shared" si="26"/>
        <v>1.9037351115821277E-2</v>
      </c>
      <c r="J1690" s="3">
        <v>1.5913003223060329E-3</v>
      </c>
      <c r="K1690" s="3">
        <v>0.53096510531279473</v>
      </c>
    </row>
    <row r="1691" spans="1:11" x14ac:dyDescent="0.2">
      <c r="A1691" s="1">
        <v>44112</v>
      </c>
      <c r="B1691">
        <v>200.26176452636699</v>
      </c>
      <c r="C1691">
        <v>210.58000183105401</v>
      </c>
      <c r="D1691">
        <v>211.19000244140599</v>
      </c>
      <c r="E1691">
        <v>208.32000732421801</v>
      </c>
      <c r="F1691">
        <v>210.509994506835</v>
      </c>
      <c r="G1691" s="2">
        <v>19925800</v>
      </c>
      <c r="H1691" s="3">
        <f t="shared" si="26"/>
        <v>3.5744298843618516E-3</v>
      </c>
      <c r="J1691" s="3">
        <v>1.606276498096415E-3</v>
      </c>
      <c r="K1691" s="3">
        <v>0.53127947186419366</v>
      </c>
    </row>
    <row r="1692" spans="1:11" x14ac:dyDescent="0.2">
      <c r="A1692" s="1">
        <v>44113</v>
      </c>
      <c r="B1692">
        <v>205.23547363281199</v>
      </c>
      <c r="C1692">
        <v>215.80999755859301</v>
      </c>
      <c r="D1692">
        <v>215.86000061035099</v>
      </c>
      <c r="E1692">
        <v>211.22999572753901</v>
      </c>
      <c r="F1692">
        <v>211.22999572753901</v>
      </c>
      <c r="G1692" s="2">
        <v>26458000</v>
      </c>
      <c r="H1692" s="3">
        <f t="shared" si="26"/>
        <v>2.4836039561561662E-2</v>
      </c>
      <c r="J1692" s="3">
        <v>1.6068515300100561E-3</v>
      </c>
      <c r="K1692" s="3">
        <v>0.5315938384155926</v>
      </c>
    </row>
    <row r="1693" spans="1:11" x14ac:dyDescent="0.2">
      <c r="A1693" s="1">
        <v>44116</v>
      </c>
      <c r="B1693">
        <v>210.55160522460901</v>
      </c>
      <c r="C1693">
        <v>221.39999389648401</v>
      </c>
      <c r="D1693">
        <v>223.86000061035099</v>
      </c>
      <c r="E1693">
        <v>216.80999755859301</v>
      </c>
      <c r="F1693">
        <v>218.78999328613199</v>
      </c>
      <c r="G1693" s="2">
        <v>40461400</v>
      </c>
      <c r="H1693" s="3">
        <f t="shared" si="26"/>
        <v>2.5902596162825864E-2</v>
      </c>
      <c r="J1693" s="3">
        <v>1.6100891203996159E-3</v>
      </c>
      <c r="K1693" s="3">
        <v>0.53190820496699154</v>
      </c>
    </row>
    <row r="1694" spans="1:11" x14ac:dyDescent="0.2">
      <c r="A1694" s="1">
        <v>44117</v>
      </c>
      <c r="B1694">
        <v>211.94006347656199</v>
      </c>
      <c r="C1694">
        <v>222.86000061035099</v>
      </c>
      <c r="D1694">
        <v>225.21000671386699</v>
      </c>
      <c r="E1694">
        <v>220.42999267578099</v>
      </c>
      <c r="F1694">
        <v>222.72000122070301</v>
      </c>
      <c r="G1694" s="2">
        <v>28950800</v>
      </c>
      <c r="H1694" s="3">
        <f t="shared" si="26"/>
        <v>6.5943845475404661E-3</v>
      </c>
      <c r="J1694" s="3">
        <v>1.6105034695819143E-3</v>
      </c>
      <c r="K1694" s="3">
        <v>0.53222257151839047</v>
      </c>
    </row>
    <row r="1695" spans="1:11" x14ac:dyDescent="0.2">
      <c r="A1695" s="1">
        <v>44118</v>
      </c>
      <c r="B1695">
        <v>210.0380859375</v>
      </c>
      <c r="C1695">
        <v>220.86000061035099</v>
      </c>
      <c r="D1695">
        <v>224.22000122070301</v>
      </c>
      <c r="E1695">
        <v>219.13000488281199</v>
      </c>
      <c r="F1695">
        <v>223</v>
      </c>
      <c r="G1695" s="2">
        <v>23421700</v>
      </c>
      <c r="H1695" s="3">
        <f t="shared" si="26"/>
        <v>-8.97412932629571E-3</v>
      </c>
      <c r="J1695" s="3">
        <v>1.6319223880194578E-3</v>
      </c>
      <c r="K1695" s="3">
        <v>0.53253693806978941</v>
      </c>
    </row>
    <row r="1696" spans="1:11" x14ac:dyDescent="0.2">
      <c r="A1696" s="1">
        <v>44119</v>
      </c>
      <c r="B1696">
        <v>208.89685058593699</v>
      </c>
      <c r="C1696">
        <v>219.66000366210901</v>
      </c>
      <c r="D1696">
        <v>220.36000061035099</v>
      </c>
      <c r="E1696">
        <v>216.009994506835</v>
      </c>
      <c r="F1696">
        <v>217.100006103515</v>
      </c>
      <c r="G1696" s="2">
        <v>22733100</v>
      </c>
      <c r="H1696" s="3">
        <f t="shared" si="26"/>
        <v>-5.4334686324584158E-3</v>
      </c>
      <c r="J1696" s="3">
        <v>1.6367848256517714E-3</v>
      </c>
      <c r="K1696" s="3">
        <v>0.53285130462118835</v>
      </c>
    </row>
    <row r="1697" spans="1:11" x14ac:dyDescent="0.2">
      <c r="A1697" s="1">
        <v>44120</v>
      </c>
      <c r="B1697">
        <v>208.89685058593699</v>
      </c>
      <c r="C1697">
        <v>219.66000366210901</v>
      </c>
      <c r="D1697">
        <v>222.28999328613199</v>
      </c>
      <c r="E1697">
        <v>219.32000732421801</v>
      </c>
      <c r="F1697">
        <v>220.14999389648401</v>
      </c>
      <c r="G1697" s="2">
        <v>26057900</v>
      </c>
      <c r="H1697" s="3">
        <f t="shared" si="26"/>
        <v>0</v>
      </c>
      <c r="J1697" s="3">
        <v>1.642391548208888E-3</v>
      </c>
      <c r="K1697" s="3">
        <v>0.53316567117258729</v>
      </c>
    </row>
    <row r="1698" spans="1:11" x14ac:dyDescent="0.2">
      <c r="A1698" s="1">
        <v>44123</v>
      </c>
      <c r="B1698">
        <v>203.72341918945301</v>
      </c>
      <c r="C1698">
        <v>214.22000122070301</v>
      </c>
      <c r="D1698">
        <v>222.30000305175699</v>
      </c>
      <c r="E1698">
        <v>213.72000122070301</v>
      </c>
      <c r="F1698">
        <v>220.419998168945</v>
      </c>
      <c r="G1698" s="2">
        <v>27625800</v>
      </c>
      <c r="H1698" s="3">
        <f t="shared" si="26"/>
        <v>-2.4765482973883812E-2</v>
      </c>
      <c r="J1698" s="3">
        <v>1.6438774744595985E-3</v>
      </c>
      <c r="K1698" s="3">
        <v>0.53348003772398622</v>
      </c>
    </row>
    <row r="1699" spans="1:11" x14ac:dyDescent="0.2">
      <c r="A1699" s="1">
        <v>44124</v>
      </c>
      <c r="B1699">
        <v>204.13232421875</v>
      </c>
      <c r="C1699">
        <v>214.64999389648401</v>
      </c>
      <c r="D1699">
        <v>217.36999511718699</v>
      </c>
      <c r="E1699">
        <v>213.08999633789</v>
      </c>
      <c r="F1699">
        <v>215.80000305175699</v>
      </c>
      <c r="G1699" s="2">
        <v>22753500</v>
      </c>
      <c r="H1699" s="3">
        <f t="shared" si="26"/>
        <v>2.0071576990210449E-3</v>
      </c>
      <c r="J1699" s="3">
        <v>1.6535355860129997E-3</v>
      </c>
      <c r="K1699" s="3">
        <v>0.53379440427538505</v>
      </c>
    </row>
    <row r="1700" spans="1:11" x14ac:dyDescent="0.2">
      <c r="A1700" s="1">
        <v>44125</v>
      </c>
      <c r="B1700">
        <v>204.27499389648401</v>
      </c>
      <c r="C1700">
        <v>214.80000305175699</v>
      </c>
      <c r="D1700">
        <v>216.919998168945</v>
      </c>
      <c r="E1700">
        <v>213.11999511718699</v>
      </c>
      <c r="F1700">
        <v>213.11999511718699</v>
      </c>
      <c r="G1700" s="2">
        <v>22724900</v>
      </c>
      <c r="H1700" s="3">
        <f t="shared" si="26"/>
        <v>6.9890782011139407E-4</v>
      </c>
      <c r="J1700" s="3">
        <v>1.6603970178632466E-3</v>
      </c>
      <c r="K1700" s="3">
        <v>0.53410877082678399</v>
      </c>
    </row>
    <row r="1701" spans="1:11" x14ac:dyDescent="0.2">
      <c r="A1701" s="1">
        <v>44126</v>
      </c>
      <c r="B1701">
        <v>204.36061096191401</v>
      </c>
      <c r="C1701">
        <v>214.88999938964801</v>
      </c>
      <c r="D1701">
        <v>216.05999755859301</v>
      </c>
      <c r="E1701">
        <v>211.69999694824199</v>
      </c>
      <c r="F1701">
        <v>213.92999267578099</v>
      </c>
      <c r="G1701" s="2">
        <v>22351500</v>
      </c>
      <c r="H1701" s="3">
        <f t="shared" si="26"/>
        <v>4.1912651077291585E-4</v>
      </c>
      <c r="J1701" s="3">
        <v>1.6614000692298792E-3</v>
      </c>
      <c r="K1701" s="3">
        <v>0.53442313737818292</v>
      </c>
    </row>
    <row r="1702" spans="1:11" x14ac:dyDescent="0.2">
      <c r="A1702" s="1">
        <v>44127</v>
      </c>
      <c r="B1702">
        <v>205.63494873046801</v>
      </c>
      <c r="C1702">
        <v>216.22999572753901</v>
      </c>
      <c r="D1702">
        <v>216.27999877929599</v>
      </c>
      <c r="E1702">
        <v>213.16000366210901</v>
      </c>
      <c r="F1702">
        <v>215.02999877929599</v>
      </c>
      <c r="G1702" s="2">
        <v>18879600</v>
      </c>
      <c r="H1702" s="3">
        <f t="shared" si="26"/>
        <v>6.2357308610292428E-3</v>
      </c>
      <c r="J1702" s="3">
        <v>1.6658357240868504E-3</v>
      </c>
      <c r="K1702" s="3">
        <v>0.53473750392958186</v>
      </c>
    </row>
    <row r="1703" spans="1:11" x14ac:dyDescent="0.2">
      <c r="A1703" s="1">
        <v>44130</v>
      </c>
      <c r="B1703">
        <v>199.78627014160099</v>
      </c>
      <c r="C1703">
        <v>210.08000183105401</v>
      </c>
      <c r="D1703">
        <v>216.33999633789</v>
      </c>
      <c r="E1703">
        <v>208.100006103515</v>
      </c>
      <c r="F1703">
        <v>213.850006103515</v>
      </c>
      <c r="G1703" s="2">
        <v>37111600</v>
      </c>
      <c r="H1703" s="3">
        <f t="shared" si="26"/>
        <v>-2.8442045600590271E-2</v>
      </c>
      <c r="J1703" s="3">
        <v>1.6709821221037036E-3</v>
      </c>
      <c r="K1703" s="3">
        <v>0.5350518704809808</v>
      </c>
    </row>
    <row r="1704" spans="1:11" x14ac:dyDescent="0.2">
      <c r="A1704" s="1">
        <v>44131</v>
      </c>
      <c r="B1704">
        <v>202.80097961425699</v>
      </c>
      <c r="C1704">
        <v>213.25</v>
      </c>
      <c r="D1704">
        <v>214.669998168945</v>
      </c>
      <c r="E1704">
        <v>210.33000183105401</v>
      </c>
      <c r="F1704">
        <v>211.58999633789</v>
      </c>
      <c r="G1704" s="2">
        <v>36700300</v>
      </c>
      <c r="H1704" s="3">
        <f t="shared" si="26"/>
        <v>1.5089672931574816E-2</v>
      </c>
      <c r="J1704" s="3">
        <v>1.6716167224335443E-3</v>
      </c>
      <c r="K1704" s="3">
        <v>0.53536623703237973</v>
      </c>
    </row>
    <row r="1705" spans="1:11" x14ac:dyDescent="0.2">
      <c r="A1705" s="1">
        <v>44132</v>
      </c>
      <c r="B1705">
        <v>192.74884033203099</v>
      </c>
      <c r="C1705">
        <v>202.67999267578099</v>
      </c>
      <c r="D1705">
        <v>208.83999633789</v>
      </c>
      <c r="E1705">
        <v>202.100006103515</v>
      </c>
      <c r="F1705">
        <v>207.669998168945</v>
      </c>
      <c r="G1705" s="2">
        <v>51195600</v>
      </c>
      <c r="H1705" s="3">
        <f t="shared" si="26"/>
        <v>-4.9566522318313933E-2</v>
      </c>
      <c r="J1705" s="3">
        <v>1.6833785981216209E-3</v>
      </c>
      <c r="K1705" s="3">
        <v>0.53568060358377867</v>
      </c>
    </row>
    <row r="1706" spans="1:11" x14ac:dyDescent="0.2">
      <c r="A1706" s="1">
        <v>44133</v>
      </c>
      <c r="B1706">
        <v>194.68893432617099</v>
      </c>
      <c r="C1706">
        <v>204.72000122070301</v>
      </c>
      <c r="D1706">
        <v>207.36000061035099</v>
      </c>
      <c r="E1706">
        <v>203.36999511718699</v>
      </c>
      <c r="F1706">
        <v>204.07000732421801</v>
      </c>
      <c r="G1706" s="2">
        <v>31432600</v>
      </c>
      <c r="H1706" s="3">
        <f t="shared" si="26"/>
        <v>1.0065399048824197E-2</v>
      </c>
      <c r="J1706" s="3">
        <v>1.693316000152878E-3</v>
      </c>
      <c r="K1706" s="3">
        <v>0.53599497013517761</v>
      </c>
    </row>
    <row r="1707" spans="1:11" x14ac:dyDescent="0.2">
      <c r="A1707" s="1">
        <v>44134</v>
      </c>
      <c r="B1707">
        <v>192.54914855957</v>
      </c>
      <c r="C1707">
        <v>202.47000122070301</v>
      </c>
      <c r="D1707">
        <v>204.28999328613199</v>
      </c>
      <c r="E1707">
        <v>199.61999511718699</v>
      </c>
      <c r="F1707">
        <v>203.5</v>
      </c>
      <c r="G1707" s="2">
        <v>36953700</v>
      </c>
      <c r="H1707" s="3">
        <f t="shared" si="26"/>
        <v>-1.0990792948797568E-2</v>
      </c>
      <c r="J1707" s="3">
        <v>1.6955983488224913E-3</v>
      </c>
      <c r="K1707" s="3">
        <v>0.53630933668657654</v>
      </c>
    </row>
    <row r="1708" spans="1:11" x14ac:dyDescent="0.2">
      <c r="A1708" s="1">
        <v>44137</v>
      </c>
      <c r="B1708">
        <v>192.416015625</v>
      </c>
      <c r="C1708">
        <v>202.33000183105401</v>
      </c>
      <c r="D1708">
        <v>205.27999877929599</v>
      </c>
      <c r="E1708">
        <v>200.11999511718699</v>
      </c>
      <c r="F1708">
        <v>204.28999328613199</v>
      </c>
      <c r="G1708" s="2">
        <v>30842200</v>
      </c>
      <c r="H1708" s="3">
        <f t="shared" si="26"/>
        <v>-6.9142312789205462E-4</v>
      </c>
      <c r="J1708" s="3">
        <v>1.6987120927214328E-3</v>
      </c>
      <c r="K1708" s="3">
        <v>0.53662370323797548</v>
      </c>
    </row>
    <row r="1709" spans="1:11" x14ac:dyDescent="0.2">
      <c r="A1709" s="1">
        <v>44138</v>
      </c>
      <c r="B1709">
        <v>196.31510925292901</v>
      </c>
      <c r="C1709">
        <v>206.42999267578099</v>
      </c>
      <c r="D1709">
        <v>208.11999511718699</v>
      </c>
      <c r="E1709">
        <v>203.11999511718699</v>
      </c>
      <c r="F1709">
        <v>203.88999938964801</v>
      </c>
      <c r="G1709" s="2">
        <v>27512000</v>
      </c>
      <c r="H1709" s="3">
        <f t="shared" si="26"/>
        <v>2.0263872605739586E-2</v>
      </c>
      <c r="J1709" s="3">
        <v>1.7039233566611411E-3</v>
      </c>
      <c r="K1709" s="3">
        <v>0.53693806978937442</v>
      </c>
    </row>
    <row r="1710" spans="1:11" x14ac:dyDescent="0.2">
      <c r="A1710" s="1">
        <v>44139</v>
      </c>
      <c r="B1710">
        <v>205.78707885742099</v>
      </c>
      <c r="C1710">
        <v>216.38999938964801</v>
      </c>
      <c r="D1710">
        <v>218.32000732421801</v>
      </c>
      <c r="E1710">
        <v>212.419998168945</v>
      </c>
      <c r="F1710">
        <v>214.02000427246</v>
      </c>
      <c r="G1710" s="2">
        <v>42311800</v>
      </c>
      <c r="H1710" s="3">
        <f t="shared" si="26"/>
        <v>4.8248805914823834E-2</v>
      </c>
      <c r="J1710" s="3">
        <v>1.7109423354382258E-3</v>
      </c>
      <c r="K1710" s="3">
        <v>0.53725243634077335</v>
      </c>
    </row>
    <row r="1711" spans="1:11" x14ac:dyDescent="0.2">
      <c r="A1711" s="1">
        <v>44140</v>
      </c>
      <c r="B1711">
        <v>212.34895324707</v>
      </c>
      <c r="C1711">
        <v>223.28999328613199</v>
      </c>
      <c r="D1711">
        <v>224.11999511718699</v>
      </c>
      <c r="E1711">
        <v>221.14999389648401</v>
      </c>
      <c r="F1711">
        <v>222.03999328613199</v>
      </c>
      <c r="G1711" s="2">
        <v>36080100</v>
      </c>
      <c r="H1711" s="3">
        <f t="shared" si="26"/>
        <v>3.188671721316072E-2</v>
      </c>
      <c r="J1711" s="3">
        <v>1.7254510859430194E-3</v>
      </c>
      <c r="K1711" s="3">
        <v>0.53756680289217229</v>
      </c>
    </row>
    <row r="1712" spans="1:11" x14ac:dyDescent="0.2">
      <c r="A1712" s="1">
        <v>44141</v>
      </c>
      <c r="B1712">
        <v>212.75798034667901</v>
      </c>
      <c r="C1712">
        <v>223.72000122070301</v>
      </c>
      <c r="D1712">
        <v>224.36000061035099</v>
      </c>
      <c r="E1712">
        <v>218.02999877929599</v>
      </c>
      <c r="F1712">
        <v>222.259994506835</v>
      </c>
      <c r="G1712" s="2">
        <v>25231900</v>
      </c>
      <c r="H1712" s="3">
        <f t="shared" si="26"/>
        <v>1.9262025706012764E-3</v>
      </c>
      <c r="J1712" s="3">
        <v>1.7351652353407854E-3</v>
      </c>
      <c r="K1712" s="3">
        <v>0.53788116944357123</v>
      </c>
    </row>
    <row r="1713" spans="1:11" x14ac:dyDescent="0.2">
      <c r="A1713" s="1">
        <v>44144</v>
      </c>
      <c r="B1713">
        <v>207.68910217285099</v>
      </c>
      <c r="C1713">
        <v>218.38999938964801</v>
      </c>
      <c r="D1713">
        <v>228.11999511718699</v>
      </c>
      <c r="E1713">
        <v>217.88000488281199</v>
      </c>
      <c r="F1713">
        <v>224.44000244140599</v>
      </c>
      <c r="G1713" s="2">
        <v>44395000</v>
      </c>
      <c r="H1713" s="3">
        <f t="shared" si="26"/>
        <v>-2.3824620658498996E-2</v>
      </c>
      <c r="J1713" s="3">
        <v>1.738714948856801E-3</v>
      </c>
      <c r="K1713" s="3">
        <v>0.53819553599497016</v>
      </c>
    </row>
    <row r="1714" spans="1:11" x14ac:dyDescent="0.2">
      <c r="A1714" s="1">
        <v>44145</v>
      </c>
      <c r="B1714">
        <v>200.67070007324199</v>
      </c>
      <c r="C1714">
        <v>211.009994506835</v>
      </c>
      <c r="D1714">
        <v>216.5</v>
      </c>
      <c r="E1714">
        <v>209.72000122070301</v>
      </c>
      <c r="F1714">
        <v>214.5</v>
      </c>
      <c r="G1714" s="2">
        <v>44045100</v>
      </c>
      <c r="H1714" s="3">
        <f t="shared" si="26"/>
        <v>-3.3792827963442629E-2</v>
      </c>
      <c r="J1714" s="3">
        <v>1.7418817117265117E-3</v>
      </c>
      <c r="K1714" s="3">
        <v>0.5385099025463691</v>
      </c>
    </row>
    <row r="1715" spans="1:11" x14ac:dyDescent="0.2">
      <c r="A1715" s="1">
        <v>44146</v>
      </c>
      <c r="B1715">
        <v>205.93922424316401</v>
      </c>
      <c r="C1715">
        <v>216.55000305175699</v>
      </c>
      <c r="D1715">
        <v>218.03999328613199</v>
      </c>
      <c r="E1715">
        <v>212.19999694824199</v>
      </c>
      <c r="F1715">
        <v>212.38999938964801</v>
      </c>
      <c r="G1715" s="2">
        <v>29440800</v>
      </c>
      <c r="H1715" s="3">
        <f t="shared" si="26"/>
        <v>2.62545761189803E-2</v>
      </c>
      <c r="J1715" s="3">
        <v>1.7445611476178957E-3</v>
      </c>
      <c r="K1715" s="3">
        <v>0.53882426909776804</v>
      </c>
    </row>
    <row r="1716" spans="1:11" x14ac:dyDescent="0.2">
      <c r="A1716" s="1">
        <v>44147</v>
      </c>
      <c r="B1716">
        <v>204.88362121582</v>
      </c>
      <c r="C1716">
        <v>215.44000244140599</v>
      </c>
      <c r="D1716">
        <v>219.11000061035099</v>
      </c>
      <c r="E1716">
        <v>214.46000671386699</v>
      </c>
      <c r="F1716">
        <v>217.21000671386699</v>
      </c>
      <c r="G1716" s="2">
        <v>21593900</v>
      </c>
      <c r="H1716" s="3">
        <f t="shared" si="26"/>
        <v>-5.1257987943937877E-3</v>
      </c>
      <c r="J1716" s="3">
        <v>1.756286171817445E-3</v>
      </c>
      <c r="K1716" s="3">
        <v>0.53913863564916698</v>
      </c>
    </row>
    <row r="1717" spans="1:11" x14ac:dyDescent="0.2">
      <c r="A1717" s="1">
        <v>44148</v>
      </c>
      <c r="B1717">
        <v>205.90116882324199</v>
      </c>
      <c r="C1717">
        <v>216.509994506835</v>
      </c>
      <c r="D1717">
        <v>217.419998168945</v>
      </c>
      <c r="E1717">
        <v>214.16000366210901</v>
      </c>
      <c r="F1717">
        <v>216.36000061035099</v>
      </c>
      <c r="G1717" s="2">
        <v>18621100</v>
      </c>
      <c r="H1717" s="3">
        <f t="shared" si="26"/>
        <v>4.9664663352964045E-3</v>
      </c>
      <c r="J1717" s="3">
        <v>1.7803651978705037E-3</v>
      </c>
      <c r="K1717" s="3">
        <v>0.53945300220056591</v>
      </c>
    </row>
    <row r="1718" spans="1:11" x14ac:dyDescent="0.2">
      <c r="A1718" s="1">
        <v>44151</v>
      </c>
      <c r="B1718">
        <v>206.58590698242099</v>
      </c>
      <c r="C1718">
        <v>217.22999572753901</v>
      </c>
      <c r="D1718">
        <v>217.74000549316401</v>
      </c>
      <c r="E1718">
        <v>214.52000427246</v>
      </c>
      <c r="F1718">
        <v>214.86999511718699</v>
      </c>
      <c r="G1718" s="2">
        <v>24953300</v>
      </c>
      <c r="H1718" s="3">
        <f t="shared" si="26"/>
        <v>3.3255671305432166E-3</v>
      </c>
      <c r="J1718" s="3">
        <v>1.7883108138212478E-3</v>
      </c>
      <c r="K1718" s="3">
        <v>0.53976736875196474</v>
      </c>
    </row>
    <row r="1719" spans="1:11" x14ac:dyDescent="0.2">
      <c r="A1719" s="1">
        <v>44152</v>
      </c>
      <c r="B1719">
        <v>203.95164489746</v>
      </c>
      <c r="C1719">
        <v>214.46000671386699</v>
      </c>
      <c r="D1719">
        <v>217.67999267578099</v>
      </c>
      <c r="E1719">
        <v>214.08000183105401</v>
      </c>
      <c r="F1719">
        <v>216.100006103515</v>
      </c>
      <c r="G1719" s="2">
        <v>24154100</v>
      </c>
      <c r="H1719" s="3">
        <f t="shared" si="26"/>
        <v>-1.2751412346753921E-2</v>
      </c>
      <c r="J1719" s="3">
        <v>1.8016719026219263E-3</v>
      </c>
      <c r="K1719" s="3">
        <v>0.54008173530336367</v>
      </c>
    </row>
    <row r="1720" spans="1:11" x14ac:dyDescent="0.2">
      <c r="A1720" s="1">
        <v>44153</v>
      </c>
      <c r="B1720">
        <v>201.26278686523401</v>
      </c>
      <c r="C1720">
        <v>211.08000183105401</v>
      </c>
      <c r="D1720">
        <v>215.169998168945</v>
      </c>
      <c r="E1720">
        <v>210.92999267578099</v>
      </c>
      <c r="F1720">
        <v>213.64999389648401</v>
      </c>
      <c r="G1720" s="2">
        <v>28372800</v>
      </c>
      <c r="H1720" s="3">
        <f t="shared" si="26"/>
        <v>-1.3183801648561699E-2</v>
      </c>
      <c r="J1720" s="3">
        <v>1.8046822902382242E-3</v>
      </c>
      <c r="K1720" s="3">
        <v>0.54039610185476261</v>
      </c>
    </row>
    <row r="1721" spans="1:11" x14ac:dyDescent="0.2">
      <c r="A1721" s="1">
        <v>44154</v>
      </c>
      <c r="B1721">
        <v>202.540435791015</v>
      </c>
      <c r="C1721">
        <v>212.419998168945</v>
      </c>
      <c r="D1721">
        <v>213.02999877929599</v>
      </c>
      <c r="E1721">
        <v>209.92999267578099</v>
      </c>
      <c r="F1721">
        <v>211.38000488281199</v>
      </c>
      <c r="G1721" s="2">
        <v>24792700</v>
      </c>
      <c r="H1721" s="3">
        <f t="shared" si="26"/>
        <v>6.3481627462333989E-3</v>
      </c>
      <c r="J1721" s="3">
        <v>1.8066160697360889E-3</v>
      </c>
      <c r="K1721" s="3">
        <v>0.54071046840616155</v>
      </c>
    </row>
    <row r="1722" spans="1:11" x14ac:dyDescent="0.2">
      <c r="A1722" s="1">
        <v>44155</v>
      </c>
      <c r="B1722">
        <v>200.604888916015</v>
      </c>
      <c r="C1722">
        <v>210.38999938964801</v>
      </c>
      <c r="D1722">
        <v>213.28999328613199</v>
      </c>
      <c r="E1722">
        <v>210</v>
      </c>
      <c r="F1722">
        <v>212.19999694824199</v>
      </c>
      <c r="G1722" s="2">
        <v>22843100</v>
      </c>
      <c r="H1722" s="3">
        <f t="shared" si="26"/>
        <v>-9.5563479333931056E-3</v>
      </c>
      <c r="J1722" s="3">
        <v>1.8080073845339051E-3</v>
      </c>
      <c r="K1722" s="3">
        <v>0.54102483495756049</v>
      </c>
    </row>
    <row r="1723" spans="1:11" x14ac:dyDescent="0.2">
      <c r="A1723" s="1">
        <v>44158</v>
      </c>
      <c r="B1723">
        <v>200.33793640136699</v>
      </c>
      <c r="C1723">
        <v>210.11000061035099</v>
      </c>
      <c r="D1723">
        <v>212.28999328613199</v>
      </c>
      <c r="E1723">
        <v>208.16000366210901</v>
      </c>
      <c r="F1723">
        <v>210.94999694824199</v>
      </c>
      <c r="G1723" s="2">
        <v>25683500</v>
      </c>
      <c r="H1723" s="3">
        <f t="shared" si="26"/>
        <v>-1.3307378304213691E-3</v>
      </c>
      <c r="J1723" s="3">
        <v>1.8235342720180903E-3</v>
      </c>
      <c r="K1723" s="3">
        <v>0.54133920150895942</v>
      </c>
    </row>
    <row r="1724" spans="1:11" x14ac:dyDescent="0.2">
      <c r="A1724" s="1">
        <v>44159</v>
      </c>
      <c r="B1724">
        <v>203.91349792480401</v>
      </c>
      <c r="C1724">
        <v>213.86000061035099</v>
      </c>
      <c r="D1724">
        <v>214.25</v>
      </c>
      <c r="E1724">
        <v>208.86000061035099</v>
      </c>
      <c r="F1724">
        <v>209.58999633789</v>
      </c>
      <c r="G1724" s="2">
        <v>33979700</v>
      </c>
      <c r="H1724" s="3">
        <f t="shared" si="26"/>
        <v>1.7847650762826905E-2</v>
      </c>
      <c r="J1724" s="3">
        <v>1.8274324426419408E-3</v>
      </c>
      <c r="K1724" s="3">
        <v>0.54165356806035836</v>
      </c>
    </row>
    <row r="1725" spans="1:11" x14ac:dyDescent="0.2">
      <c r="A1725" s="1">
        <v>44160</v>
      </c>
      <c r="B1725">
        <v>203.92306518554599</v>
      </c>
      <c r="C1725">
        <v>213.86999511718699</v>
      </c>
      <c r="D1725">
        <v>215.28999328613199</v>
      </c>
      <c r="E1725">
        <v>212.46000671386699</v>
      </c>
      <c r="F1725">
        <v>215.11000061035099</v>
      </c>
      <c r="G1725" s="2">
        <v>21012900</v>
      </c>
      <c r="H1725" s="3">
        <f t="shared" si="26"/>
        <v>4.6918231698001023E-5</v>
      </c>
      <c r="J1725" s="3">
        <v>1.8313704943841991E-3</v>
      </c>
      <c r="K1725" s="3">
        <v>0.5419679346117573</v>
      </c>
    </row>
    <row r="1726" spans="1:11" x14ac:dyDescent="0.2">
      <c r="A1726" s="1">
        <v>44162</v>
      </c>
      <c r="B1726">
        <v>205.219802856445</v>
      </c>
      <c r="C1726">
        <v>215.22999572753901</v>
      </c>
      <c r="D1726">
        <v>216.27000427246</v>
      </c>
      <c r="E1726">
        <v>214.03999328613199</v>
      </c>
      <c r="F1726">
        <v>214.850006103515</v>
      </c>
      <c r="G1726" s="2">
        <v>14512200</v>
      </c>
      <c r="H1726" s="3">
        <f t="shared" si="26"/>
        <v>6.3589553723073511E-3</v>
      </c>
      <c r="J1726" s="3">
        <v>1.8329476017229229E-3</v>
      </c>
      <c r="K1726" s="3">
        <v>0.54228230116315623</v>
      </c>
    </row>
    <row r="1727" spans="1:11" x14ac:dyDescent="0.2">
      <c r="A1727" s="1">
        <v>44165</v>
      </c>
      <c r="B1727">
        <v>204.11375427246</v>
      </c>
      <c r="C1727">
        <v>214.07000732421801</v>
      </c>
      <c r="D1727">
        <v>214.759994506835</v>
      </c>
      <c r="E1727">
        <v>210.83999633789</v>
      </c>
      <c r="F1727">
        <v>214.100006103515</v>
      </c>
      <c r="G1727" s="2">
        <v>33064800</v>
      </c>
      <c r="H1727" s="3">
        <f t="shared" si="26"/>
        <v>-5.3895801895819107E-3</v>
      </c>
      <c r="J1727" s="3">
        <v>1.8468380290934672E-3</v>
      </c>
      <c r="K1727" s="3">
        <v>0.54259666771455517</v>
      </c>
    </row>
    <row r="1728" spans="1:11" x14ac:dyDescent="0.2">
      <c r="A1728" s="1">
        <v>44166</v>
      </c>
      <c r="B1728">
        <v>206.154205322265</v>
      </c>
      <c r="C1728">
        <v>216.21000671386699</v>
      </c>
      <c r="D1728">
        <v>217.32000732421801</v>
      </c>
      <c r="E1728">
        <v>213.350006103515</v>
      </c>
      <c r="F1728">
        <v>214.509994506835</v>
      </c>
      <c r="G1728" s="2">
        <v>30904500</v>
      </c>
      <c r="H1728" s="3">
        <f t="shared" si="26"/>
        <v>9.9966367140615908E-3</v>
      </c>
      <c r="J1728" s="3">
        <v>1.8713676449506611E-3</v>
      </c>
      <c r="K1728" s="3">
        <v>0.54291103426595411</v>
      </c>
    </row>
    <row r="1729" spans="1:11" x14ac:dyDescent="0.2">
      <c r="A1729" s="1">
        <v>44167</v>
      </c>
      <c r="B1729">
        <v>205.353256225585</v>
      </c>
      <c r="C1729">
        <v>215.36999511718699</v>
      </c>
      <c r="D1729">
        <v>215.47000122070301</v>
      </c>
      <c r="E1729">
        <v>212.80000305175699</v>
      </c>
      <c r="F1729">
        <v>214.88000488281199</v>
      </c>
      <c r="G1729" s="2">
        <v>23724500</v>
      </c>
      <c r="H1729" s="3">
        <f t="shared" si="26"/>
        <v>-3.8851940731838841E-3</v>
      </c>
      <c r="J1729" s="3">
        <v>1.8743116747985678E-3</v>
      </c>
      <c r="K1729" s="3">
        <v>0.54322540081735304</v>
      </c>
    </row>
    <row r="1730" spans="1:11" x14ac:dyDescent="0.2">
      <c r="A1730" s="1">
        <v>44168</v>
      </c>
      <c r="B1730">
        <v>204.27583312988199</v>
      </c>
      <c r="C1730">
        <v>214.24000549316401</v>
      </c>
      <c r="D1730">
        <v>216.38000488281199</v>
      </c>
      <c r="E1730">
        <v>213.64999389648401</v>
      </c>
      <c r="F1730">
        <v>214.61000061035099</v>
      </c>
      <c r="G1730" s="2">
        <v>25120900</v>
      </c>
      <c r="H1730" s="3">
        <f t="shared" ref="H1730:H1793" si="27">B1730/B1729-1</f>
        <v>-5.2466813310203531E-3</v>
      </c>
      <c r="J1730" s="3">
        <v>1.8841669199134436E-3</v>
      </c>
      <c r="K1730" s="3">
        <v>0.54353976736875198</v>
      </c>
    </row>
    <row r="1731" spans="1:11" x14ac:dyDescent="0.2">
      <c r="A1731" s="1">
        <v>44169</v>
      </c>
      <c r="B1731">
        <v>204.39022827148401</v>
      </c>
      <c r="C1731">
        <v>214.36000061035099</v>
      </c>
      <c r="D1731">
        <v>215.38000488281199</v>
      </c>
      <c r="E1731">
        <v>213.17999267578099</v>
      </c>
      <c r="F1731">
        <v>214.22000122070301</v>
      </c>
      <c r="G1731" s="2">
        <v>24666000</v>
      </c>
      <c r="H1731" s="3">
        <f t="shared" si="27"/>
        <v>5.6000330459693437E-4</v>
      </c>
      <c r="J1731" s="3">
        <v>1.8852972782508193E-3</v>
      </c>
      <c r="K1731" s="3">
        <v>0.54385413392015092</v>
      </c>
    </row>
    <row r="1732" spans="1:11" x14ac:dyDescent="0.2">
      <c r="A1732" s="1">
        <v>44172</v>
      </c>
      <c r="B1732">
        <v>204.32354736328099</v>
      </c>
      <c r="C1732">
        <v>214.28999328613199</v>
      </c>
      <c r="D1732">
        <v>215.53999328613199</v>
      </c>
      <c r="E1732">
        <v>212.99000549316401</v>
      </c>
      <c r="F1732">
        <v>214.36999511718699</v>
      </c>
      <c r="G1732" s="2">
        <v>24620000</v>
      </c>
      <c r="H1732" s="3">
        <f t="shared" si="27"/>
        <v>-3.2624313190965371E-4</v>
      </c>
      <c r="J1732" s="3">
        <v>1.9076724003230794E-3</v>
      </c>
      <c r="K1732" s="3">
        <v>0.54416850047154985</v>
      </c>
    </row>
    <row r="1733" spans="1:11" x14ac:dyDescent="0.2">
      <c r="A1733" s="1">
        <v>44173</v>
      </c>
      <c r="B1733">
        <v>205.96348571777301</v>
      </c>
      <c r="C1733">
        <v>216.009994506835</v>
      </c>
      <c r="D1733">
        <v>216.94999694824199</v>
      </c>
      <c r="E1733">
        <v>212.88999938964801</v>
      </c>
      <c r="F1733">
        <v>213.97000122070301</v>
      </c>
      <c r="G1733" s="2">
        <v>23284100</v>
      </c>
      <c r="H1733" s="3">
        <f t="shared" si="27"/>
        <v>8.0261838425126353E-3</v>
      </c>
      <c r="J1733" s="3">
        <v>1.9252177044606356E-3</v>
      </c>
      <c r="K1733" s="3">
        <v>0.54448286702294879</v>
      </c>
    </row>
    <row r="1734" spans="1:11" x14ac:dyDescent="0.2">
      <c r="A1734" s="1">
        <v>44174</v>
      </c>
      <c r="B1734">
        <v>201.94934082031199</v>
      </c>
      <c r="C1734">
        <v>211.80000305175699</v>
      </c>
      <c r="D1734">
        <v>215.22999572753901</v>
      </c>
      <c r="E1734">
        <v>211.21000671386699</v>
      </c>
      <c r="F1734">
        <v>215.16000366210901</v>
      </c>
      <c r="G1734" s="2">
        <v>32440600</v>
      </c>
      <c r="H1734" s="3">
        <f t="shared" si="27"/>
        <v>-1.948959488363633E-2</v>
      </c>
      <c r="J1734" s="3">
        <v>1.9252976861179327E-3</v>
      </c>
      <c r="K1734" s="3">
        <v>0.54479723357434773</v>
      </c>
    </row>
    <row r="1735" spans="1:11" x14ac:dyDescent="0.2">
      <c r="A1735" s="1">
        <v>44175</v>
      </c>
      <c r="B1735">
        <v>200.72889709472599</v>
      </c>
      <c r="C1735">
        <v>210.52000427246</v>
      </c>
      <c r="D1735">
        <v>213.08000183105401</v>
      </c>
      <c r="E1735">
        <v>210.36000061035099</v>
      </c>
      <c r="F1735">
        <v>211.77000427246</v>
      </c>
      <c r="G1735" s="2">
        <v>26733300</v>
      </c>
      <c r="H1735" s="3">
        <f t="shared" si="27"/>
        <v>-6.0433162130095752E-3</v>
      </c>
      <c r="J1735" s="3">
        <v>1.9262025706012764E-3</v>
      </c>
      <c r="K1735" s="3">
        <v>0.54511160012574666</v>
      </c>
    </row>
    <row r="1736" spans="1:11" x14ac:dyDescent="0.2">
      <c r="A1736" s="1">
        <v>44176</v>
      </c>
      <c r="B1736">
        <v>203.34143066406199</v>
      </c>
      <c r="C1736">
        <v>213.259994506835</v>
      </c>
      <c r="D1736">
        <v>213.32000732421801</v>
      </c>
      <c r="E1736">
        <v>209.11000061035099</v>
      </c>
      <c r="F1736">
        <v>210.05000305175699</v>
      </c>
      <c r="G1736" s="2">
        <v>30979400</v>
      </c>
      <c r="H1736" s="3">
        <f t="shared" si="27"/>
        <v>1.3015234015375077E-2</v>
      </c>
      <c r="J1736" s="3">
        <v>1.9285774583661652E-3</v>
      </c>
      <c r="K1736" s="3">
        <v>0.5454259666771456</v>
      </c>
    </row>
    <row r="1737" spans="1:11" x14ac:dyDescent="0.2">
      <c r="A1737" s="1">
        <v>44179</v>
      </c>
      <c r="B1737">
        <v>204.23771667480401</v>
      </c>
      <c r="C1737">
        <v>214.19999694824199</v>
      </c>
      <c r="D1737">
        <v>216.21000671386699</v>
      </c>
      <c r="E1737">
        <v>212.88000488281199</v>
      </c>
      <c r="F1737">
        <v>213.100006103515</v>
      </c>
      <c r="G1737" s="2">
        <v>28798400</v>
      </c>
      <c r="H1737" s="3">
        <f t="shared" si="27"/>
        <v>4.4077884561692926E-3</v>
      </c>
      <c r="J1737" s="3">
        <v>1.9440017265213161E-3</v>
      </c>
      <c r="K1737" s="3">
        <v>0.54574033322854443</v>
      </c>
    </row>
    <row r="1738" spans="1:11" x14ac:dyDescent="0.2">
      <c r="A1738" s="1">
        <v>44180</v>
      </c>
      <c r="B1738">
        <v>204.170974731445</v>
      </c>
      <c r="C1738">
        <v>214.13000488281199</v>
      </c>
      <c r="D1738">
        <v>215.419998168945</v>
      </c>
      <c r="E1738">
        <v>212.24000549316401</v>
      </c>
      <c r="F1738">
        <v>215.169998168945</v>
      </c>
      <c r="G1738" s="2">
        <v>27000600</v>
      </c>
      <c r="H1738" s="3">
        <f t="shared" si="27"/>
        <v>-3.2678559301202448E-4</v>
      </c>
      <c r="J1738" s="3">
        <v>1.9458473140117061E-3</v>
      </c>
      <c r="K1738" s="3">
        <v>0.54605469977994336</v>
      </c>
    </row>
    <row r="1739" spans="1:11" x14ac:dyDescent="0.2">
      <c r="A1739" s="1">
        <v>44181</v>
      </c>
      <c r="B1739">
        <v>209.08139038085901</v>
      </c>
      <c r="C1739">
        <v>219.27999877929599</v>
      </c>
      <c r="D1739">
        <v>220.11000061035099</v>
      </c>
      <c r="E1739">
        <v>214.72000122070301</v>
      </c>
      <c r="F1739">
        <v>214.75</v>
      </c>
      <c r="G1739" s="2">
        <v>35023300</v>
      </c>
      <c r="H1739" s="3">
        <f t="shared" si="27"/>
        <v>2.4050507942536381E-2</v>
      </c>
      <c r="J1739" s="3">
        <v>1.9533563164306766E-3</v>
      </c>
      <c r="K1739" s="3">
        <v>0.5463690663313423</v>
      </c>
    </row>
    <row r="1740" spans="1:11" x14ac:dyDescent="0.2">
      <c r="A1740" s="1">
        <v>44182</v>
      </c>
      <c r="B1740">
        <v>209.21490478515599</v>
      </c>
      <c r="C1740">
        <v>219.419998168945</v>
      </c>
      <c r="D1740">
        <v>220.88999938964801</v>
      </c>
      <c r="E1740">
        <v>217.919998168945</v>
      </c>
      <c r="F1740">
        <v>219.86999511718699</v>
      </c>
      <c r="G1740" s="2">
        <v>32515800</v>
      </c>
      <c r="H1740" s="3">
        <f t="shared" si="27"/>
        <v>6.385762216989388E-4</v>
      </c>
      <c r="J1740" s="3">
        <v>2.0071576990210449E-3</v>
      </c>
      <c r="K1740" s="3">
        <v>0.54668343288274124</v>
      </c>
    </row>
    <row r="1741" spans="1:11" x14ac:dyDescent="0.2">
      <c r="A1741" s="1">
        <v>44183</v>
      </c>
      <c r="B1741">
        <v>208.42352294921801</v>
      </c>
      <c r="C1741">
        <v>218.58999633789</v>
      </c>
      <c r="D1741">
        <v>219.69000244140599</v>
      </c>
      <c r="E1741">
        <v>216.02000427246</v>
      </c>
      <c r="F1741">
        <v>218.58999633789</v>
      </c>
      <c r="G1741" s="2">
        <v>63354900</v>
      </c>
      <c r="H1741" s="3">
        <f t="shared" si="27"/>
        <v>-3.7826264660764108E-3</v>
      </c>
      <c r="J1741" s="3">
        <v>2.0216638778716156E-3</v>
      </c>
      <c r="K1741" s="3">
        <v>0.54699779943414018</v>
      </c>
    </row>
    <row r="1742" spans="1:11" x14ac:dyDescent="0.2">
      <c r="A1742" s="1">
        <v>44186</v>
      </c>
      <c r="B1742">
        <v>212.23747253417901</v>
      </c>
      <c r="C1742">
        <v>222.58999633789</v>
      </c>
      <c r="D1742">
        <v>224</v>
      </c>
      <c r="E1742">
        <v>217.27999877929599</v>
      </c>
      <c r="F1742">
        <v>217.55000305175699</v>
      </c>
      <c r="G1742" s="2">
        <v>37181900</v>
      </c>
      <c r="H1742" s="3">
        <f t="shared" si="27"/>
        <v>1.8299036169205696E-2</v>
      </c>
      <c r="J1742" s="3">
        <v>2.0228547210572323E-3</v>
      </c>
      <c r="K1742" s="3">
        <v>0.54731216598553911</v>
      </c>
    </row>
    <row r="1743" spans="1:11" x14ac:dyDescent="0.2">
      <c r="A1743" s="1">
        <v>44187</v>
      </c>
      <c r="B1743">
        <v>213.52468872070301</v>
      </c>
      <c r="C1743">
        <v>223.94000244140599</v>
      </c>
      <c r="D1743">
        <v>225.63000488281199</v>
      </c>
      <c r="E1743">
        <v>221.850006103515</v>
      </c>
      <c r="F1743">
        <v>222.69000244140599</v>
      </c>
      <c r="G1743" s="2">
        <v>22612200</v>
      </c>
      <c r="H1743" s="3">
        <f t="shared" si="27"/>
        <v>6.0649807555388513E-3</v>
      </c>
      <c r="J1743" s="3">
        <v>2.0230832579268831E-3</v>
      </c>
      <c r="K1743" s="3">
        <v>0.54762653253693805</v>
      </c>
    </row>
    <row r="1744" spans="1:11" x14ac:dyDescent="0.2">
      <c r="A1744" s="1">
        <v>44188</v>
      </c>
      <c r="B1744">
        <v>210.74053955078099</v>
      </c>
      <c r="C1744">
        <v>221.02000427246</v>
      </c>
      <c r="D1744">
        <v>223.55999755859301</v>
      </c>
      <c r="E1744">
        <v>220.80000305175699</v>
      </c>
      <c r="F1744">
        <v>223.11000061035099</v>
      </c>
      <c r="G1744" s="2">
        <v>18699600</v>
      </c>
      <c r="H1744" s="3">
        <f t="shared" si="27"/>
        <v>-1.3039003529768722E-2</v>
      </c>
      <c r="J1744" s="3">
        <v>2.0252266295375243E-3</v>
      </c>
      <c r="K1744" s="3">
        <v>0.54794089908833699</v>
      </c>
    </row>
    <row r="1745" spans="1:11" x14ac:dyDescent="0.2">
      <c r="A1745" s="1">
        <v>44189</v>
      </c>
      <c r="B1745">
        <v>212.39006042480401</v>
      </c>
      <c r="C1745">
        <v>222.75</v>
      </c>
      <c r="D1745">
        <v>223.61000061035099</v>
      </c>
      <c r="E1745">
        <v>221.19999694824199</v>
      </c>
      <c r="F1745">
        <v>221.419998168945</v>
      </c>
      <c r="G1745" s="2">
        <v>10550600</v>
      </c>
      <c r="H1745" s="3">
        <f t="shared" si="27"/>
        <v>7.8272594230761605E-3</v>
      </c>
      <c r="J1745" s="3">
        <v>2.0364877816050342E-3</v>
      </c>
      <c r="K1745" s="3">
        <v>0.54825526563973592</v>
      </c>
    </row>
    <row r="1746" spans="1:11" x14ac:dyDescent="0.2">
      <c r="A1746" s="1">
        <v>44193</v>
      </c>
      <c r="B1746">
        <v>214.497314453125</v>
      </c>
      <c r="C1746">
        <v>224.96000671386699</v>
      </c>
      <c r="D1746">
        <v>226.02999877929599</v>
      </c>
      <c r="E1746">
        <v>223.02000427246</v>
      </c>
      <c r="F1746">
        <v>224.44999694824199</v>
      </c>
      <c r="G1746" s="2">
        <v>17933500</v>
      </c>
      <c r="H1746" s="3">
        <f t="shared" si="27"/>
        <v>9.9216226225757875E-3</v>
      </c>
      <c r="J1746" s="3">
        <v>2.0447219983878995E-3</v>
      </c>
      <c r="K1746" s="3">
        <v>0.54856963219113486</v>
      </c>
    </row>
    <row r="1747" spans="1:11" x14ac:dyDescent="0.2">
      <c r="A1747" s="1">
        <v>44194</v>
      </c>
      <c r="B1747">
        <v>213.72491455078099</v>
      </c>
      <c r="C1747">
        <v>224.14999389648401</v>
      </c>
      <c r="D1747">
        <v>227.17999267578099</v>
      </c>
      <c r="E1747">
        <v>223.58000183105401</v>
      </c>
      <c r="F1747">
        <v>226.30999755859301</v>
      </c>
      <c r="G1747" s="2">
        <v>17403200</v>
      </c>
      <c r="H1747" s="3">
        <f t="shared" si="27"/>
        <v>-3.6009770300075017E-3</v>
      </c>
      <c r="J1747" s="3">
        <v>2.0449433274714046E-3</v>
      </c>
      <c r="K1747" s="3">
        <v>0.5488839987425338</v>
      </c>
    </row>
    <row r="1748" spans="1:11" x14ac:dyDescent="0.2">
      <c r="A1748" s="1">
        <v>44195</v>
      </c>
      <c r="B1748">
        <v>211.36979675292901</v>
      </c>
      <c r="C1748">
        <v>221.67999267578099</v>
      </c>
      <c r="D1748">
        <v>225.63000488281199</v>
      </c>
      <c r="E1748">
        <v>221.47000122070301</v>
      </c>
      <c r="F1748">
        <v>225.22999572753901</v>
      </c>
      <c r="G1748" s="2">
        <v>20272300</v>
      </c>
      <c r="H1748" s="3">
        <f t="shared" si="27"/>
        <v>-1.1019388183179823E-2</v>
      </c>
      <c r="J1748" s="3">
        <v>2.0512715576985752E-3</v>
      </c>
      <c r="K1748" s="3">
        <v>0.54919836529393273</v>
      </c>
    </row>
    <row r="1749" spans="1:11" x14ac:dyDescent="0.2">
      <c r="A1749" s="1">
        <v>44196</v>
      </c>
      <c r="B1749">
        <v>212.07539367675699</v>
      </c>
      <c r="C1749">
        <v>222.419998168945</v>
      </c>
      <c r="D1749">
        <v>223</v>
      </c>
      <c r="E1749">
        <v>219.67999267578099</v>
      </c>
      <c r="F1749">
        <v>221.69999694824199</v>
      </c>
      <c r="G1749" s="2">
        <v>20942100</v>
      </c>
      <c r="H1749" s="3">
        <f t="shared" si="27"/>
        <v>3.3382107314638976E-3</v>
      </c>
      <c r="J1749" s="3">
        <v>2.0651437323369048E-3</v>
      </c>
      <c r="K1749" s="3">
        <v>0.54951273184533167</v>
      </c>
    </row>
    <row r="1750" spans="1:11" x14ac:dyDescent="0.2">
      <c r="A1750" s="1">
        <v>44200</v>
      </c>
      <c r="B1750">
        <v>207.565338134765</v>
      </c>
      <c r="C1750">
        <v>217.69000244140599</v>
      </c>
      <c r="D1750">
        <v>223</v>
      </c>
      <c r="E1750">
        <v>214.80999755859301</v>
      </c>
      <c r="F1750">
        <v>222.52999877929599</v>
      </c>
      <c r="G1750" s="2">
        <v>37130100</v>
      </c>
      <c r="H1750" s="3">
        <f t="shared" si="27"/>
        <v>-2.1266283955913234E-2</v>
      </c>
      <c r="J1750" s="3">
        <v>2.0823231566242661E-3</v>
      </c>
      <c r="K1750" s="3">
        <v>0.54982709839673061</v>
      </c>
    </row>
    <row r="1751" spans="1:11" x14ac:dyDescent="0.2">
      <c r="A1751" s="1">
        <v>44201</v>
      </c>
      <c r="B1751">
        <v>207.76556396484301</v>
      </c>
      <c r="C1751">
        <v>217.89999389648401</v>
      </c>
      <c r="D1751">
        <v>218.52000427246</v>
      </c>
      <c r="E1751">
        <v>215.69999694824199</v>
      </c>
      <c r="F1751">
        <v>217.259994506835</v>
      </c>
      <c r="G1751" s="2">
        <v>23823000</v>
      </c>
      <c r="H1751" s="3">
        <f t="shared" si="27"/>
        <v>9.6464001107943176E-4</v>
      </c>
      <c r="J1751" s="3">
        <v>2.0893582066880967E-3</v>
      </c>
      <c r="K1751" s="3">
        <v>0.55014146494812954</v>
      </c>
    </row>
    <row r="1752" spans="1:11" x14ac:dyDescent="0.2">
      <c r="A1752" s="1">
        <v>44202</v>
      </c>
      <c r="B1752">
        <v>202.37837219238199</v>
      </c>
      <c r="C1752">
        <v>212.25</v>
      </c>
      <c r="D1752">
        <v>216.49000549316401</v>
      </c>
      <c r="E1752">
        <v>211.94000244140599</v>
      </c>
      <c r="F1752">
        <v>212.169998168945</v>
      </c>
      <c r="G1752" s="2">
        <v>35930700</v>
      </c>
      <c r="H1752" s="3">
        <f t="shared" si="27"/>
        <v>-2.5929185133743426E-2</v>
      </c>
      <c r="J1752" s="3">
        <v>2.1065535034723304E-3</v>
      </c>
      <c r="K1752" s="3">
        <v>0.55045583149952848</v>
      </c>
    </row>
    <row r="1753" spans="1:11" x14ac:dyDescent="0.2">
      <c r="A1753" s="1">
        <v>44203</v>
      </c>
      <c r="B1753">
        <v>208.13751220703099</v>
      </c>
      <c r="C1753">
        <v>218.28999328613199</v>
      </c>
      <c r="D1753">
        <v>219.33999633789</v>
      </c>
      <c r="E1753">
        <v>213.71000671386699</v>
      </c>
      <c r="F1753">
        <v>214.03999328613199</v>
      </c>
      <c r="G1753" s="2">
        <v>27694500</v>
      </c>
      <c r="H1753" s="3">
        <f t="shared" si="27"/>
        <v>2.845728993795027E-2</v>
      </c>
      <c r="J1753" s="3">
        <v>2.1250370405738739E-3</v>
      </c>
      <c r="K1753" s="3">
        <v>0.55077019805092742</v>
      </c>
    </row>
    <row r="1754" spans="1:11" x14ac:dyDescent="0.2">
      <c r="A1754" s="1">
        <v>44204</v>
      </c>
      <c r="B1754">
        <v>209.40562438964801</v>
      </c>
      <c r="C1754">
        <v>219.61999511718699</v>
      </c>
      <c r="D1754">
        <v>220.58000183105401</v>
      </c>
      <c r="E1754">
        <v>217.02999877929599</v>
      </c>
      <c r="F1754">
        <v>218.67999267578099</v>
      </c>
      <c r="G1754" s="2">
        <v>22956200</v>
      </c>
      <c r="H1754" s="3">
        <f t="shared" si="27"/>
        <v>6.0926652248809443E-3</v>
      </c>
      <c r="J1754" s="3">
        <v>2.1409824450309145E-3</v>
      </c>
      <c r="K1754" s="3">
        <v>0.55108456460232635</v>
      </c>
    </row>
    <row r="1755" spans="1:11" x14ac:dyDescent="0.2">
      <c r="A1755" s="1">
        <v>44207</v>
      </c>
      <c r="B1755">
        <v>207.37471008300699</v>
      </c>
      <c r="C1755">
        <v>217.49000549316401</v>
      </c>
      <c r="D1755">
        <v>218.91000366210901</v>
      </c>
      <c r="E1755">
        <v>216.72999572753901</v>
      </c>
      <c r="F1755">
        <v>218.47000122070301</v>
      </c>
      <c r="G1755" s="2">
        <v>23031300</v>
      </c>
      <c r="H1755" s="3">
        <f t="shared" si="27"/>
        <v>-9.6984706717430091E-3</v>
      </c>
      <c r="J1755" s="3">
        <v>2.1426294334614404E-3</v>
      </c>
      <c r="K1755" s="3">
        <v>0.55139893115372529</v>
      </c>
    </row>
    <row r="1756" spans="1:11" x14ac:dyDescent="0.2">
      <c r="A1756" s="1">
        <v>44208</v>
      </c>
      <c r="B1756">
        <v>204.93377685546801</v>
      </c>
      <c r="C1756">
        <v>214.92999267578099</v>
      </c>
      <c r="D1756">
        <v>217.100006103515</v>
      </c>
      <c r="E1756">
        <v>213.32000732421801</v>
      </c>
      <c r="F1756">
        <v>216.5</v>
      </c>
      <c r="G1756" s="2">
        <v>23249300</v>
      </c>
      <c r="H1756" s="3">
        <f t="shared" si="27"/>
        <v>-1.1770640820001343E-2</v>
      </c>
      <c r="J1756" s="3">
        <v>2.1463221787081377E-3</v>
      </c>
      <c r="K1756" s="3">
        <v>0.55171329770512423</v>
      </c>
    </row>
    <row r="1757" spans="1:11" x14ac:dyDescent="0.2">
      <c r="A1757" s="1">
        <v>44209</v>
      </c>
      <c r="B1757">
        <v>206.27816772460901</v>
      </c>
      <c r="C1757">
        <v>216.33999633789</v>
      </c>
      <c r="D1757">
        <v>216.759994506835</v>
      </c>
      <c r="E1757">
        <v>213.92999267578099</v>
      </c>
      <c r="F1757">
        <v>214.02000427246</v>
      </c>
      <c r="G1757" s="2">
        <v>20087100</v>
      </c>
      <c r="H1757" s="3">
        <f t="shared" si="27"/>
        <v>6.5601234202068426E-3</v>
      </c>
      <c r="J1757" s="3">
        <v>2.1520195786377538E-3</v>
      </c>
      <c r="K1757" s="3">
        <v>0.55202766425652305</v>
      </c>
    </row>
    <row r="1758" spans="1:11" x14ac:dyDescent="0.2">
      <c r="A1758" s="1">
        <v>44210</v>
      </c>
      <c r="B1758">
        <v>203.11257934570301</v>
      </c>
      <c r="C1758">
        <v>213.02000427246</v>
      </c>
      <c r="D1758">
        <v>217.46000671386699</v>
      </c>
      <c r="E1758">
        <v>212.74000549316401</v>
      </c>
      <c r="F1758">
        <v>215.91000366210901</v>
      </c>
      <c r="G1758" s="2">
        <v>29480800</v>
      </c>
      <c r="H1758" s="3">
        <f t="shared" si="27"/>
        <v>-1.5346211447506142E-2</v>
      </c>
      <c r="J1758" s="3">
        <v>2.1540484226432177E-3</v>
      </c>
      <c r="K1758" s="3">
        <v>0.55234203080792199</v>
      </c>
    </row>
    <row r="1759" spans="1:11" x14ac:dyDescent="0.2">
      <c r="A1759" s="1">
        <v>44211</v>
      </c>
      <c r="B1759">
        <v>202.75978088378901</v>
      </c>
      <c r="C1759">
        <v>212.64999389648401</v>
      </c>
      <c r="D1759">
        <v>214.509994506835</v>
      </c>
      <c r="E1759">
        <v>212.02999877929599</v>
      </c>
      <c r="F1759">
        <v>213.52000427246</v>
      </c>
      <c r="G1759" s="2">
        <v>31746500</v>
      </c>
      <c r="H1759" s="3">
        <f t="shared" si="27"/>
        <v>-1.736960177702862E-3</v>
      </c>
      <c r="J1759" s="3">
        <v>2.1612673956510342E-3</v>
      </c>
      <c r="K1759" s="3">
        <v>0.55265639735932093</v>
      </c>
    </row>
    <row r="1760" spans="1:11" x14ac:dyDescent="0.2">
      <c r="A1760" s="1">
        <v>44215</v>
      </c>
      <c r="B1760">
        <v>206.37350463867099</v>
      </c>
      <c r="C1760">
        <v>216.44000244140599</v>
      </c>
      <c r="D1760">
        <v>216.97999572753901</v>
      </c>
      <c r="E1760">
        <v>212.63000488281199</v>
      </c>
      <c r="F1760">
        <v>213.75</v>
      </c>
      <c r="G1760" s="2">
        <v>30480900</v>
      </c>
      <c r="H1760" s="3">
        <f t="shared" si="27"/>
        <v>1.7822685244235803E-2</v>
      </c>
      <c r="J1760" s="3">
        <v>2.1646924833107484E-3</v>
      </c>
      <c r="K1760" s="3">
        <v>0.55297076391071986</v>
      </c>
    </row>
    <row r="1761" spans="1:11" x14ac:dyDescent="0.2">
      <c r="A1761" s="1">
        <v>44216</v>
      </c>
      <c r="B1761">
        <v>213.90606689453099</v>
      </c>
      <c r="C1761">
        <v>224.33999633789</v>
      </c>
      <c r="D1761">
        <v>225.78999328613199</v>
      </c>
      <c r="E1761">
        <v>217.28999328613199</v>
      </c>
      <c r="F1761">
        <v>217.69999694824199</v>
      </c>
      <c r="G1761" s="2">
        <v>37777300</v>
      </c>
      <c r="H1761" s="3">
        <f t="shared" si="27"/>
        <v>3.6499657594362134E-2</v>
      </c>
      <c r="J1761" s="3">
        <v>2.1725259725497992E-3</v>
      </c>
      <c r="K1761" s="3">
        <v>0.5532851304621188</v>
      </c>
    </row>
    <row r="1762" spans="1:11" x14ac:dyDescent="0.2">
      <c r="A1762" s="1">
        <v>44217</v>
      </c>
      <c r="B1762">
        <v>214.50677490234301</v>
      </c>
      <c r="C1762">
        <v>224.97000122070301</v>
      </c>
      <c r="D1762">
        <v>226.30000305175699</v>
      </c>
      <c r="E1762">
        <v>222.419998168945</v>
      </c>
      <c r="F1762">
        <v>224.69999694824199</v>
      </c>
      <c r="G1762" s="2">
        <v>30709400</v>
      </c>
      <c r="H1762" s="3">
        <f t="shared" si="27"/>
        <v>2.8082794309345349E-3</v>
      </c>
      <c r="J1762" s="3">
        <v>2.1847642917429688E-3</v>
      </c>
      <c r="K1762" s="3">
        <v>0.55359949701351774</v>
      </c>
    </row>
    <row r="1763" spans="1:11" x14ac:dyDescent="0.2">
      <c r="A1763" s="1">
        <v>44218</v>
      </c>
      <c r="B1763">
        <v>215.44122314453099</v>
      </c>
      <c r="C1763">
        <v>225.94999694824199</v>
      </c>
      <c r="D1763">
        <v>230.07000732421801</v>
      </c>
      <c r="E1763">
        <v>225.80000305175699</v>
      </c>
      <c r="F1763">
        <v>227.08000183105401</v>
      </c>
      <c r="G1763" s="2">
        <v>30172700</v>
      </c>
      <c r="H1763" s="3">
        <f t="shared" si="27"/>
        <v>4.3562644704970843E-3</v>
      </c>
      <c r="J1763" s="3">
        <v>2.2291412545643041E-3</v>
      </c>
      <c r="K1763" s="3">
        <v>0.55391386356491668</v>
      </c>
    </row>
    <row r="1764" spans="1:11" x14ac:dyDescent="0.2">
      <c r="A1764" s="1">
        <v>44221</v>
      </c>
      <c r="B1764">
        <v>218.85469055175699</v>
      </c>
      <c r="C1764">
        <v>229.52999877929599</v>
      </c>
      <c r="D1764">
        <v>229.77999877929599</v>
      </c>
      <c r="E1764">
        <v>224.22000122070301</v>
      </c>
      <c r="F1764">
        <v>229.11999511718699</v>
      </c>
      <c r="G1764" s="2">
        <v>33152100</v>
      </c>
      <c r="H1764" s="3">
        <f t="shared" si="27"/>
        <v>1.5844077365528397E-2</v>
      </c>
      <c r="J1764" s="3">
        <v>2.2311452694732115E-3</v>
      </c>
      <c r="K1764" s="3">
        <v>0.55422823011631561</v>
      </c>
    </row>
    <row r="1765" spans="1:11" x14ac:dyDescent="0.2">
      <c r="A1765" s="1">
        <v>44222</v>
      </c>
      <c r="B1765">
        <v>221.52450561523401</v>
      </c>
      <c r="C1765">
        <v>232.33000183105401</v>
      </c>
      <c r="D1765">
        <v>234.17999267578099</v>
      </c>
      <c r="E1765">
        <v>230.08000183105401</v>
      </c>
      <c r="F1765">
        <v>231.86000061035099</v>
      </c>
      <c r="G1765" s="2">
        <v>49169600</v>
      </c>
      <c r="H1765" s="3">
        <f t="shared" si="27"/>
        <v>1.2199030583928128E-2</v>
      </c>
      <c r="J1765" s="3">
        <v>2.2404573267609251E-3</v>
      </c>
      <c r="K1765" s="3">
        <v>0.55454259666771455</v>
      </c>
    </row>
    <row r="1766" spans="1:11" x14ac:dyDescent="0.2">
      <c r="A1766" s="1">
        <v>44223</v>
      </c>
      <c r="B1766">
        <v>222.06796264648401</v>
      </c>
      <c r="C1766">
        <v>232.89999389648401</v>
      </c>
      <c r="D1766">
        <v>240.44000244140599</v>
      </c>
      <c r="E1766">
        <v>230.13999938964801</v>
      </c>
      <c r="F1766">
        <v>238</v>
      </c>
      <c r="G1766" s="2">
        <v>69870600</v>
      </c>
      <c r="H1766" s="3">
        <f t="shared" si="27"/>
        <v>2.4532591992054709E-3</v>
      </c>
      <c r="J1766" s="3">
        <v>2.2421344900918072E-3</v>
      </c>
      <c r="K1766" s="3">
        <v>0.55485696321911349</v>
      </c>
    </row>
    <row r="1767" spans="1:11" x14ac:dyDescent="0.2">
      <c r="A1767" s="1">
        <v>44224</v>
      </c>
      <c r="B1767">
        <v>227.81750488281199</v>
      </c>
      <c r="C1767">
        <v>238.92999267578099</v>
      </c>
      <c r="D1767">
        <v>242.63999938964801</v>
      </c>
      <c r="E1767">
        <v>235.08999633789</v>
      </c>
      <c r="F1767">
        <v>235.61000061035099</v>
      </c>
      <c r="G1767" s="2">
        <v>49111200</v>
      </c>
      <c r="H1767" s="3">
        <f t="shared" si="27"/>
        <v>2.5890912708920633E-2</v>
      </c>
      <c r="J1767" s="3">
        <v>2.2467151897582749E-3</v>
      </c>
      <c r="K1767" s="3">
        <v>0.55517132977051242</v>
      </c>
    </row>
    <row r="1768" spans="1:11" x14ac:dyDescent="0.2">
      <c r="A1768" s="1">
        <v>44225</v>
      </c>
      <c r="B1768">
        <v>221.17167663574199</v>
      </c>
      <c r="C1768">
        <v>231.96000671386699</v>
      </c>
      <c r="D1768">
        <v>238.02000427246</v>
      </c>
      <c r="E1768">
        <v>231.350006103515</v>
      </c>
      <c r="F1768">
        <v>235.99000549316401</v>
      </c>
      <c r="G1768" s="2">
        <v>42503100</v>
      </c>
      <c r="H1768" s="3">
        <f t="shared" si="27"/>
        <v>-2.917171904980953E-2</v>
      </c>
      <c r="J1768" s="3">
        <v>2.2522224108652011E-3</v>
      </c>
      <c r="K1768" s="3">
        <v>0.55548569632191136</v>
      </c>
    </row>
    <row r="1769" spans="1:11" x14ac:dyDescent="0.2">
      <c r="A1769" s="1">
        <v>44228</v>
      </c>
      <c r="B1769">
        <v>228.50404357910099</v>
      </c>
      <c r="C1769">
        <v>239.64999389648401</v>
      </c>
      <c r="D1769">
        <v>242.5</v>
      </c>
      <c r="E1769">
        <v>232.42999267578099</v>
      </c>
      <c r="F1769">
        <v>235.05999755859301</v>
      </c>
      <c r="G1769" s="2">
        <v>33314200</v>
      </c>
      <c r="H1769" s="3">
        <f t="shared" si="27"/>
        <v>3.3152377623085094E-2</v>
      </c>
      <c r="J1769" s="3">
        <v>2.2560743964663565E-3</v>
      </c>
      <c r="K1769" s="3">
        <v>0.5558000628733103</v>
      </c>
    </row>
    <row r="1770" spans="1:11" x14ac:dyDescent="0.2">
      <c r="A1770" s="1">
        <v>44229</v>
      </c>
      <c r="B1770">
        <v>228.37052917480401</v>
      </c>
      <c r="C1770">
        <v>239.509994506835</v>
      </c>
      <c r="D1770">
        <v>242.30999755859301</v>
      </c>
      <c r="E1770">
        <v>238.69000244140599</v>
      </c>
      <c r="F1770">
        <v>241.30000305175699</v>
      </c>
      <c r="G1770" s="2">
        <v>25916300</v>
      </c>
      <c r="H1770" s="3">
        <f t="shared" si="27"/>
        <v>-5.8429777524160453E-4</v>
      </c>
      <c r="J1770" s="3">
        <v>2.2590854259094684E-3</v>
      </c>
      <c r="K1770" s="3">
        <v>0.55611442942470923</v>
      </c>
    </row>
    <row r="1771" spans="1:11" x14ac:dyDescent="0.2">
      <c r="A1771" s="1">
        <v>44230</v>
      </c>
      <c r="B1771">
        <v>231.69822692871</v>
      </c>
      <c r="C1771">
        <v>243</v>
      </c>
      <c r="D1771">
        <v>245.08999633789</v>
      </c>
      <c r="E1771">
        <v>239.259994506835</v>
      </c>
      <c r="F1771">
        <v>239.57000732421801</v>
      </c>
      <c r="G1771" s="2">
        <v>27158100</v>
      </c>
      <c r="H1771" s="3">
        <f t="shared" si="27"/>
        <v>1.4571485059522882E-2</v>
      </c>
      <c r="J1771" s="3">
        <v>2.2621597723138098E-3</v>
      </c>
      <c r="K1771" s="3">
        <v>0.55642879597610817</v>
      </c>
    </row>
    <row r="1772" spans="1:11" x14ac:dyDescent="0.2">
      <c r="A1772" s="1">
        <v>44231</v>
      </c>
      <c r="B1772">
        <v>230.75422668457</v>
      </c>
      <c r="C1772">
        <v>242.009994506835</v>
      </c>
      <c r="D1772">
        <v>243.24000549316401</v>
      </c>
      <c r="E1772">
        <v>240.36999511718699</v>
      </c>
      <c r="F1772">
        <v>242.66000366210901</v>
      </c>
      <c r="G1772" s="2">
        <v>25296100</v>
      </c>
      <c r="H1772" s="3">
        <f t="shared" si="27"/>
        <v>-4.0742661549605375E-3</v>
      </c>
      <c r="J1772" s="3">
        <v>2.2660519600015139E-3</v>
      </c>
      <c r="K1772" s="3">
        <v>0.55674316252750711</v>
      </c>
    </row>
    <row r="1773" spans="1:11" x14ac:dyDescent="0.2">
      <c r="A1773" s="1">
        <v>44232</v>
      </c>
      <c r="B1773">
        <v>230.935455322265</v>
      </c>
      <c r="C1773">
        <v>242.19999694824199</v>
      </c>
      <c r="D1773">
        <v>243.27999877929599</v>
      </c>
      <c r="E1773">
        <v>240.419998168945</v>
      </c>
      <c r="F1773">
        <v>242.22999572753901</v>
      </c>
      <c r="G1773" s="2">
        <v>18054800</v>
      </c>
      <c r="H1773" s="3">
        <f t="shared" si="27"/>
        <v>7.853751599651293E-4</v>
      </c>
      <c r="J1773" s="3">
        <v>2.2670197278398252E-3</v>
      </c>
      <c r="K1773" s="3">
        <v>0.55705752907890604</v>
      </c>
    </row>
    <row r="1774" spans="1:11" x14ac:dyDescent="0.2">
      <c r="A1774" s="1">
        <v>44235</v>
      </c>
      <c r="B1774">
        <v>231.19288635253901</v>
      </c>
      <c r="C1774">
        <v>242.47000122070301</v>
      </c>
      <c r="D1774">
        <v>243.67999267578099</v>
      </c>
      <c r="E1774">
        <v>240.80999755859301</v>
      </c>
      <c r="F1774">
        <v>243.14999389648401</v>
      </c>
      <c r="G1774" s="2">
        <v>22211900</v>
      </c>
      <c r="H1774" s="3">
        <f t="shared" si="27"/>
        <v>1.114731516279166E-3</v>
      </c>
      <c r="J1774" s="3">
        <v>2.2723676126981118E-3</v>
      </c>
      <c r="K1774" s="3">
        <v>0.55737189563030498</v>
      </c>
    </row>
    <row r="1775" spans="1:11" x14ac:dyDescent="0.2">
      <c r="A1775" s="1">
        <v>44236</v>
      </c>
      <c r="B1775">
        <v>232.43238830566401</v>
      </c>
      <c r="C1775">
        <v>243.77000427246</v>
      </c>
      <c r="D1775">
        <v>244.759994506835</v>
      </c>
      <c r="E1775">
        <v>241.38000488281199</v>
      </c>
      <c r="F1775">
        <v>241.86999511718699</v>
      </c>
      <c r="G1775" s="2">
        <v>23565000</v>
      </c>
      <c r="H1775" s="3">
        <f t="shared" si="27"/>
        <v>5.3613325767944975E-3</v>
      </c>
      <c r="J1775" s="3">
        <v>2.2826748503186334E-3</v>
      </c>
      <c r="K1775" s="3">
        <v>0.55768626218170392</v>
      </c>
    </row>
    <row r="1776" spans="1:11" x14ac:dyDescent="0.2">
      <c r="A1776" s="1">
        <v>44237</v>
      </c>
      <c r="B1776">
        <v>231.52655029296801</v>
      </c>
      <c r="C1776">
        <v>242.82000732421801</v>
      </c>
      <c r="D1776">
        <v>245.919998168945</v>
      </c>
      <c r="E1776">
        <v>240.88999938964801</v>
      </c>
      <c r="F1776">
        <v>245</v>
      </c>
      <c r="G1776" s="2">
        <v>22186700</v>
      </c>
      <c r="H1776" s="3">
        <f t="shared" si="27"/>
        <v>-3.8972107944988954E-3</v>
      </c>
      <c r="J1776" s="3">
        <v>2.3036918122856243E-3</v>
      </c>
      <c r="K1776" s="3">
        <v>0.55800062873310274</v>
      </c>
    </row>
    <row r="1777" spans="1:11" x14ac:dyDescent="0.2">
      <c r="A1777" s="1">
        <v>44238</v>
      </c>
      <c r="B1777">
        <v>233.11897277832</v>
      </c>
      <c r="C1777">
        <v>244.49000549316401</v>
      </c>
      <c r="D1777">
        <v>245.14999389648401</v>
      </c>
      <c r="E1777">
        <v>242.14999389648401</v>
      </c>
      <c r="F1777">
        <v>244.77999877929599</v>
      </c>
      <c r="G1777" s="2">
        <v>15751100</v>
      </c>
      <c r="H1777" s="3">
        <f t="shared" si="27"/>
        <v>6.8779260233307049E-3</v>
      </c>
      <c r="J1777" s="3">
        <v>2.3044401188925256E-3</v>
      </c>
      <c r="K1777" s="3">
        <v>0.55831499528450168</v>
      </c>
    </row>
    <row r="1778" spans="1:11" x14ac:dyDescent="0.2">
      <c r="A1778" s="1">
        <v>44239</v>
      </c>
      <c r="B1778">
        <v>233.59568786621</v>
      </c>
      <c r="C1778">
        <v>244.99000549316401</v>
      </c>
      <c r="D1778">
        <v>245.30000305175699</v>
      </c>
      <c r="E1778">
        <v>242.72999572753901</v>
      </c>
      <c r="F1778">
        <v>243.92999267578099</v>
      </c>
      <c r="G1778" s="2">
        <v>16561100</v>
      </c>
      <c r="H1778" s="3">
        <f t="shared" si="27"/>
        <v>2.0449433274714046E-3</v>
      </c>
      <c r="J1778" s="3">
        <v>2.3155988960932294E-3</v>
      </c>
      <c r="K1778" s="3">
        <v>0.55862936183590062</v>
      </c>
    </row>
    <row r="1779" spans="1:11" x14ac:dyDescent="0.2">
      <c r="A1779" s="1">
        <v>44243</v>
      </c>
      <c r="B1779">
        <v>232.365631103515</v>
      </c>
      <c r="C1779">
        <v>243.69999694824199</v>
      </c>
      <c r="D1779">
        <v>246.13000488281199</v>
      </c>
      <c r="E1779">
        <v>242.919998168945</v>
      </c>
      <c r="F1779">
        <v>245.02999877929599</v>
      </c>
      <c r="G1779" s="2">
        <v>26728500</v>
      </c>
      <c r="H1779" s="3">
        <f t="shared" si="27"/>
        <v>-5.2657511529043965E-3</v>
      </c>
      <c r="J1779" s="3">
        <v>2.3334140342654575E-3</v>
      </c>
      <c r="K1779" s="3">
        <v>0.55894372838729955</v>
      </c>
    </row>
    <row r="1780" spans="1:11" x14ac:dyDescent="0.2">
      <c r="A1780" s="1">
        <v>44244</v>
      </c>
      <c r="B1780">
        <v>233.37870788574199</v>
      </c>
      <c r="C1780">
        <v>244.19999694824199</v>
      </c>
      <c r="D1780">
        <v>244.30999755859301</v>
      </c>
      <c r="E1780">
        <v>240.94000244140599</v>
      </c>
      <c r="F1780">
        <v>241.32000732421801</v>
      </c>
      <c r="G1780" s="2">
        <v>21653500</v>
      </c>
      <c r="H1780" s="3">
        <f t="shared" si="27"/>
        <v>4.3598391785215629E-3</v>
      </c>
      <c r="J1780" s="3">
        <v>2.3552179789629868E-3</v>
      </c>
      <c r="K1780" s="3">
        <v>0.55925809493869849</v>
      </c>
    </row>
    <row r="1781" spans="1:11" x14ac:dyDescent="0.2">
      <c r="A1781" s="1">
        <v>44245</v>
      </c>
      <c r="B1781">
        <v>232.98686218261699</v>
      </c>
      <c r="C1781">
        <v>243.78999328613199</v>
      </c>
      <c r="D1781">
        <v>243.92999267578099</v>
      </c>
      <c r="E1781">
        <v>240.86000061035099</v>
      </c>
      <c r="F1781">
        <v>241.80000305175699</v>
      </c>
      <c r="G1781" s="2">
        <v>16925600</v>
      </c>
      <c r="H1781" s="3">
        <f t="shared" si="27"/>
        <v>-1.6790122229867199E-3</v>
      </c>
      <c r="J1781" s="3">
        <v>2.3717548671209343E-3</v>
      </c>
      <c r="K1781" s="3">
        <v>0.55957246149009743</v>
      </c>
    </row>
    <row r="1782" spans="1:11" x14ac:dyDescent="0.2">
      <c r="A1782" s="1">
        <v>44246</v>
      </c>
      <c r="B1782">
        <v>230.29182434082</v>
      </c>
      <c r="C1782">
        <v>240.97000122070301</v>
      </c>
      <c r="D1782">
        <v>243.86000061035099</v>
      </c>
      <c r="E1782">
        <v>240.17999267578099</v>
      </c>
      <c r="F1782">
        <v>243.75</v>
      </c>
      <c r="G1782" s="2">
        <v>25262600</v>
      </c>
      <c r="H1782" s="3">
        <f t="shared" si="27"/>
        <v>-1.1567338246242342E-2</v>
      </c>
      <c r="J1782" s="3">
        <v>2.3824165420487375E-3</v>
      </c>
      <c r="K1782" s="3">
        <v>0.55988682804149636</v>
      </c>
    </row>
    <row r="1783" spans="1:11" x14ac:dyDescent="0.2">
      <c r="A1783" s="1">
        <v>44249</v>
      </c>
      <c r="B1783">
        <v>224.11808776855401</v>
      </c>
      <c r="C1783">
        <v>234.509994506835</v>
      </c>
      <c r="D1783">
        <v>237.92999267578099</v>
      </c>
      <c r="E1783">
        <v>232.39999389648401</v>
      </c>
      <c r="F1783">
        <v>237.419998168945</v>
      </c>
      <c r="G1783" s="2">
        <v>36446900</v>
      </c>
      <c r="H1783" s="3">
        <f t="shared" si="27"/>
        <v>-2.6808318488671934E-2</v>
      </c>
      <c r="J1783" s="3">
        <v>2.4031495288134863E-3</v>
      </c>
      <c r="K1783" s="3">
        <v>0.5602011945928953</v>
      </c>
    </row>
    <row r="1784" spans="1:11" x14ac:dyDescent="0.2">
      <c r="A1784" s="1">
        <v>44250</v>
      </c>
      <c r="B1784">
        <v>222.93305969238199</v>
      </c>
      <c r="C1784">
        <v>233.27000427246</v>
      </c>
      <c r="D1784">
        <v>234.83000183105401</v>
      </c>
      <c r="E1784">
        <v>228.72999572753901</v>
      </c>
      <c r="F1784">
        <v>230.33000183105401</v>
      </c>
      <c r="G1784" s="2">
        <v>30228700</v>
      </c>
      <c r="H1784" s="3">
        <f t="shared" si="27"/>
        <v>-5.287516451576102E-3</v>
      </c>
      <c r="J1784" s="3">
        <v>2.4047981826407216E-3</v>
      </c>
      <c r="K1784" s="3">
        <v>0.56051556114429424</v>
      </c>
    </row>
    <row r="1785" spans="1:11" x14ac:dyDescent="0.2">
      <c r="A1785" s="1">
        <v>44251</v>
      </c>
      <c r="B1785">
        <v>224.15629577636699</v>
      </c>
      <c r="C1785">
        <v>234.55000305175699</v>
      </c>
      <c r="D1785">
        <v>235.19999694824199</v>
      </c>
      <c r="E1785">
        <v>229</v>
      </c>
      <c r="F1785">
        <v>230.009994506835</v>
      </c>
      <c r="G1785" s="2">
        <v>26339700</v>
      </c>
      <c r="H1785" s="3">
        <f t="shared" si="27"/>
        <v>5.4870107003102131E-3</v>
      </c>
      <c r="J1785" s="3">
        <v>2.4112472855220002E-3</v>
      </c>
      <c r="K1785" s="3">
        <v>0.56082992769569318</v>
      </c>
    </row>
    <row r="1786" spans="1:11" x14ac:dyDescent="0.2">
      <c r="A1786" s="1">
        <v>44252</v>
      </c>
      <c r="B1786">
        <v>218.842681884765</v>
      </c>
      <c r="C1786">
        <v>228.99000549316401</v>
      </c>
      <c r="D1786">
        <v>234.58999633789</v>
      </c>
      <c r="E1786">
        <v>227.88000488281199</v>
      </c>
      <c r="F1786">
        <v>232.08000183105401</v>
      </c>
      <c r="G1786" s="2">
        <v>39542200</v>
      </c>
      <c r="H1786" s="3">
        <f t="shared" si="27"/>
        <v>-2.3704950481976184E-2</v>
      </c>
      <c r="J1786" s="3">
        <v>2.4336580501267413E-3</v>
      </c>
      <c r="K1786" s="3">
        <v>0.56114429424709211</v>
      </c>
    </row>
    <row r="1787" spans="1:11" x14ac:dyDescent="0.2">
      <c r="A1787" s="1">
        <v>44253</v>
      </c>
      <c r="B1787">
        <v>222.08247375488199</v>
      </c>
      <c r="C1787">
        <v>232.38000488281199</v>
      </c>
      <c r="D1787">
        <v>235.36999511718699</v>
      </c>
      <c r="E1787">
        <v>229.53999328613199</v>
      </c>
      <c r="F1787">
        <v>231.52999877929599</v>
      </c>
      <c r="G1787" s="2">
        <v>37819200</v>
      </c>
      <c r="H1787" s="3">
        <f t="shared" si="27"/>
        <v>1.4804204747513428E-2</v>
      </c>
      <c r="J1787" s="3">
        <v>2.4408812118825729E-3</v>
      </c>
      <c r="K1787" s="3">
        <v>0.56145866079849105</v>
      </c>
    </row>
    <row r="1788" spans="1:11" x14ac:dyDescent="0.2">
      <c r="A1788" s="1">
        <v>44256</v>
      </c>
      <c r="B1788">
        <v>226.44039916992099</v>
      </c>
      <c r="C1788">
        <v>236.94000244140599</v>
      </c>
      <c r="D1788">
        <v>237.47000122070301</v>
      </c>
      <c r="E1788">
        <v>233.14999389648401</v>
      </c>
      <c r="F1788">
        <v>235.89999389648401</v>
      </c>
      <c r="G1788" s="2">
        <v>25324000</v>
      </c>
      <c r="H1788" s="3">
        <f t="shared" si="27"/>
        <v>1.9623004649385045E-2</v>
      </c>
      <c r="J1788" s="3">
        <v>2.4471442660820575E-3</v>
      </c>
      <c r="K1788" s="3">
        <v>0.56177302734988999</v>
      </c>
    </row>
    <row r="1789" spans="1:11" x14ac:dyDescent="0.2">
      <c r="A1789" s="1">
        <v>44257</v>
      </c>
      <c r="B1789">
        <v>223.50640869140599</v>
      </c>
      <c r="C1789">
        <v>233.86999511718699</v>
      </c>
      <c r="D1789">
        <v>237.30000305175699</v>
      </c>
      <c r="E1789">
        <v>233.44999694824199</v>
      </c>
      <c r="F1789">
        <v>237.009994506835</v>
      </c>
      <c r="G1789" s="2">
        <v>22812500</v>
      </c>
      <c r="H1789" s="3">
        <f t="shared" si="27"/>
        <v>-1.2957009832478383E-2</v>
      </c>
      <c r="J1789" s="3">
        <v>2.4532591992054709E-3</v>
      </c>
      <c r="K1789" s="3">
        <v>0.56208739390128892</v>
      </c>
    </row>
    <row r="1790" spans="1:11" x14ac:dyDescent="0.2">
      <c r="A1790" s="1">
        <v>44258</v>
      </c>
      <c r="B1790">
        <v>217.47605895996</v>
      </c>
      <c r="C1790">
        <v>227.55999755859301</v>
      </c>
      <c r="D1790">
        <v>233.58000183105401</v>
      </c>
      <c r="E1790">
        <v>227.259994506835</v>
      </c>
      <c r="F1790">
        <v>232.16000366210901</v>
      </c>
      <c r="G1790" s="2">
        <v>34029500</v>
      </c>
      <c r="H1790" s="3">
        <f t="shared" si="27"/>
        <v>-2.69806569160711E-2</v>
      </c>
      <c r="J1790" s="3">
        <v>2.4655558497308494E-3</v>
      </c>
      <c r="K1790" s="3">
        <v>0.56240176045268786</v>
      </c>
    </row>
    <row r="1791" spans="1:11" x14ac:dyDescent="0.2">
      <c r="A1791" s="1">
        <v>44259</v>
      </c>
      <c r="B1791">
        <v>216.68281555175699</v>
      </c>
      <c r="C1791">
        <v>226.72999572753901</v>
      </c>
      <c r="D1791">
        <v>232.49000549316401</v>
      </c>
      <c r="E1791">
        <v>224.259994506835</v>
      </c>
      <c r="F1791">
        <v>226.74000549316401</v>
      </c>
      <c r="G1791" s="2">
        <v>44727800</v>
      </c>
      <c r="H1791" s="3">
        <f t="shared" si="27"/>
        <v>-3.647497623400775E-3</v>
      </c>
      <c r="J1791" s="3">
        <v>2.4674202706089776E-3</v>
      </c>
      <c r="K1791" s="3">
        <v>0.5627161270040868</v>
      </c>
    </row>
    <row r="1792" spans="1:11" x14ac:dyDescent="0.2">
      <c r="A1792" s="1">
        <v>44260</v>
      </c>
      <c r="B1792">
        <v>221.33703613281199</v>
      </c>
      <c r="C1792">
        <v>231.600006103515</v>
      </c>
      <c r="D1792">
        <v>233.27000427246</v>
      </c>
      <c r="E1792">
        <v>226.46000671386699</v>
      </c>
      <c r="F1792">
        <v>229.52000427246</v>
      </c>
      <c r="G1792" s="2">
        <v>41872800</v>
      </c>
      <c r="H1792" s="3">
        <f t="shared" si="27"/>
        <v>2.1479417134227186E-2</v>
      </c>
      <c r="J1792" s="3">
        <v>2.4740291310958451E-3</v>
      </c>
      <c r="K1792" s="3">
        <v>0.56303049355548573</v>
      </c>
    </row>
    <row r="1793" spans="1:11" x14ac:dyDescent="0.2">
      <c r="A1793" s="1">
        <v>44263</v>
      </c>
      <c r="B1793">
        <v>217.31358337402301</v>
      </c>
      <c r="C1793">
        <v>227.38999938964801</v>
      </c>
      <c r="D1793">
        <v>233.36999511718699</v>
      </c>
      <c r="E1793">
        <v>227.13000488281199</v>
      </c>
      <c r="F1793">
        <v>231.36999511718699</v>
      </c>
      <c r="G1793" s="2">
        <v>35267400</v>
      </c>
      <c r="H1793" s="3">
        <f t="shared" si="27"/>
        <v>-1.8177946307976756E-2</v>
      </c>
      <c r="J1793" s="3">
        <v>2.5157750296271875E-3</v>
      </c>
      <c r="K1793" s="3">
        <v>0.56334486010688467</v>
      </c>
    </row>
    <row r="1794" spans="1:11" x14ac:dyDescent="0.2">
      <c r="A1794" s="1">
        <v>44264</v>
      </c>
      <c r="B1794">
        <v>223.42044067382801</v>
      </c>
      <c r="C1794">
        <v>233.77999877929599</v>
      </c>
      <c r="D1794">
        <v>235.38000488281199</v>
      </c>
      <c r="E1794">
        <v>231.669998168945</v>
      </c>
      <c r="F1794">
        <v>232.88000488281199</v>
      </c>
      <c r="G1794" s="2">
        <v>33080500</v>
      </c>
      <c r="H1794" s="3">
        <f t="shared" ref="H1794:H1857" si="28">B1794/B1793-1</f>
        <v>2.8101590360756878E-2</v>
      </c>
      <c r="J1794" s="3">
        <v>2.5189153777180895E-3</v>
      </c>
      <c r="K1794" s="3">
        <v>0.56365922665828361</v>
      </c>
    </row>
    <row r="1795" spans="1:11" x14ac:dyDescent="0.2">
      <c r="A1795" s="1">
        <v>44265</v>
      </c>
      <c r="B1795">
        <v>222.12072753906199</v>
      </c>
      <c r="C1795">
        <v>232.419998168945</v>
      </c>
      <c r="D1795">
        <v>237</v>
      </c>
      <c r="E1795">
        <v>232.03999328613199</v>
      </c>
      <c r="F1795">
        <v>237</v>
      </c>
      <c r="G1795" s="2">
        <v>29746800</v>
      </c>
      <c r="H1795" s="3">
        <f t="shared" si="28"/>
        <v>-5.8173420965696998E-3</v>
      </c>
      <c r="J1795" s="3">
        <v>2.5269018193418979E-3</v>
      </c>
      <c r="K1795" s="3">
        <v>0.56397359320968254</v>
      </c>
    </row>
    <row r="1796" spans="1:11" x14ac:dyDescent="0.2">
      <c r="A1796" s="1">
        <v>44266</v>
      </c>
      <c r="B1796">
        <v>226.62196350097599</v>
      </c>
      <c r="C1796">
        <v>237.13000488281199</v>
      </c>
      <c r="D1796">
        <v>239.169998168945</v>
      </c>
      <c r="E1796">
        <v>234.30999755859301</v>
      </c>
      <c r="F1796">
        <v>234.96000671386699</v>
      </c>
      <c r="G1796" s="2">
        <v>29907600</v>
      </c>
      <c r="H1796" s="3">
        <f t="shared" si="28"/>
        <v>2.0264817299062932E-2</v>
      </c>
      <c r="J1796" s="3">
        <v>2.5731971430063005E-3</v>
      </c>
      <c r="K1796" s="3">
        <v>0.56428795976108137</v>
      </c>
    </row>
    <row r="1797" spans="1:11" x14ac:dyDescent="0.2">
      <c r="A1797" s="1">
        <v>44267</v>
      </c>
      <c r="B1797">
        <v>225.30316162109301</v>
      </c>
      <c r="C1797">
        <v>235.75</v>
      </c>
      <c r="D1797">
        <v>235.82000732421801</v>
      </c>
      <c r="E1797">
        <v>233.22999572753901</v>
      </c>
      <c r="F1797">
        <v>234.009994506835</v>
      </c>
      <c r="G1797" s="2">
        <v>22653700</v>
      </c>
      <c r="H1797" s="3">
        <f t="shared" si="28"/>
        <v>-5.8193912871878917E-3</v>
      </c>
      <c r="J1797" s="3">
        <v>2.5735992204902747E-3</v>
      </c>
      <c r="K1797" s="3">
        <v>0.56460232631248031</v>
      </c>
    </row>
    <row r="1798" spans="1:11" x14ac:dyDescent="0.2">
      <c r="A1798" s="1">
        <v>44270</v>
      </c>
      <c r="B1798">
        <v>224.40480041503901</v>
      </c>
      <c r="C1798">
        <v>234.80999755859301</v>
      </c>
      <c r="D1798">
        <v>235.19000244140599</v>
      </c>
      <c r="E1798">
        <v>231.80999755859301</v>
      </c>
      <c r="F1798">
        <v>234.96000671386699</v>
      </c>
      <c r="G1798" s="2">
        <v>26034900</v>
      </c>
      <c r="H1798" s="3">
        <f t="shared" si="28"/>
        <v>-3.9873439839465119E-3</v>
      </c>
      <c r="J1798" s="3">
        <v>2.5737811873329797E-3</v>
      </c>
      <c r="K1798" s="3">
        <v>0.56491669286387924</v>
      </c>
    </row>
    <row r="1799" spans="1:11" x14ac:dyDescent="0.2">
      <c r="A1799" s="1">
        <v>44271</v>
      </c>
      <c r="B1799">
        <v>227.17633056640599</v>
      </c>
      <c r="C1799">
        <v>237.71000671386699</v>
      </c>
      <c r="D1799">
        <v>240.05999755859301</v>
      </c>
      <c r="E1799">
        <v>235.94000244140599</v>
      </c>
      <c r="F1799">
        <v>236.27999877929599</v>
      </c>
      <c r="G1799" s="2">
        <v>28092200</v>
      </c>
      <c r="H1799" s="3">
        <f t="shared" si="28"/>
        <v>1.2350583170418039E-2</v>
      </c>
      <c r="J1799" s="3">
        <v>2.5801799389706392E-3</v>
      </c>
      <c r="K1799" s="3">
        <v>0.56523105941527818</v>
      </c>
    </row>
    <row r="1800" spans="1:11" x14ac:dyDescent="0.2">
      <c r="A1800" s="1">
        <v>44272</v>
      </c>
      <c r="B1800">
        <v>226.53599548339801</v>
      </c>
      <c r="C1800">
        <v>237.03999328613199</v>
      </c>
      <c r="D1800">
        <v>238.55000305175699</v>
      </c>
      <c r="E1800">
        <v>233.22999572753901</v>
      </c>
      <c r="F1800">
        <v>236.14999389648401</v>
      </c>
      <c r="G1800" s="2">
        <v>29562100</v>
      </c>
      <c r="H1800" s="3">
        <f t="shared" si="28"/>
        <v>-2.8186698914075548E-3</v>
      </c>
      <c r="J1800" s="3">
        <v>2.5836381747295079E-3</v>
      </c>
      <c r="K1800" s="3">
        <v>0.56554542596667712</v>
      </c>
    </row>
    <row r="1801" spans="1:11" x14ac:dyDescent="0.2">
      <c r="A1801" s="1">
        <v>44273</v>
      </c>
      <c r="B1801">
        <v>220.49603271484301</v>
      </c>
      <c r="C1801">
        <v>230.72000122070301</v>
      </c>
      <c r="D1801">
        <v>234.19000244140599</v>
      </c>
      <c r="E1801">
        <v>230.33000183105401</v>
      </c>
      <c r="F1801">
        <v>232.55999755859301</v>
      </c>
      <c r="G1801" s="2">
        <v>34833000</v>
      </c>
      <c r="H1801" s="3">
        <f t="shared" si="28"/>
        <v>-2.6662265110083294E-2</v>
      </c>
      <c r="J1801" s="3">
        <v>2.5838878580228819E-3</v>
      </c>
      <c r="K1801" s="3">
        <v>0.56585979251807605</v>
      </c>
    </row>
    <row r="1802" spans="1:11" x14ac:dyDescent="0.2">
      <c r="A1802" s="1">
        <v>44274</v>
      </c>
      <c r="B1802">
        <v>220.14244079589801</v>
      </c>
      <c r="C1802">
        <v>230.350006103515</v>
      </c>
      <c r="D1802">
        <v>232.47000122070301</v>
      </c>
      <c r="E1802">
        <v>229.350006103515</v>
      </c>
      <c r="F1802">
        <v>231.02000427246</v>
      </c>
      <c r="G1802" s="2">
        <v>46430700</v>
      </c>
      <c r="H1802" s="3">
        <f t="shared" si="28"/>
        <v>-1.6036203218326994E-3</v>
      </c>
      <c r="J1802" s="3">
        <v>2.5848447874694536E-3</v>
      </c>
      <c r="K1802" s="3">
        <v>0.56617415906947499</v>
      </c>
    </row>
    <row r="1803" spans="1:11" x14ac:dyDescent="0.2">
      <c r="A1803" s="1">
        <v>44277</v>
      </c>
      <c r="B1803">
        <v>225.53254699707</v>
      </c>
      <c r="C1803">
        <v>235.99000549316401</v>
      </c>
      <c r="D1803">
        <v>236.89999389648401</v>
      </c>
      <c r="E1803">
        <v>230.13999938964801</v>
      </c>
      <c r="F1803">
        <v>230.27000427246</v>
      </c>
      <c r="G1803" s="2">
        <v>30127000</v>
      </c>
      <c r="H1803" s="3">
        <f t="shared" si="28"/>
        <v>2.4484629959060644E-2</v>
      </c>
      <c r="J1803" s="3">
        <v>2.5933259299926181E-3</v>
      </c>
      <c r="K1803" s="3">
        <v>0.56648852562087393</v>
      </c>
    </row>
    <row r="1804" spans="1:11" x14ac:dyDescent="0.2">
      <c r="A1804" s="1">
        <v>44278</v>
      </c>
      <c r="B1804">
        <v>227.05203247070301</v>
      </c>
      <c r="C1804">
        <v>237.58000183105401</v>
      </c>
      <c r="D1804">
        <v>241.05000305175699</v>
      </c>
      <c r="E1804">
        <v>237.07000732421801</v>
      </c>
      <c r="F1804">
        <v>237.49000549316401</v>
      </c>
      <c r="G1804" s="2">
        <v>31638400</v>
      </c>
      <c r="H1804" s="3">
        <f t="shared" si="28"/>
        <v>6.7373223681668204E-3</v>
      </c>
      <c r="J1804" s="3">
        <v>2.6116830746780728E-3</v>
      </c>
      <c r="K1804" s="3">
        <v>0.56680289217227287</v>
      </c>
    </row>
    <row r="1805" spans="1:11" x14ac:dyDescent="0.2">
      <c r="A1805" s="1">
        <v>44279</v>
      </c>
      <c r="B1805">
        <v>225.02603149414</v>
      </c>
      <c r="C1805">
        <v>235.46000671386699</v>
      </c>
      <c r="D1805">
        <v>238</v>
      </c>
      <c r="E1805">
        <v>235.32000732421801</v>
      </c>
      <c r="F1805">
        <v>237.850006103515</v>
      </c>
      <c r="G1805" s="2">
        <v>25620100</v>
      </c>
      <c r="H1805" s="3">
        <f t="shared" si="28"/>
        <v>-8.9230691067451184E-3</v>
      </c>
      <c r="J1805" s="3">
        <v>2.6161128996722294E-3</v>
      </c>
      <c r="K1805" s="3">
        <v>0.5671172587236718</v>
      </c>
    </row>
    <row r="1806" spans="1:11" x14ac:dyDescent="0.2">
      <c r="A1806" s="1">
        <v>44280</v>
      </c>
      <c r="B1806">
        <v>222.04423522949199</v>
      </c>
      <c r="C1806">
        <v>232.33999633789</v>
      </c>
      <c r="D1806">
        <v>236.94000244140599</v>
      </c>
      <c r="E1806">
        <v>231.57000732421801</v>
      </c>
      <c r="F1806">
        <v>235.30000305175699</v>
      </c>
      <c r="G1806" s="2">
        <v>34061900</v>
      </c>
      <c r="H1806" s="3">
        <f t="shared" si="28"/>
        <v>-1.3250894773592758E-2</v>
      </c>
      <c r="J1806" s="3">
        <v>2.623445760279175E-3</v>
      </c>
      <c r="K1806" s="3">
        <v>0.56743162527507074</v>
      </c>
    </row>
    <row r="1807" spans="1:11" x14ac:dyDescent="0.2">
      <c r="A1807" s="1">
        <v>44281</v>
      </c>
      <c r="B1807">
        <v>226.00082397460901</v>
      </c>
      <c r="C1807">
        <v>236.47999572753901</v>
      </c>
      <c r="D1807">
        <v>236.71000671386699</v>
      </c>
      <c r="E1807">
        <v>231.55000305175699</v>
      </c>
      <c r="F1807">
        <v>231.55000305175699</v>
      </c>
      <c r="G1807" s="2">
        <v>25479900</v>
      </c>
      <c r="H1807" s="3">
        <f t="shared" si="28"/>
        <v>1.7818921265970733E-2</v>
      </c>
      <c r="J1807" s="3">
        <v>2.6509453272989258E-3</v>
      </c>
      <c r="K1807" s="3">
        <v>0.56774599182646968</v>
      </c>
    </row>
    <row r="1808" spans="1:11" x14ac:dyDescent="0.2">
      <c r="A1808" s="1">
        <v>44284</v>
      </c>
      <c r="B1808">
        <v>224.81575012207</v>
      </c>
      <c r="C1808">
        <v>235.24000549316401</v>
      </c>
      <c r="D1808">
        <v>236.80000305175699</v>
      </c>
      <c r="E1808">
        <v>231.88000488281199</v>
      </c>
      <c r="F1808">
        <v>236.58999633789</v>
      </c>
      <c r="G1808" s="2">
        <v>25227500</v>
      </c>
      <c r="H1808" s="3">
        <f t="shared" si="28"/>
        <v>-5.2436704950781232E-3</v>
      </c>
      <c r="J1808" s="3">
        <v>2.6510540988271547E-3</v>
      </c>
      <c r="K1808" s="3">
        <v>0.56806035837786861</v>
      </c>
    </row>
    <row r="1809" spans="1:11" x14ac:dyDescent="0.2">
      <c r="A1809" s="1">
        <v>44285</v>
      </c>
      <c r="B1809">
        <v>221.575927734375</v>
      </c>
      <c r="C1809">
        <v>231.850006103515</v>
      </c>
      <c r="D1809">
        <v>233.850006103515</v>
      </c>
      <c r="E1809">
        <v>231.100006103515</v>
      </c>
      <c r="F1809">
        <v>233.52999877929599</v>
      </c>
      <c r="G1809" s="2">
        <v>24792000</v>
      </c>
      <c r="H1809" s="3">
        <f t="shared" si="28"/>
        <v>-1.4411011621453751E-2</v>
      </c>
      <c r="J1809" s="3">
        <v>2.6607787100694225E-3</v>
      </c>
      <c r="K1809" s="3">
        <v>0.56837472492926755</v>
      </c>
    </row>
    <row r="1810" spans="1:11" x14ac:dyDescent="0.2">
      <c r="A1810" s="1">
        <v>44286</v>
      </c>
      <c r="B1810">
        <v>225.32221984863199</v>
      </c>
      <c r="C1810">
        <v>235.77000427246</v>
      </c>
      <c r="D1810">
        <v>239.100006103515</v>
      </c>
      <c r="E1810">
        <v>232.38999938964801</v>
      </c>
      <c r="F1810">
        <v>232.91000366210901</v>
      </c>
      <c r="G1810" s="2">
        <v>43623500</v>
      </c>
      <c r="H1810" s="3">
        <f t="shared" si="28"/>
        <v>1.6907486984542919E-2</v>
      </c>
      <c r="J1810" s="3">
        <v>2.6647089144138381E-3</v>
      </c>
      <c r="K1810" s="3">
        <v>0.56868909148066649</v>
      </c>
    </row>
    <row r="1811" spans="1:11" x14ac:dyDescent="0.2">
      <c r="A1811" s="1">
        <v>44287</v>
      </c>
      <c r="B1811">
        <v>231.61068725585901</v>
      </c>
      <c r="C1811">
        <v>242.350006103515</v>
      </c>
      <c r="D1811">
        <v>242.83999633789</v>
      </c>
      <c r="E1811">
        <v>238.05000305175699</v>
      </c>
      <c r="F1811">
        <v>238.47000122070301</v>
      </c>
      <c r="G1811" s="2">
        <v>30338000</v>
      </c>
      <c r="H1811" s="3">
        <f t="shared" si="28"/>
        <v>2.7908776202593355E-2</v>
      </c>
      <c r="J1811" s="3">
        <v>2.6832619424383974E-3</v>
      </c>
      <c r="K1811" s="3">
        <v>0.56900345803206542</v>
      </c>
    </row>
    <row r="1812" spans="1:11" x14ac:dyDescent="0.2">
      <c r="A1812" s="1">
        <v>44291</v>
      </c>
      <c r="B1812">
        <v>238.03288269042901</v>
      </c>
      <c r="C1812">
        <v>249.07000732421801</v>
      </c>
      <c r="D1812">
        <v>249.96000671386699</v>
      </c>
      <c r="E1812">
        <v>242.69999694824199</v>
      </c>
      <c r="F1812">
        <v>242.759994506835</v>
      </c>
      <c r="G1812" s="2">
        <v>36910600</v>
      </c>
      <c r="H1812" s="3">
        <f t="shared" si="28"/>
        <v>2.7728407141573097E-2</v>
      </c>
      <c r="J1812" s="3">
        <v>2.6951301229252156E-3</v>
      </c>
      <c r="K1812" s="3">
        <v>0.56931782458346436</v>
      </c>
    </row>
    <row r="1813" spans="1:11" x14ac:dyDescent="0.2">
      <c r="A1813" s="1">
        <v>44292</v>
      </c>
      <c r="B1813">
        <v>236.87652587890599</v>
      </c>
      <c r="C1813">
        <v>247.86000061035099</v>
      </c>
      <c r="D1813">
        <v>249.39999389648401</v>
      </c>
      <c r="E1813">
        <v>246.88000488281199</v>
      </c>
      <c r="F1813">
        <v>247.61000061035099</v>
      </c>
      <c r="G1813" s="2">
        <v>22931900</v>
      </c>
      <c r="H1813" s="3">
        <f t="shared" si="28"/>
        <v>-4.8579708755067674E-3</v>
      </c>
      <c r="J1813" s="3">
        <v>2.7173411075851472E-3</v>
      </c>
      <c r="K1813" s="3">
        <v>0.5696321911348633</v>
      </c>
    </row>
    <row r="1814" spans="1:11" x14ac:dyDescent="0.2">
      <c r="A1814" s="1">
        <v>44293</v>
      </c>
      <c r="B1814">
        <v>238.82606506347599</v>
      </c>
      <c r="C1814">
        <v>249.89999389648401</v>
      </c>
      <c r="D1814">
        <v>250.92999267578099</v>
      </c>
      <c r="E1814">
        <v>247.19000244140599</v>
      </c>
      <c r="F1814">
        <v>247.80999755859301</v>
      </c>
      <c r="G1814" s="2">
        <v>22719800</v>
      </c>
      <c r="H1814" s="3">
        <f t="shared" si="28"/>
        <v>8.2301915621922905E-3</v>
      </c>
      <c r="J1814" s="3">
        <v>2.7399380287369546E-3</v>
      </c>
      <c r="K1814" s="3">
        <v>0.56994655768626223</v>
      </c>
    </row>
    <row r="1815" spans="1:11" x14ac:dyDescent="0.2">
      <c r="A1815" s="1">
        <v>44294</v>
      </c>
      <c r="B1815">
        <v>242.02764892578099</v>
      </c>
      <c r="C1815">
        <v>253.25</v>
      </c>
      <c r="D1815">
        <v>254.13999938964801</v>
      </c>
      <c r="E1815">
        <v>252</v>
      </c>
      <c r="F1815">
        <v>252.77000427246</v>
      </c>
      <c r="G1815" s="2">
        <v>23625200</v>
      </c>
      <c r="H1815" s="3">
        <f t="shared" si="28"/>
        <v>1.3405504384347955E-2</v>
      </c>
      <c r="J1815" s="3">
        <v>2.7458851744308621E-3</v>
      </c>
      <c r="K1815" s="3">
        <v>0.57026092423766106</v>
      </c>
    </row>
    <row r="1816" spans="1:11" x14ac:dyDescent="0.2">
      <c r="A1816" s="1">
        <v>44295</v>
      </c>
      <c r="B1816">
        <v>244.51246643066401</v>
      </c>
      <c r="C1816">
        <v>255.850006103515</v>
      </c>
      <c r="D1816">
        <v>255.99000549316401</v>
      </c>
      <c r="E1816">
        <v>252.44000244140599</v>
      </c>
      <c r="F1816">
        <v>252.86999511718699</v>
      </c>
      <c r="G1816" s="2">
        <v>24326800</v>
      </c>
      <c r="H1816" s="3">
        <f t="shared" si="28"/>
        <v>1.0266667944392571E-2</v>
      </c>
      <c r="J1816" s="3">
        <v>2.7462972739487057E-3</v>
      </c>
      <c r="K1816" s="3">
        <v>0.57057529078906</v>
      </c>
    </row>
    <row r="1817" spans="1:11" x14ac:dyDescent="0.2">
      <c r="A1817" s="1">
        <v>44298</v>
      </c>
      <c r="B1817">
        <v>244.56977844238199</v>
      </c>
      <c r="C1817">
        <v>255.91000366210901</v>
      </c>
      <c r="D1817">
        <v>257.67001342773398</v>
      </c>
      <c r="E1817">
        <v>254.61999511718699</v>
      </c>
      <c r="F1817">
        <v>254.71000671386699</v>
      </c>
      <c r="G1817" s="2">
        <v>27148700</v>
      </c>
      <c r="H1817" s="3">
        <f t="shared" si="28"/>
        <v>2.3439300480099234E-4</v>
      </c>
      <c r="J1817" s="3">
        <v>2.7567136387456337E-3</v>
      </c>
      <c r="K1817" s="3">
        <v>0.57088965734045893</v>
      </c>
    </row>
    <row r="1818" spans="1:11" x14ac:dyDescent="0.2">
      <c r="A1818" s="1">
        <v>44299</v>
      </c>
      <c r="B1818">
        <v>247.03547668457</v>
      </c>
      <c r="C1818">
        <v>258.489990234375</v>
      </c>
      <c r="D1818">
        <v>259.19000244140602</v>
      </c>
      <c r="E1818">
        <v>256.829986572265</v>
      </c>
      <c r="F1818">
        <v>257.260009765625</v>
      </c>
      <c r="G1818" s="2">
        <v>23837500</v>
      </c>
      <c r="H1818" s="3">
        <f t="shared" si="28"/>
        <v>1.0081778124392926E-2</v>
      </c>
      <c r="J1818" s="3">
        <v>2.761101933258292E-3</v>
      </c>
      <c r="K1818" s="3">
        <v>0.57120402389185787</v>
      </c>
    </row>
    <row r="1819" spans="1:11" x14ac:dyDescent="0.2">
      <c r="A1819" s="1">
        <v>44300</v>
      </c>
      <c r="B1819">
        <v>244.26394653320301</v>
      </c>
      <c r="C1819">
        <v>255.58999633789</v>
      </c>
      <c r="D1819">
        <v>258.829986572265</v>
      </c>
      <c r="E1819">
        <v>255.16000366210901</v>
      </c>
      <c r="F1819">
        <v>257.48001098632801</v>
      </c>
      <c r="G1819" s="2">
        <v>23070900</v>
      </c>
      <c r="H1819" s="3">
        <f t="shared" si="28"/>
        <v>-1.1219158432478338E-2</v>
      </c>
      <c r="J1819" s="3">
        <v>2.7674617725892414E-3</v>
      </c>
      <c r="K1819" s="3">
        <v>0.57151839044325681</v>
      </c>
    </row>
    <row r="1820" spans="1:11" x14ac:dyDescent="0.2">
      <c r="A1820" s="1">
        <v>44301</v>
      </c>
      <c r="B1820">
        <v>248.00070190429599</v>
      </c>
      <c r="C1820">
        <v>259.5</v>
      </c>
      <c r="D1820">
        <v>259.92999267578102</v>
      </c>
      <c r="E1820">
        <v>257.73001098632801</v>
      </c>
      <c r="F1820">
        <v>257.92999267578102</v>
      </c>
      <c r="G1820" s="2">
        <v>25627500</v>
      </c>
      <c r="H1820" s="3">
        <f t="shared" si="28"/>
        <v>1.5298022586337945E-2</v>
      </c>
      <c r="J1820" s="3">
        <v>2.782505855674744E-3</v>
      </c>
      <c r="K1820" s="3">
        <v>0.57183275699465574</v>
      </c>
    </row>
    <row r="1821" spans="1:11" x14ac:dyDescent="0.2">
      <c r="A1821" s="1">
        <v>44302</v>
      </c>
      <c r="B1821">
        <v>249.18568420410099</v>
      </c>
      <c r="C1821">
        <v>260.739990234375</v>
      </c>
      <c r="D1821">
        <v>261</v>
      </c>
      <c r="E1821">
        <v>257.600006103515</v>
      </c>
      <c r="F1821">
        <v>259.47000122070301</v>
      </c>
      <c r="G1821" s="2">
        <v>24878600</v>
      </c>
      <c r="H1821" s="3">
        <f t="shared" si="28"/>
        <v>4.7781409113201168E-3</v>
      </c>
      <c r="J1821" s="3">
        <v>2.7840568209609451E-3</v>
      </c>
      <c r="K1821" s="3">
        <v>0.57214712354605468</v>
      </c>
    </row>
    <row r="1822" spans="1:11" x14ac:dyDescent="0.2">
      <c r="A1822" s="1">
        <v>44305</v>
      </c>
      <c r="B1822">
        <v>247.27430725097599</v>
      </c>
      <c r="C1822">
        <v>258.739990234375</v>
      </c>
      <c r="D1822">
        <v>261.48001098632801</v>
      </c>
      <c r="E1822">
        <v>257.82000732421801</v>
      </c>
      <c r="F1822">
        <v>260.19000244140602</v>
      </c>
      <c r="G1822" s="2">
        <v>23209300</v>
      </c>
      <c r="H1822" s="3">
        <f t="shared" si="28"/>
        <v>-7.67049262572983E-3</v>
      </c>
      <c r="J1822" s="3">
        <v>2.7958037549529191E-3</v>
      </c>
      <c r="K1822" s="3">
        <v>0.57246149009745362</v>
      </c>
    </row>
    <row r="1823" spans="1:11" x14ac:dyDescent="0.2">
      <c r="A1823" s="1">
        <v>44306</v>
      </c>
      <c r="B1823">
        <v>246.81571960449199</v>
      </c>
      <c r="C1823">
        <v>258.260009765625</v>
      </c>
      <c r="D1823">
        <v>260.20001220703102</v>
      </c>
      <c r="E1823">
        <v>256.83999633789</v>
      </c>
      <c r="F1823">
        <v>257.82000732421801</v>
      </c>
      <c r="G1823" s="2">
        <v>19722900</v>
      </c>
      <c r="H1823" s="3">
        <f t="shared" si="28"/>
        <v>-1.8545705438719473E-3</v>
      </c>
      <c r="J1823" s="3">
        <v>2.796512776740645E-3</v>
      </c>
      <c r="K1823" s="3">
        <v>0.57277585664885255</v>
      </c>
    </row>
    <row r="1824" spans="1:11" x14ac:dyDescent="0.2">
      <c r="A1824" s="1">
        <v>44307</v>
      </c>
      <c r="B1824">
        <v>249.03282165527301</v>
      </c>
      <c r="C1824">
        <v>260.579986572265</v>
      </c>
      <c r="D1824">
        <v>260.67999267578102</v>
      </c>
      <c r="E1824">
        <v>257.25</v>
      </c>
      <c r="F1824">
        <v>258.94000244140602</v>
      </c>
      <c r="G1824" s="2">
        <v>24030400</v>
      </c>
      <c r="H1824" s="3">
        <f t="shared" si="28"/>
        <v>8.9828235184281624E-3</v>
      </c>
      <c r="J1824" s="3">
        <v>2.8082794309345349E-3</v>
      </c>
      <c r="K1824" s="3">
        <v>0.57309022320025149</v>
      </c>
    </row>
    <row r="1825" spans="1:11" x14ac:dyDescent="0.2">
      <c r="A1825" s="1">
        <v>44308</v>
      </c>
      <c r="B1825">
        <v>245.77392578125</v>
      </c>
      <c r="C1825">
        <v>257.17001342773398</v>
      </c>
      <c r="D1825">
        <v>261.77999877929602</v>
      </c>
      <c r="E1825">
        <v>255.63999938964801</v>
      </c>
      <c r="F1825">
        <v>260.20999145507801</v>
      </c>
      <c r="G1825" s="2">
        <v>25606200</v>
      </c>
      <c r="H1825" s="3">
        <f t="shared" si="28"/>
        <v>-1.3086210292931555E-2</v>
      </c>
      <c r="J1825" s="3">
        <v>2.8191790682241535E-3</v>
      </c>
      <c r="K1825" s="3">
        <v>0.57340458975165043</v>
      </c>
    </row>
    <row r="1826" spans="1:11" x14ac:dyDescent="0.2">
      <c r="A1826" s="1">
        <v>44309</v>
      </c>
      <c r="B1826">
        <v>249.57756042480401</v>
      </c>
      <c r="C1826">
        <v>261.14999389648398</v>
      </c>
      <c r="D1826">
        <v>261.510009765625</v>
      </c>
      <c r="E1826">
        <v>257.26998901367102</v>
      </c>
      <c r="F1826">
        <v>257.88000488281199</v>
      </c>
      <c r="G1826" s="2">
        <v>21462600</v>
      </c>
      <c r="H1826" s="3">
        <f t="shared" si="28"/>
        <v>1.5476152042830593E-2</v>
      </c>
      <c r="J1826" s="3">
        <v>2.8204295668934343E-3</v>
      </c>
      <c r="K1826" s="3">
        <v>0.57371895630304937</v>
      </c>
    </row>
    <row r="1827" spans="1:11" x14ac:dyDescent="0.2">
      <c r="A1827" s="1">
        <v>44312</v>
      </c>
      <c r="B1827">
        <v>249.95977783203099</v>
      </c>
      <c r="C1827">
        <v>261.54998779296801</v>
      </c>
      <c r="D1827">
        <v>262.44000244140602</v>
      </c>
      <c r="E1827">
        <v>260.17001342773398</v>
      </c>
      <c r="F1827">
        <v>261.66000366210898</v>
      </c>
      <c r="G1827" s="2">
        <v>19763300</v>
      </c>
      <c r="H1827" s="3">
        <f t="shared" si="28"/>
        <v>1.5314574217988319E-3</v>
      </c>
      <c r="J1827" s="3">
        <v>2.8279442584442371E-3</v>
      </c>
      <c r="K1827" s="3">
        <v>0.5740333228544483</v>
      </c>
    </row>
    <row r="1828" spans="1:11" x14ac:dyDescent="0.2">
      <c r="A1828" s="1">
        <v>44313</v>
      </c>
      <c r="B1828">
        <v>250.36128234863199</v>
      </c>
      <c r="C1828">
        <v>261.97000122070301</v>
      </c>
      <c r="D1828">
        <v>263.19000244140602</v>
      </c>
      <c r="E1828">
        <v>260.11999511718699</v>
      </c>
      <c r="F1828">
        <v>261.579986572265</v>
      </c>
      <c r="G1828" s="2">
        <v>31014200</v>
      </c>
      <c r="H1828" s="3">
        <f t="shared" si="28"/>
        <v>1.606276498096415E-3</v>
      </c>
      <c r="J1828" s="3">
        <v>2.8861712028971365E-3</v>
      </c>
      <c r="K1828" s="3">
        <v>0.57434768940584724</v>
      </c>
    </row>
    <row r="1829" spans="1:11" x14ac:dyDescent="0.2">
      <c r="A1829" s="1">
        <v>44314</v>
      </c>
      <c r="B1829">
        <v>243.27961730957</v>
      </c>
      <c r="C1829">
        <v>254.55999755859301</v>
      </c>
      <c r="D1829">
        <v>256.54000854492102</v>
      </c>
      <c r="E1829">
        <v>252.94999694824199</v>
      </c>
      <c r="F1829">
        <v>256.079986572265</v>
      </c>
      <c r="G1829" s="2">
        <v>46903100</v>
      </c>
      <c r="H1829" s="3">
        <f t="shared" si="28"/>
        <v>-2.8285783539008458E-2</v>
      </c>
      <c r="J1829" s="3">
        <v>2.9185851182009781E-3</v>
      </c>
      <c r="K1829" s="3">
        <v>0.57466205595724618</v>
      </c>
    </row>
    <row r="1830" spans="1:11" x14ac:dyDescent="0.2">
      <c r="A1830" s="1">
        <v>44315</v>
      </c>
      <c r="B1830">
        <v>241.32046508789</v>
      </c>
      <c r="C1830">
        <v>252.509994506835</v>
      </c>
      <c r="D1830">
        <v>256.100006103515</v>
      </c>
      <c r="E1830">
        <v>249</v>
      </c>
      <c r="F1830">
        <v>255.46000671386699</v>
      </c>
      <c r="G1830" s="2">
        <v>40589000</v>
      </c>
      <c r="H1830" s="3">
        <f t="shared" si="28"/>
        <v>-8.0530882255828162E-3</v>
      </c>
      <c r="J1830" s="3">
        <v>2.9316339200033958E-3</v>
      </c>
      <c r="K1830" s="3">
        <v>0.57497642250864511</v>
      </c>
    </row>
    <row r="1831" spans="1:11" x14ac:dyDescent="0.2">
      <c r="A1831" s="1">
        <v>44316</v>
      </c>
      <c r="B1831">
        <v>241.00505065917901</v>
      </c>
      <c r="C1831">
        <v>252.17999267578099</v>
      </c>
      <c r="D1831">
        <v>253.08000183105401</v>
      </c>
      <c r="E1831">
        <v>249.600006103515</v>
      </c>
      <c r="F1831">
        <v>249.74000549316401</v>
      </c>
      <c r="G1831" s="2">
        <v>30945100</v>
      </c>
      <c r="H1831" s="3">
        <f t="shared" si="28"/>
        <v>-1.3070355578674864E-3</v>
      </c>
      <c r="J1831" s="3">
        <v>2.9355623720279667E-3</v>
      </c>
      <c r="K1831" s="3">
        <v>0.57529078906004405</v>
      </c>
    </row>
    <row r="1832" spans="1:11" x14ac:dyDescent="0.2">
      <c r="A1832" s="1">
        <v>44319</v>
      </c>
      <c r="B1832">
        <v>240.69923400878901</v>
      </c>
      <c r="C1832">
        <v>251.86000061035099</v>
      </c>
      <c r="D1832">
        <v>254.350006103515</v>
      </c>
      <c r="E1832">
        <v>251.11999511718699</v>
      </c>
      <c r="F1832">
        <v>253.39999389648401</v>
      </c>
      <c r="G1832" s="2">
        <v>19626600</v>
      </c>
      <c r="H1832" s="3">
        <f t="shared" si="28"/>
        <v>-1.2689221638864101E-3</v>
      </c>
      <c r="J1832" s="3">
        <v>2.9356768446566761E-3</v>
      </c>
      <c r="K1832" s="3">
        <v>0.57560515561144299</v>
      </c>
    </row>
    <row r="1833" spans="1:11" x14ac:dyDescent="0.2">
      <c r="A1833" s="1">
        <v>44320</v>
      </c>
      <c r="B1833">
        <v>236.80960083007801</v>
      </c>
      <c r="C1833">
        <v>247.78999328613199</v>
      </c>
      <c r="D1833">
        <v>251.21000671386699</v>
      </c>
      <c r="E1833">
        <v>245.759994506835</v>
      </c>
      <c r="F1833">
        <v>250.97000122070301</v>
      </c>
      <c r="G1833" s="2">
        <v>32756100</v>
      </c>
      <c r="H1833" s="3">
        <f t="shared" si="28"/>
        <v>-1.6159723958942718E-2</v>
      </c>
      <c r="J1833" s="3">
        <v>2.9459212486371289E-3</v>
      </c>
      <c r="K1833" s="3">
        <v>0.57591952216284192</v>
      </c>
    </row>
    <row r="1834" spans="1:11" x14ac:dyDescent="0.2">
      <c r="A1834" s="1">
        <v>44321</v>
      </c>
      <c r="B1834">
        <v>235.54811096191401</v>
      </c>
      <c r="C1834">
        <v>246.47000122070301</v>
      </c>
      <c r="D1834">
        <v>249.5</v>
      </c>
      <c r="E1834">
        <v>245.82000732421801</v>
      </c>
      <c r="F1834">
        <v>249.05999755859301</v>
      </c>
      <c r="G1834" s="2">
        <v>21901300</v>
      </c>
      <c r="H1834" s="3">
        <f t="shared" si="28"/>
        <v>-5.3270216399257109E-3</v>
      </c>
      <c r="J1834" s="3">
        <v>2.9591709988245896E-3</v>
      </c>
      <c r="K1834" s="3">
        <v>0.57623388871424075</v>
      </c>
    </row>
    <row r="1835" spans="1:11" x14ac:dyDescent="0.2">
      <c r="A1835" s="1">
        <v>44322</v>
      </c>
      <c r="B1835">
        <v>238.66361999511699</v>
      </c>
      <c r="C1835">
        <v>249.72999572753901</v>
      </c>
      <c r="D1835">
        <v>249.86000061035099</v>
      </c>
      <c r="E1835">
        <v>244.69000244140599</v>
      </c>
      <c r="F1835">
        <v>246.44999694824199</v>
      </c>
      <c r="G1835" s="2">
        <v>26491100</v>
      </c>
      <c r="H1835" s="3">
        <f t="shared" si="28"/>
        <v>1.3226635613760918E-2</v>
      </c>
      <c r="J1835" s="3">
        <v>2.9604616206049261E-3</v>
      </c>
      <c r="K1835" s="3">
        <v>0.57654825526563969</v>
      </c>
    </row>
    <row r="1836" spans="1:11" x14ac:dyDescent="0.2">
      <c r="A1836" s="1">
        <v>44323</v>
      </c>
      <c r="B1836">
        <v>241.27264404296801</v>
      </c>
      <c r="C1836">
        <v>252.46000671386699</v>
      </c>
      <c r="D1836">
        <v>254.30000305175699</v>
      </c>
      <c r="E1836">
        <v>251.169998168945</v>
      </c>
      <c r="F1836">
        <v>252.14999389648401</v>
      </c>
      <c r="G1836" s="2">
        <v>27032900</v>
      </c>
      <c r="H1836" s="3">
        <f t="shared" si="28"/>
        <v>1.0931804553640845E-2</v>
      </c>
      <c r="J1836" s="3">
        <v>2.9626541357323788E-3</v>
      </c>
      <c r="K1836" s="3">
        <v>0.57686262181703862</v>
      </c>
    </row>
    <row r="1837" spans="1:11" x14ac:dyDescent="0.2">
      <c r="A1837" s="1">
        <v>44326</v>
      </c>
      <c r="B1837">
        <v>236.22662353515599</v>
      </c>
      <c r="C1837">
        <v>247.17999267578099</v>
      </c>
      <c r="D1837">
        <v>251.72999572753901</v>
      </c>
      <c r="E1837">
        <v>247.11999511718699</v>
      </c>
      <c r="F1837">
        <v>250.86999511718699</v>
      </c>
      <c r="G1837" s="2">
        <v>29299900</v>
      </c>
      <c r="H1837" s="3">
        <f t="shared" si="28"/>
        <v>-2.0914184149751214E-2</v>
      </c>
      <c r="J1837" s="3">
        <v>2.9641637517920927E-3</v>
      </c>
      <c r="K1837" s="3">
        <v>0.57717698836843756</v>
      </c>
    </row>
    <row r="1838" spans="1:11" x14ac:dyDescent="0.2">
      <c r="A1838" s="1">
        <v>44327</v>
      </c>
      <c r="B1838">
        <v>235.31871032714801</v>
      </c>
      <c r="C1838">
        <v>246.22999572753901</v>
      </c>
      <c r="D1838">
        <v>246.600006103515</v>
      </c>
      <c r="E1838">
        <v>242.57000732421801</v>
      </c>
      <c r="F1838">
        <v>244.55000305175699</v>
      </c>
      <c r="G1838" s="2">
        <v>33641600</v>
      </c>
      <c r="H1838" s="3">
        <f t="shared" si="28"/>
        <v>-3.8433991665332012E-3</v>
      </c>
      <c r="J1838" s="3">
        <v>2.9841139683561835E-3</v>
      </c>
      <c r="K1838" s="3">
        <v>0.5774913549198365</v>
      </c>
    </row>
    <row r="1839" spans="1:11" x14ac:dyDescent="0.2">
      <c r="A1839" s="1">
        <v>44328</v>
      </c>
      <c r="B1839">
        <v>228.40914916992099</v>
      </c>
      <c r="C1839">
        <v>239</v>
      </c>
      <c r="D1839">
        <v>244.38000488281199</v>
      </c>
      <c r="E1839">
        <v>238.07000732421801</v>
      </c>
      <c r="F1839">
        <v>242.169998168945</v>
      </c>
      <c r="G1839" s="2">
        <v>36684400</v>
      </c>
      <c r="H1839" s="3">
        <f t="shared" si="28"/>
        <v>-2.9362565975400434E-2</v>
      </c>
      <c r="J1839" s="3">
        <v>2.9991413995702487E-3</v>
      </c>
      <c r="K1839" s="3">
        <v>0.57780572147123543</v>
      </c>
    </row>
    <row r="1840" spans="1:11" x14ac:dyDescent="0.2">
      <c r="A1840" s="1">
        <v>44329</v>
      </c>
      <c r="B1840">
        <v>232.26054382324199</v>
      </c>
      <c r="C1840">
        <v>243.02999877929599</v>
      </c>
      <c r="D1840">
        <v>245.600006103515</v>
      </c>
      <c r="E1840">
        <v>241.419998168945</v>
      </c>
      <c r="F1840">
        <v>241.80000305175699</v>
      </c>
      <c r="G1840" s="2">
        <v>29624300</v>
      </c>
      <c r="H1840" s="3">
        <f t="shared" si="28"/>
        <v>1.6861823036938839E-2</v>
      </c>
      <c r="J1840" s="3">
        <v>3.0187693172203378E-3</v>
      </c>
      <c r="K1840" s="3">
        <v>0.57812008802263437</v>
      </c>
    </row>
    <row r="1841" spans="1:11" x14ac:dyDescent="0.2">
      <c r="A1841" s="1">
        <v>44330</v>
      </c>
      <c r="B1841">
        <v>237.15367126464801</v>
      </c>
      <c r="C1841">
        <v>248.14999389648401</v>
      </c>
      <c r="D1841">
        <v>249.17999267578099</v>
      </c>
      <c r="E1841">
        <v>245.49000549316401</v>
      </c>
      <c r="F1841">
        <v>245.58000183105401</v>
      </c>
      <c r="G1841" s="2">
        <v>23901100</v>
      </c>
      <c r="H1841" s="3">
        <f t="shared" si="28"/>
        <v>2.106740714914479E-2</v>
      </c>
      <c r="J1841" s="3">
        <v>3.0202546801372243E-3</v>
      </c>
      <c r="K1841" s="3">
        <v>0.57843445457403331</v>
      </c>
    </row>
    <row r="1842" spans="1:11" x14ac:dyDescent="0.2">
      <c r="A1842" s="1">
        <v>44333</v>
      </c>
      <c r="B1842">
        <v>234.31524658203099</v>
      </c>
      <c r="C1842">
        <v>245.17999267578099</v>
      </c>
      <c r="D1842">
        <v>246.58999633789</v>
      </c>
      <c r="E1842">
        <v>243.52000427246</v>
      </c>
      <c r="F1842">
        <v>246.55000305175699</v>
      </c>
      <c r="G1842" s="2">
        <v>24970200</v>
      </c>
      <c r="H1842" s="3">
        <f t="shared" si="28"/>
        <v>-1.1968714915863599E-2</v>
      </c>
      <c r="J1842" s="3">
        <v>3.0208292414155569E-3</v>
      </c>
      <c r="K1842" s="3">
        <v>0.57874882112543224</v>
      </c>
    </row>
    <row r="1843" spans="1:11" x14ac:dyDescent="0.2">
      <c r="A1843" s="1">
        <v>44334</v>
      </c>
      <c r="B1843">
        <v>232.30831909179599</v>
      </c>
      <c r="C1843">
        <v>243.08000183105401</v>
      </c>
      <c r="D1843">
        <v>246.41000366210901</v>
      </c>
      <c r="E1843">
        <v>242.89999389648401</v>
      </c>
      <c r="F1843">
        <v>246.27000427246</v>
      </c>
      <c r="G1843" s="2">
        <v>20168000</v>
      </c>
      <c r="H1843" s="3">
        <f t="shared" si="28"/>
        <v>-8.5650742728445861E-3</v>
      </c>
      <c r="J1843" s="3">
        <v>3.0543913746876594E-3</v>
      </c>
      <c r="K1843" s="3">
        <v>0.57906318767683118</v>
      </c>
    </row>
    <row r="1844" spans="1:11" x14ac:dyDescent="0.2">
      <c r="A1844" s="1">
        <v>44335</v>
      </c>
      <c r="B1844">
        <v>232.883056640625</v>
      </c>
      <c r="C1844">
        <v>243.11999511718699</v>
      </c>
      <c r="D1844">
        <v>243.22999572753901</v>
      </c>
      <c r="E1844">
        <v>238.600006103515</v>
      </c>
      <c r="F1844">
        <v>239.30999755859301</v>
      </c>
      <c r="G1844" s="2">
        <v>25739800</v>
      </c>
      <c r="H1844" s="3">
        <f t="shared" si="28"/>
        <v>2.4740291310958451E-3</v>
      </c>
      <c r="J1844" s="3">
        <v>3.0590574415065852E-3</v>
      </c>
      <c r="K1844" s="3">
        <v>0.57937755422823012</v>
      </c>
    </row>
    <row r="1845" spans="1:11" x14ac:dyDescent="0.2">
      <c r="A1845" s="1">
        <v>44336</v>
      </c>
      <c r="B1845">
        <v>236.1015625</v>
      </c>
      <c r="C1845">
        <v>246.47999572753901</v>
      </c>
      <c r="D1845">
        <v>247.94999694824199</v>
      </c>
      <c r="E1845">
        <v>243.86000061035099</v>
      </c>
      <c r="F1845">
        <v>243.96000671386699</v>
      </c>
      <c r="G1845" s="2">
        <v>21800700</v>
      </c>
      <c r="H1845" s="3">
        <f t="shared" si="28"/>
        <v>1.382026629932831E-2</v>
      </c>
      <c r="J1845" s="3">
        <v>3.0672967374907323E-3</v>
      </c>
      <c r="K1845" s="3">
        <v>0.57969192077962906</v>
      </c>
    </row>
    <row r="1846" spans="1:11" x14ac:dyDescent="0.2">
      <c r="A1846" s="1">
        <v>44337</v>
      </c>
      <c r="B1846">
        <v>234.84672546386699</v>
      </c>
      <c r="C1846">
        <v>245.169998168945</v>
      </c>
      <c r="D1846">
        <v>248.33000183105401</v>
      </c>
      <c r="E1846">
        <v>244.74000549316401</v>
      </c>
      <c r="F1846">
        <v>247.57000732421801</v>
      </c>
      <c r="G1846" s="2">
        <v>21863100</v>
      </c>
      <c r="H1846" s="3">
        <f t="shared" si="28"/>
        <v>-5.3148188552670783E-3</v>
      </c>
      <c r="J1846" s="3">
        <v>3.0691349079279284E-3</v>
      </c>
      <c r="K1846" s="3">
        <v>0.58000628733102799</v>
      </c>
    </row>
    <row r="1847" spans="1:11" x14ac:dyDescent="0.2">
      <c r="A1847" s="1">
        <v>44340</v>
      </c>
      <c r="B1847">
        <v>240.22050476074199</v>
      </c>
      <c r="C1847">
        <v>250.77999877929599</v>
      </c>
      <c r="D1847">
        <v>251.16000366210901</v>
      </c>
      <c r="E1847">
        <v>247.509994506835</v>
      </c>
      <c r="F1847">
        <v>247.78999328613199</v>
      </c>
      <c r="G1847" s="2">
        <v>21411500</v>
      </c>
      <c r="H1847" s="3">
        <f t="shared" si="28"/>
        <v>2.2882070364237617E-2</v>
      </c>
      <c r="J1847" s="3">
        <v>3.089185766117275E-3</v>
      </c>
      <c r="K1847" s="3">
        <v>0.58032065388242693</v>
      </c>
    </row>
    <row r="1848" spans="1:11" x14ac:dyDescent="0.2">
      <c r="A1848" s="1">
        <v>44341</v>
      </c>
      <c r="B1848">
        <v>241.12095642089801</v>
      </c>
      <c r="C1848">
        <v>251.72000122070301</v>
      </c>
      <c r="D1848">
        <v>252.75</v>
      </c>
      <c r="E1848">
        <v>250.82000732421801</v>
      </c>
      <c r="F1848">
        <v>251.77000427246</v>
      </c>
      <c r="G1848" s="2">
        <v>17704300</v>
      </c>
      <c r="H1848" s="3">
        <f t="shared" si="28"/>
        <v>3.7484379655803313E-3</v>
      </c>
      <c r="J1848" s="3">
        <v>3.0962020553553238E-3</v>
      </c>
      <c r="K1848" s="3">
        <v>0.58063502043382587</v>
      </c>
    </row>
    <row r="1849" spans="1:11" x14ac:dyDescent="0.2">
      <c r="A1849" s="1">
        <v>44342</v>
      </c>
      <c r="B1849">
        <v>240.90065002441401</v>
      </c>
      <c r="C1849">
        <v>251.49000549316401</v>
      </c>
      <c r="D1849">
        <v>252.94000244140599</v>
      </c>
      <c r="E1849">
        <v>250.75</v>
      </c>
      <c r="F1849">
        <v>251.42999267578099</v>
      </c>
      <c r="G1849" s="2">
        <v>17771600</v>
      </c>
      <c r="H1849" s="3">
        <f t="shared" si="28"/>
        <v>-9.1367585693979958E-4</v>
      </c>
      <c r="J1849" s="3">
        <v>3.1067348948157214E-3</v>
      </c>
      <c r="K1849" s="3">
        <v>0.5809493869852248</v>
      </c>
    </row>
    <row r="1850" spans="1:11" x14ac:dyDescent="0.2">
      <c r="A1850" s="1">
        <v>44343</v>
      </c>
      <c r="B1850">
        <v>238.81243896484301</v>
      </c>
      <c r="C1850">
        <v>249.30999755859301</v>
      </c>
      <c r="D1850">
        <v>251.47999572753901</v>
      </c>
      <c r="E1850">
        <v>249.25</v>
      </c>
      <c r="F1850">
        <v>251.169998168945</v>
      </c>
      <c r="G1850" s="2">
        <v>24426200</v>
      </c>
      <c r="H1850" s="3">
        <f t="shared" si="28"/>
        <v>-8.6683496261191761E-3</v>
      </c>
      <c r="J1850" s="3">
        <v>3.1216109813112514E-3</v>
      </c>
      <c r="K1850" s="3">
        <v>0.58126375353662374</v>
      </c>
    </row>
    <row r="1851" spans="1:11" x14ac:dyDescent="0.2">
      <c r="A1851" s="1">
        <v>44344</v>
      </c>
      <c r="B1851">
        <v>239.16679382324199</v>
      </c>
      <c r="C1851">
        <v>249.67999267578099</v>
      </c>
      <c r="D1851">
        <v>252.08000183105401</v>
      </c>
      <c r="E1851">
        <v>249.55999755859301</v>
      </c>
      <c r="F1851">
        <v>251</v>
      </c>
      <c r="G1851" s="2">
        <v>18270200</v>
      </c>
      <c r="H1851" s="3">
        <f t="shared" si="28"/>
        <v>1.4838207755631938E-3</v>
      </c>
      <c r="J1851" s="3">
        <v>3.1264882902641844E-3</v>
      </c>
      <c r="K1851" s="3">
        <v>0.58157812008802268</v>
      </c>
    </row>
    <row r="1852" spans="1:11" x14ac:dyDescent="0.2">
      <c r="A1852" s="1">
        <v>44348</v>
      </c>
      <c r="B1852">
        <v>236.98284912109301</v>
      </c>
      <c r="C1852">
        <v>247.39999389648401</v>
      </c>
      <c r="D1852">
        <v>251.28999328613199</v>
      </c>
      <c r="E1852">
        <v>246.96000671386699</v>
      </c>
      <c r="F1852">
        <v>251.22999572753901</v>
      </c>
      <c r="G1852" s="2">
        <v>23213300</v>
      </c>
      <c r="H1852" s="3">
        <f t="shared" si="28"/>
        <v>-9.1314712516614716E-3</v>
      </c>
      <c r="J1852" s="3">
        <v>3.1328401407795248E-3</v>
      </c>
      <c r="K1852" s="3">
        <v>0.58189248663942161</v>
      </c>
    </row>
    <row r="1853" spans="1:11" x14ac:dyDescent="0.2">
      <c r="A1853" s="1">
        <v>44349</v>
      </c>
      <c r="B1853">
        <v>236.88706970214801</v>
      </c>
      <c r="C1853">
        <v>247.30000305175699</v>
      </c>
      <c r="D1853">
        <v>249.27000427246</v>
      </c>
      <c r="E1853">
        <v>245.83999633789</v>
      </c>
      <c r="F1853">
        <v>248.13000488281199</v>
      </c>
      <c r="G1853" s="2">
        <v>19406700</v>
      </c>
      <c r="H1853" s="3">
        <f t="shared" si="28"/>
        <v>-4.0416181719571398E-4</v>
      </c>
      <c r="J1853" s="3">
        <v>3.1441550485353797E-3</v>
      </c>
      <c r="K1853" s="3">
        <v>0.58220685319082055</v>
      </c>
    </row>
    <row r="1854" spans="1:11" x14ac:dyDescent="0.2">
      <c r="A1854" s="1">
        <v>44350</v>
      </c>
      <c r="B1854">
        <v>235.36402893066401</v>
      </c>
      <c r="C1854">
        <v>245.71000671386699</v>
      </c>
      <c r="D1854">
        <v>246.33999633789</v>
      </c>
      <c r="E1854">
        <v>243</v>
      </c>
      <c r="F1854">
        <v>245.22000122070301</v>
      </c>
      <c r="G1854" s="2">
        <v>25307700</v>
      </c>
      <c r="H1854" s="3">
        <f t="shared" si="28"/>
        <v>-6.4293959708270343E-3</v>
      </c>
      <c r="J1854" s="3">
        <v>3.145047275511681E-3</v>
      </c>
      <c r="K1854" s="3">
        <v>0.58252121974221938</v>
      </c>
    </row>
    <row r="1855" spans="1:11" x14ac:dyDescent="0.2">
      <c r="A1855" s="1">
        <v>44351</v>
      </c>
      <c r="B1855">
        <v>240.23010253906199</v>
      </c>
      <c r="C1855">
        <v>250.78999328613199</v>
      </c>
      <c r="D1855">
        <v>251.64999389648401</v>
      </c>
      <c r="E1855">
        <v>247.509994506835</v>
      </c>
      <c r="F1855">
        <v>247.759994506835</v>
      </c>
      <c r="G1855" s="2">
        <v>25281100</v>
      </c>
      <c r="H1855" s="3">
        <f t="shared" si="28"/>
        <v>2.0674669916665556E-2</v>
      </c>
      <c r="J1855" s="3">
        <v>3.1498175111628335E-3</v>
      </c>
      <c r="K1855" s="3">
        <v>0.58283558629361831</v>
      </c>
    </row>
    <row r="1856" spans="1:11" x14ac:dyDescent="0.2">
      <c r="A1856" s="1">
        <v>44354</v>
      </c>
      <c r="B1856">
        <v>243.12297058105401</v>
      </c>
      <c r="C1856">
        <v>253.80999755859301</v>
      </c>
      <c r="D1856">
        <v>254.08999633789</v>
      </c>
      <c r="E1856">
        <v>249.80999755859301</v>
      </c>
      <c r="F1856">
        <v>249.97999572753901</v>
      </c>
      <c r="G1856" s="2">
        <v>23079200</v>
      </c>
      <c r="H1856" s="3">
        <f t="shared" si="28"/>
        <v>1.2042071378301378E-2</v>
      </c>
      <c r="J1856" s="3">
        <v>3.1611611327855282E-3</v>
      </c>
      <c r="K1856" s="3">
        <v>0.58314995284501725</v>
      </c>
    </row>
    <row r="1857" spans="1:11" x14ac:dyDescent="0.2">
      <c r="A1857" s="1">
        <v>44355</v>
      </c>
      <c r="B1857">
        <v>241.93519592285099</v>
      </c>
      <c r="C1857">
        <v>252.57000732421801</v>
      </c>
      <c r="D1857">
        <v>256.010009765625</v>
      </c>
      <c r="E1857">
        <v>252.509994506835</v>
      </c>
      <c r="F1857">
        <v>255.16000366210901</v>
      </c>
      <c r="G1857" s="2">
        <v>22455000</v>
      </c>
      <c r="H1857" s="3">
        <f t="shared" si="28"/>
        <v>-4.8854892458918275E-3</v>
      </c>
      <c r="J1857" s="3">
        <v>3.1657603260371037E-3</v>
      </c>
      <c r="K1857" s="3">
        <v>0.58346431939641619</v>
      </c>
    </row>
    <row r="1858" spans="1:11" x14ac:dyDescent="0.2">
      <c r="A1858" s="1">
        <v>44356</v>
      </c>
      <c r="B1858">
        <v>242.91221618652301</v>
      </c>
      <c r="C1858">
        <v>253.58999633789</v>
      </c>
      <c r="D1858">
        <v>255.52999877929599</v>
      </c>
      <c r="E1858">
        <v>253.21000671386699</v>
      </c>
      <c r="F1858">
        <v>253.80999755859301</v>
      </c>
      <c r="G1858" s="2">
        <v>17937600</v>
      </c>
      <c r="H1858" s="3">
        <f t="shared" ref="H1858:H1921" si="29">B1858/B1857-1</f>
        <v>4.0383552295697456E-3</v>
      </c>
      <c r="J1858" s="3">
        <v>3.2273981937323004E-3</v>
      </c>
      <c r="K1858" s="3">
        <v>0.58377868594781512</v>
      </c>
    </row>
    <row r="1859" spans="1:11" x14ac:dyDescent="0.2">
      <c r="A1859" s="1">
        <v>44357</v>
      </c>
      <c r="B1859">
        <v>246.40852355957</v>
      </c>
      <c r="C1859">
        <v>257.239990234375</v>
      </c>
      <c r="D1859">
        <v>257.45999145507801</v>
      </c>
      <c r="E1859">
        <v>253.669998168945</v>
      </c>
      <c r="F1859">
        <v>254.28999328613199</v>
      </c>
      <c r="G1859" s="2">
        <v>24563600</v>
      </c>
      <c r="H1859" s="3">
        <f t="shared" si="29"/>
        <v>1.439329576723436E-2</v>
      </c>
      <c r="J1859" s="3">
        <v>3.2282045297074013E-3</v>
      </c>
      <c r="K1859" s="3">
        <v>0.58409305249921406</v>
      </c>
    </row>
    <row r="1860" spans="1:11" x14ac:dyDescent="0.2">
      <c r="A1860" s="1">
        <v>44358</v>
      </c>
      <c r="B1860">
        <v>247.03117370605401</v>
      </c>
      <c r="C1860">
        <v>257.89001464843699</v>
      </c>
      <c r="D1860">
        <v>258.489990234375</v>
      </c>
      <c r="E1860">
        <v>256.60998535156199</v>
      </c>
      <c r="F1860">
        <v>257.989990234375</v>
      </c>
      <c r="G1860" s="2">
        <v>18999700</v>
      </c>
      <c r="H1860" s="3">
        <f t="shared" si="29"/>
        <v>2.5269018193418979E-3</v>
      </c>
      <c r="J1860" s="3">
        <v>3.2345622125566909E-3</v>
      </c>
      <c r="K1860" s="3">
        <v>0.584407419050613</v>
      </c>
    </row>
    <row r="1861" spans="1:11" x14ac:dyDescent="0.2">
      <c r="A1861" s="1">
        <v>44361</v>
      </c>
      <c r="B1861">
        <v>248.94696044921801</v>
      </c>
      <c r="C1861">
        <v>259.89001464843699</v>
      </c>
      <c r="D1861">
        <v>259.95001220703102</v>
      </c>
      <c r="E1861">
        <v>256.79998779296801</v>
      </c>
      <c r="F1861">
        <v>257.89999389648398</v>
      </c>
      <c r="G1861" s="2">
        <v>19150500</v>
      </c>
      <c r="H1861" s="3">
        <f t="shared" si="29"/>
        <v>7.7552428481906244E-3</v>
      </c>
      <c r="J1861" s="3">
        <v>3.243786135881388E-3</v>
      </c>
      <c r="K1861" s="3">
        <v>0.58472178560201193</v>
      </c>
    </row>
    <row r="1862" spans="1:11" x14ac:dyDescent="0.2">
      <c r="A1862" s="1">
        <v>44362</v>
      </c>
      <c r="B1862">
        <v>247.48136901855401</v>
      </c>
      <c r="C1862">
        <v>258.35998535156199</v>
      </c>
      <c r="D1862">
        <v>259.989990234375</v>
      </c>
      <c r="E1862">
        <v>257.67999267578102</v>
      </c>
      <c r="F1862">
        <v>259.76998901367102</v>
      </c>
      <c r="G1862" s="2">
        <v>18038900</v>
      </c>
      <c r="H1862" s="3">
        <f t="shared" si="29"/>
        <v>-5.8871633862064288E-3</v>
      </c>
      <c r="J1862" s="3">
        <v>3.2441705950394528E-3</v>
      </c>
      <c r="K1862" s="3">
        <v>0.58503615215341087</v>
      </c>
    </row>
    <row r="1863" spans="1:11" x14ac:dyDescent="0.2">
      <c r="A1863" s="1">
        <v>44363</v>
      </c>
      <c r="B1863">
        <v>246.54264831542901</v>
      </c>
      <c r="C1863">
        <v>257.38000488281199</v>
      </c>
      <c r="D1863">
        <v>260.579986572265</v>
      </c>
      <c r="E1863">
        <v>254.419998168945</v>
      </c>
      <c r="F1863">
        <v>259.39999389648398</v>
      </c>
      <c r="G1863" s="2">
        <v>27220000</v>
      </c>
      <c r="H1863" s="3">
        <f t="shared" si="29"/>
        <v>-3.7930964534733658E-3</v>
      </c>
      <c r="J1863" s="3">
        <v>3.2698491395408702E-3</v>
      </c>
      <c r="K1863" s="3">
        <v>0.58535051870480981</v>
      </c>
    </row>
    <row r="1864" spans="1:11" x14ac:dyDescent="0.2">
      <c r="A1864" s="1">
        <v>44364</v>
      </c>
      <c r="B1864">
        <v>249.91441345214801</v>
      </c>
      <c r="C1864">
        <v>260.89999389648398</v>
      </c>
      <c r="D1864">
        <v>261.75</v>
      </c>
      <c r="E1864">
        <v>256.010009765625</v>
      </c>
      <c r="F1864">
        <v>256.07000732421801</v>
      </c>
      <c r="G1864" s="2">
        <v>27565500</v>
      </c>
      <c r="H1864" s="3">
        <f t="shared" si="29"/>
        <v>1.3676194199087055E-2</v>
      </c>
      <c r="J1864" s="3">
        <v>3.2819494590217158E-3</v>
      </c>
      <c r="K1864" s="3">
        <v>0.58566488525620874</v>
      </c>
    </row>
    <row r="1865" spans="1:11" x14ac:dyDescent="0.2">
      <c r="A1865" s="1">
        <v>44365</v>
      </c>
      <c r="B1865">
        <v>248.50628662109301</v>
      </c>
      <c r="C1865">
        <v>259.42999267578102</v>
      </c>
      <c r="D1865">
        <v>262.29998779296801</v>
      </c>
      <c r="E1865">
        <v>258.75</v>
      </c>
      <c r="F1865">
        <v>259.63000488281199</v>
      </c>
      <c r="G1865" s="2">
        <v>37202200</v>
      </c>
      <c r="H1865" s="3">
        <f t="shared" si="29"/>
        <v>-5.6344362520116542E-3</v>
      </c>
      <c r="J1865" s="3">
        <v>3.3065525131399376E-3</v>
      </c>
      <c r="K1865" s="3">
        <v>0.58597925180760768</v>
      </c>
    </row>
    <row r="1866" spans="1:11" x14ac:dyDescent="0.2">
      <c r="A1866" s="1">
        <v>44368</v>
      </c>
      <c r="B1866">
        <v>251.57156372070301</v>
      </c>
      <c r="C1866">
        <v>262.63000488281199</v>
      </c>
      <c r="D1866">
        <v>263.51998901367102</v>
      </c>
      <c r="E1866">
        <v>257.92001342773398</v>
      </c>
      <c r="F1866">
        <v>259.82000732421801</v>
      </c>
      <c r="G1866" s="2">
        <v>26696100</v>
      </c>
      <c r="H1866" s="3">
        <f t="shared" si="29"/>
        <v>1.2334807063789643E-2</v>
      </c>
      <c r="J1866" s="3">
        <v>3.3183581469116152E-3</v>
      </c>
      <c r="K1866" s="3">
        <v>0.58629361835900662</v>
      </c>
    </row>
    <row r="1867" spans="1:11" x14ac:dyDescent="0.2">
      <c r="A1867" s="1">
        <v>44369</v>
      </c>
      <c r="B1867">
        <v>254.33026123046801</v>
      </c>
      <c r="C1867">
        <v>265.510009765625</v>
      </c>
      <c r="D1867">
        <v>265.79000854492102</v>
      </c>
      <c r="E1867">
        <v>262.39999389648398</v>
      </c>
      <c r="F1867">
        <v>262.72000122070301</v>
      </c>
      <c r="G1867" s="2">
        <v>24694100</v>
      </c>
      <c r="H1867" s="3">
        <f t="shared" si="29"/>
        <v>1.0965855874027763E-2</v>
      </c>
      <c r="J1867" s="3">
        <v>3.320257914246616E-3</v>
      </c>
      <c r="K1867" s="3">
        <v>0.58660798491040556</v>
      </c>
    </row>
    <row r="1868" spans="1:11" x14ac:dyDescent="0.2">
      <c r="A1868" s="1">
        <v>44370</v>
      </c>
      <c r="B1868">
        <v>254.10046386718699</v>
      </c>
      <c r="C1868">
        <v>265.26998901367102</v>
      </c>
      <c r="D1868">
        <v>266.829986572265</v>
      </c>
      <c r="E1868">
        <v>264.42999267578102</v>
      </c>
      <c r="F1868">
        <v>265.989990234375</v>
      </c>
      <c r="G1868" s="2">
        <v>19518700</v>
      </c>
      <c r="H1868" s="3">
        <f t="shared" si="29"/>
        <v>-9.0353920988106573E-4</v>
      </c>
      <c r="J1868" s="3">
        <v>3.3255671305432166E-3</v>
      </c>
      <c r="K1868" s="3">
        <v>0.58692235146180449</v>
      </c>
    </row>
    <row r="1869" spans="1:11" x14ac:dyDescent="0.2">
      <c r="A1869" s="1">
        <v>44371</v>
      </c>
      <c r="B1869">
        <v>255.460693359375</v>
      </c>
      <c r="C1869">
        <v>266.69000244140602</v>
      </c>
      <c r="D1869">
        <v>267.850006103515</v>
      </c>
      <c r="E1869">
        <v>265.47000122070301</v>
      </c>
      <c r="F1869">
        <v>266.16000366210898</v>
      </c>
      <c r="G1869" s="2">
        <v>21446900</v>
      </c>
      <c r="H1869" s="3">
        <f t="shared" si="29"/>
        <v>5.3531169187435168E-3</v>
      </c>
      <c r="J1869" s="3">
        <v>3.3382107314638976E-3</v>
      </c>
      <c r="K1869" s="3">
        <v>0.58723671801320343</v>
      </c>
    </row>
    <row r="1870" spans="1:11" x14ac:dyDescent="0.2">
      <c r="A1870" s="1">
        <v>44372</v>
      </c>
      <c r="B1870">
        <v>253.86088562011699</v>
      </c>
      <c r="C1870">
        <v>265.01998901367102</v>
      </c>
      <c r="D1870">
        <v>267.25</v>
      </c>
      <c r="E1870">
        <v>264.760009765625</v>
      </c>
      <c r="F1870">
        <v>266.23001098632801</v>
      </c>
      <c r="G1870" s="2">
        <v>25611100</v>
      </c>
      <c r="H1870" s="3">
        <f t="shared" si="29"/>
        <v>-6.2624418583544506E-3</v>
      </c>
      <c r="J1870" s="3">
        <v>3.3424892684610352E-3</v>
      </c>
      <c r="K1870" s="3">
        <v>0.58755108456460237</v>
      </c>
    </row>
    <row r="1871" spans="1:11" x14ac:dyDescent="0.2">
      <c r="A1871" s="1">
        <v>44375</v>
      </c>
      <c r="B1871">
        <v>257.40515136718699</v>
      </c>
      <c r="C1871">
        <v>268.72000122070301</v>
      </c>
      <c r="D1871">
        <v>268.89999389648398</v>
      </c>
      <c r="E1871">
        <v>265.91000366210898</v>
      </c>
      <c r="F1871">
        <v>266.19000244140602</v>
      </c>
      <c r="G1871" s="2">
        <v>19590000</v>
      </c>
      <c r="H1871" s="3">
        <f t="shared" si="29"/>
        <v>1.396144876124672E-2</v>
      </c>
      <c r="J1871" s="3">
        <v>3.356514196793281E-3</v>
      </c>
      <c r="K1871" s="3">
        <v>0.5878654511160013</v>
      </c>
    </row>
    <row r="1872" spans="1:11" x14ac:dyDescent="0.2">
      <c r="A1872" s="1">
        <v>44376</v>
      </c>
      <c r="B1872">
        <v>259.97225952148398</v>
      </c>
      <c r="C1872">
        <v>271.39999389648398</v>
      </c>
      <c r="D1872">
        <v>271.64999389648398</v>
      </c>
      <c r="E1872">
        <v>267.98001098632801</v>
      </c>
      <c r="F1872">
        <v>268.86999511718699</v>
      </c>
      <c r="G1872" s="2">
        <v>19937800</v>
      </c>
      <c r="H1872" s="3">
        <f t="shared" si="29"/>
        <v>9.9730255616952146E-3</v>
      </c>
      <c r="J1872" s="3">
        <v>3.3603273862452543E-3</v>
      </c>
      <c r="K1872" s="3">
        <v>0.58817981766740024</v>
      </c>
    </row>
    <row r="1873" spans="1:11" x14ac:dyDescent="0.2">
      <c r="A1873" s="1">
        <v>44377</v>
      </c>
      <c r="B1873">
        <v>259.49334716796801</v>
      </c>
      <c r="C1873">
        <v>270.89999389648398</v>
      </c>
      <c r="D1873">
        <v>271.35998535156199</v>
      </c>
      <c r="E1873">
        <v>269.600006103515</v>
      </c>
      <c r="F1873">
        <v>270.69000244140602</v>
      </c>
      <c r="G1873" s="2">
        <v>21656500</v>
      </c>
      <c r="H1873" s="3">
        <f t="shared" si="29"/>
        <v>-1.8421671388996197E-3</v>
      </c>
      <c r="J1873" s="3">
        <v>3.3690100569974124E-3</v>
      </c>
      <c r="K1873" s="3">
        <v>0.58849418421879907</v>
      </c>
    </row>
    <row r="1874" spans="1:11" x14ac:dyDescent="0.2">
      <c r="A1874" s="1">
        <v>44378</v>
      </c>
      <c r="B1874">
        <v>260.16384887695301</v>
      </c>
      <c r="C1874">
        <v>271.600006103515</v>
      </c>
      <c r="D1874">
        <v>271.83999633789</v>
      </c>
      <c r="E1874">
        <v>269.600006103515</v>
      </c>
      <c r="F1874">
        <v>269.60998535156199</v>
      </c>
      <c r="G1874" s="2">
        <v>16725300</v>
      </c>
      <c r="H1874" s="3">
        <f t="shared" si="29"/>
        <v>2.5838878580228819E-3</v>
      </c>
      <c r="J1874" s="3">
        <v>3.3779870564929482E-3</v>
      </c>
      <c r="K1874" s="3">
        <v>0.588808550770198</v>
      </c>
    </row>
    <row r="1875" spans="1:11" x14ac:dyDescent="0.2">
      <c r="A1875" s="1">
        <v>44379</v>
      </c>
      <c r="B1875">
        <v>265.95910644531199</v>
      </c>
      <c r="C1875">
        <v>277.64999389648398</v>
      </c>
      <c r="D1875">
        <v>278</v>
      </c>
      <c r="E1875">
        <v>272.5</v>
      </c>
      <c r="F1875">
        <v>272.82000732421801</v>
      </c>
      <c r="G1875" s="2">
        <v>26458000</v>
      </c>
      <c r="H1875" s="3">
        <f t="shared" si="29"/>
        <v>2.2275414487352263E-2</v>
      </c>
      <c r="J1875" s="3">
        <v>3.3922574411460182E-3</v>
      </c>
      <c r="K1875" s="3">
        <v>0.58912291732159694</v>
      </c>
    </row>
    <row r="1876" spans="1:11" x14ac:dyDescent="0.2">
      <c r="A1876" s="1">
        <v>44383</v>
      </c>
      <c r="B1876">
        <v>265.968658447265</v>
      </c>
      <c r="C1876">
        <v>277.66000366210898</v>
      </c>
      <c r="D1876">
        <v>279.36999511718699</v>
      </c>
      <c r="E1876">
        <v>274.29998779296801</v>
      </c>
      <c r="F1876">
        <v>278.02999877929602</v>
      </c>
      <c r="G1876" s="2">
        <v>31565600</v>
      </c>
      <c r="H1876" s="3">
        <f t="shared" si="29"/>
        <v>3.5915303223443829E-5</v>
      </c>
      <c r="J1876" s="3">
        <v>3.3942898956798029E-3</v>
      </c>
      <c r="K1876" s="3">
        <v>0.58943728387299588</v>
      </c>
    </row>
    <row r="1877" spans="1:11" x14ac:dyDescent="0.2">
      <c r="A1877" s="1">
        <v>44384</v>
      </c>
      <c r="B1877">
        <v>268.14318847656199</v>
      </c>
      <c r="C1877">
        <v>279.92999267578102</v>
      </c>
      <c r="D1877">
        <v>280.69000244140602</v>
      </c>
      <c r="E1877">
        <v>277.14999389648398</v>
      </c>
      <c r="F1877">
        <v>279.39999389648398</v>
      </c>
      <c r="G1877" s="2">
        <v>23260000</v>
      </c>
      <c r="H1877" s="3">
        <f t="shared" si="29"/>
        <v>8.1758882493598861E-3</v>
      </c>
      <c r="J1877" s="3">
        <v>3.3979490169828708E-3</v>
      </c>
      <c r="K1877" s="3">
        <v>0.58975165042439481</v>
      </c>
    </row>
    <row r="1878" spans="1:11" x14ac:dyDescent="0.2">
      <c r="A1878" s="1">
        <v>44385</v>
      </c>
      <c r="B1878">
        <v>265.73883056640602</v>
      </c>
      <c r="C1878">
        <v>277.42001342773398</v>
      </c>
      <c r="D1878">
        <v>278.73001098632801</v>
      </c>
      <c r="E1878">
        <v>274.86999511718699</v>
      </c>
      <c r="F1878">
        <v>276.89999389648398</v>
      </c>
      <c r="G1878" s="2">
        <v>24618600</v>
      </c>
      <c r="H1878" s="3">
        <f t="shared" si="29"/>
        <v>-8.9666939660715261E-3</v>
      </c>
      <c r="J1878" s="3">
        <v>3.4080055977012691E-3</v>
      </c>
      <c r="K1878" s="3">
        <v>0.59006601697579375</v>
      </c>
    </row>
    <row r="1879" spans="1:11" x14ac:dyDescent="0.2">
      <c r="A1879" s="1">
        <v>44386</v>
      </c>
      <c r="B1879">
        <v>266.23690795898398</v>
      </c>
      <c r="C1879">
        <v>277.94000244140602</v>
      </c>
      <c r="D1879">
        <v>278.04998779296801</v>
      </c>
      <c r="E1879">
        <v>275.32000732421801</v>
      </c>
      <c r="F1879">
        <v>275.72000122070301</v>
      </c>
      <c r="G1879" s="2">
        <v>23916700</v>
      </c>
      <c r="H1879" s="3">
        <f t="shared" si="29"/>
        <v>1.8743116747985678E-3</v>
      </c>
      <c r="J1879" s="3">
        <v>3.4159432681537538E-3</v>
      </c>
      <c r="K1879" s="3">
        <v>0.59038038352719269</v>
      </c>
    </row>
    <row r="1880" spans="1:11" x14ac:dyDescent="0.2">
      <c r="A1880" s="1">
        <v>44389</v>
      </c>
      <c r="B1880">
        <v>265.642974853515</v>
      </c>
      <c r="C1880">
        <v>277.32000732421801</v>
      </c>
      <c r="D1880">
        <v>279.76998901367102</v>
      </c>
      <c r="E1880">
        <v>276.579986572265</v>
      </c>
      <c r="F1880">
        <v>279.16000366210898</v>
      </c>
      <c r="G1880" s="2">
        <v>18931700</v>
      </c>
      <c r="H1880" s="3">
        <f t="shared" si="29"/>
        <v>-2.2308443634737607E-3</v>
      </c>
      <c r="J1880" s="3">
        <v>3.417796692192443E-3</v>
      </c>
      <c r="K1880" s="3">
        <v>0.59069475007859162</v>
      </c>
    </row>
    <row r="1881" spans="1:11" x14ac:dyDescent="0.2">
      <c r="A1881" s="1">
        <v>44390</v>
      </c>
      <c r="B1881">
        <v>269.148834228515</v>
      </c>
      <c r="C1881">
        <v>280.98001098632801</v>
      </c>
      <c r="D1881">
        <v>282.850006103515</v>
      </c>
      <c r="E1881">
        <v>277.39001464843699</v>
      </c>
      <c r="F1881">
        <v>277.51998901367102</v>
      </c>
      <c r="G1881" s="2">
        <v>26120100</v>
      </c>
      <c r="H1881" s="3">
        <f t="shared" si="29"/>
        <v>1.3197636327229256E-2</v>
      </c>
      <c r="J1881" s="3">
        <v>3.4285944238392485E-3</v>
      </c>
      <c r="K1881" s="3">
        <v>0.59100911662999056</v>
      </c>
    </row>
    <row r="1882" spans="1:11" x14ac:dyDescent="0.2">
      <c r="A1882" s="1">
        <v>44391</v>
      </c>
      <c r="B1882">
        <v>270.614501953125</v>
      </c>
      <c r="C1882">
        <v>282.510009765625</v>
      </c>
      <c r="D1882">
        <v>283.66000366210898</v>
      </c>
      <c r="E1882">
        <v>280.54998779296801</v>
      </c>
      <c r="F1882">
        <v>282.350006103515</v>
      </c>
      <c r="G1882" s="2">
        <v>23113700</v>
      </c>
      <c r="H1882" s="3">
        <f t="shared" si="29"/>
        <v>5.4455659405368007E-3</v>
      </c>
      <c r="J1882" s="3">
        <v>3.4330729683562655E-3</v>
      </c>
      <c r="K1882" s="3">
        <v>0.5913234831813895</v>
      </c>
    </row>
    <row r="1883" spans="1:11" x14ac:dyDescent="0.2">
      <c r="A1883" s="1">
        <v>44392</v>
      </c>
      <c r="B1883">
        <v>269.19680786132801</v>
      </c>
      <c r="C1883">
        <v>281.02999877929602</v>
      </c>
      <c r="D1883">
        <v>282.510009765625</v>
      </c>
      <c r="E1883">
        <v>279.829986572265</v>
      </c>
      <c r="F1883">
        <v>282</v>
      </c>
      <c r="G1883" s="2">
        <v>22604200</v>
      </c>
      <c r="H1883" s="3">
        <f t="shared" si="29"/>
        <v>-5.2387957096348137E-3</v>
      </c>
      <c r="J1883" s="3">
        <v>3.4395388956467432E-3</v>
      </c>
      <c r="K1883" s="3">
        <v>0.59163784973278843</v>
      </c>
    </row>
    <row r="1884" spans="1:11" x14ac:dyDescent="0.2">
      <c r="A1884" s="1">
        <v>44393</v>
      </c>
      <c r="B1884">
        <v>268.92855834960898</v>
      </c>
      <c r="C1884">
        <v>280.75</v>
      </c>
      <c r="D1884">
        <v>284.100006103515</v>
      </c>
      <c r="E1884">
        <v>279.45999145507801</v>
      </c>
      <c r="F1884">
        <v>282.07000732421801</v>
      </c>
      <c r="G1884" s="2">
        <v>26186800</v>
      </c>
      <c r="H1884" s="3">
        <f t="shared" si="29"/>
        <v>-9.9648102758043144E-4</v>
      </c>
      <c r="J1884" s="3">
        <v>3.4409197321418894E-3</v>
      </c>
      <c r="K1884" s="3">
        <v>0.59195221628418737</v>
      </c>
    </row>
    <row r="1885" spans="1:11" x14ac:dyDescent="0.2">
      <c r="A1885" s="1">
        <v>44396</v>
      </c>
      <c r="B1885">
        <v>265.34613037109301</v>
      </c>
      <c r="C1885">
        <v>277.010009765625</v>
      </c>
      <c r="D1885">
        <v>280.36999511718699</v>
      </c>
      <c r="E1885">
        <v>274.45001220703102</v>
      </c>
      <c r="F1885">
        <v>278.92999267578102</v>
      </c>
      <c r="G1885" s="2">
        <v>32935600</v>
      </c>
      <c r="H1885" s="3">
        <f t="shared" si="29"/>
        <v>-1.3321113980980681E-2</v>
      </c>
      <c r="J1885" s="3">
        <v>3.4413616506112632E-3</v>
      </c>
      <c r="K1885" s="3">
        <v>0.59226658283558631</v>
      </c>
    </row>
    <row r="1886" spans="1:11" x14ac:dyDescent="0.2">
      <c r="A1886" s="1">
        <v>44397</v>
      </c>
      <c r="B1886">
        <v>267.55874633789</v>
      </c>
      <c r="C1886">
        <v>279.32000732421801</v>
      </c>
      <c r="D1886">
        <v>280.97000122070301</v>
      </c>
      <c r="E1886">
        <v>276.260009765625</v>
      </c>
      <c r="F1886">
        <v>278.02999877929602</v>
      </c>
      <c r="G1886" s="2">
        <v>26259700</v>
      </c>
      <c r="H1886" s="3">
        <f t="shared" si="29"/>
        <v>8.3386027288303577E-3</v>
      </c>
      <c r="J1886" s="3">
        <v>3.4495939957359667E-3</v>
      </c>
      <c r="K1886" s="3">
        <v>0.59258094938698525</v>
      </c>
    </row>
    <row r="1887" spans="1:11" x14ac:dyDescent="0.2">
      <c r="A1887" s="1">
        <v>44398</v>
      </c>
      <c r="B1887">
        <v>269.55120849609301</v>
      </c>
      <c r="C1887">
        <v>281.39999389648398</v>
      </c>
      <c r="D1887">
        <v>281.51998901367102</v>
      </c>
      <c r="E1887">
        <v>277.29000854492102</v>
      </c>
      <c r="F1887">
        <v>278.89999389648398</v>
      </c>
      <c r="G1887" s="2">
        <v>24364300</v>
      </c>
      <c r="H1887" s="3">
        <f t="shared" si="29"/>
        <v>7.4468212513105758E-3</v>
      </c>
      <c r="J1887" s="3">
        <v>3.4555491200234378E-3</v>
      </c>
      <c r="K1887" s="3">
        <v>0.59289531593838418</v>
      </c>
    </row>
    <row r="1888" spans="1:11" x14ac:dyDescent="0.2">
      <c r="A1888" s="1">
        <v>44399</v>
      </c>
      <c r="B1888">
        <v>274.09164428710898</v>
      </c>
      <c r="C1888">
        <v>286.14001464843699</v>
      </c>
      <c r="D1888">
        <v>286.42001342773398</v>
      </c>
      <c r="E1888">
        <v>283.42001342773398</v>
      </c>
      <c r="F1888">
        <v>283.83999633789</v>
      </c>
      <c r="G1888" s="2">
        <v>23384100</v>
      </c>
      <c r="H1888" s="3">
        <f t="shared" si="29"/>
        <v>1.6844427507294091E-2</v>
      </c>
      <c r="J1888" s="3">
        <v>3.4614539652149112E-3</v>
      </c>
      <c r="K1888" s="3">
        <v>0.59320968248978312</v>
      </c>
    </row>
    <row r="1889" spans="1:11" x14ac:dyDescent="0.2">
      <c r="A1889" s="1">
        <v>44400</v>
      </c>
      <c r="B1889">
        <v>277.47293090820301</v>
      </c>
      <c r="C1889">
        <v>289.67001342773398</v>
      </c>
      <c r="D1889">
        <v>289.989990234375</v>
      </c>
      <c r="E1889">
        <v>286.5</v>
      </c>
      <c r="F1889">
        <v>287.36999511718699</v>
      </c>
      <c r="G1889" s="2">
        <v>22768100</v>
      </c>
      <c r="H1889" s="3">
        <f t="shared" si="29"/>
        <v>1.2336336008667903E-2</v>
      </c>
      <c r="J1889" s="3">
        <v>3.4647703654169248E-3</v>
      </c>
      <c r="K1889" s="3">
        <v>0.59352404904118206</v>
      </c>
    </row>
    <row r="1890" spans="1:11" x14ac:dyDescent="0.2">
      <c r="A1890" s="1">
        <v>44403</v>
      </c>
      <c r="B1890">
        <v>276.87908935546801</v>
      </c>
      <c r="C1890">
        <v>289.04998779296801</v>
      </c>
      <c r="D1890">
        <v>289.69000244140602</v>
      </c>
      <c r="E1890">
        <v>286.64001464843699</v>
      </c>
      <c r="F1890">
        <v>289</v>
      </c>
      <c r="G1890" s="2">
        <v>23176100</v>
      </c>
      <c r="H1890" s="3">
        <f t="shared" si="29"/>
        <v>-2.1401783258326867E-3</v>
      </c>
      <c r="J1890" s="3">
        <v>3.4845406532990619E-3</v>
      </c>
      <c r="K1890" s="3">
        <v>0.59383841559258099</v>
      </c>
    </row>
    <row r="1891" spans="1:11" x14ac:dyDescent="0.2">
      <c r="A1891" s="1">
        <v>44404</v>
      </c>
      <c r="B1891">
        <v>274.47479248046801</v>
      </c>
      <c r="C1891">
        <v>286.54000854492102</v>
      </c>
      <c r="D1891">
        <v>289.579986572265</v>
      </c>
      <c r="E1891">
        <v>282.95001220703102</v>
      </c>
      <c r="F1891">
        <v>289.42999267578102</v>
      </c>
      <c r="G1891" s="2">
        <v>33604100</v>
      </c>
      <c r="H1891" s="3">
        <f t="shared" si="29"/>
        <v>-8.6835624914717302E-3</v>
      </c>
      <c r="J1891" s="3">
        <v>3.497257692058886E-3</v>
      </c>
      <c r="K1891" s="3">
        <v>0.59415278214397993</v>
      </c>
    </row>
    <row r="1892" spans="1:11" x14ac:dyDescent="0.2">
      <c r="A1892" s="1">
        <v>44405</v>
      </c>
      <c r="B1892">
        <v>274.16824340820301</v>
      </c>
      <c r="C1892">
        <v>286.22000122070301</v>
      </c>
      <c r="D1892">
        <v>290.14999389648398</v>
      </c>
      <c r="E1892">
        <v>283.829986572265</v>
      </c>
      <c r="F1892">
        <v>288.989990234375</v>
      </c>
      <c r="G1892" s="2">
        <v>33566900</v>
      </c>
      <c r="H1892" s="3">
        <f t="shared" si="29"/>
        <v>-1.1168569233431791E-3</v>
      </c>
      <c r="J1892" s="3">
        <v>3.5065678177774728E-3</v>
      </c>
      <c r="K1892" s="3">
        <v>0.59446714869537887</v>
      </c>
    </row>
    <row r="1893" spans="1:11" x14ac:dyDescent="0.2">
      <c r="A1893" s="1">
        <v>44406</v>
      </c>
      <c r="B1893">
        <v>274.43649291992102</v>
      </c>
      <c r="C1893">
        <v>286.5</v>
      </c>
      <c r="D1893">
        <v>288.61999511718699</v>
      </c>
      <c r="E1893">
        <v>286.079986572265</v>
      </c>
      <c r="F1893">
        <v>286.239990234375</v>
      </c>
      <c r="G1893" s="2">
        <v>18168300</v>
      </c>
      <c r="H1893" s="3">
        <f t="shared" si="29"/>
        <v>9.7841204503978929E-4</v>
      </c>
      <c r="J1893" s="3">
        <v>3.51611805692853E-3</v>
      </c>
      <c r="K1893" s="3">
        <v>0.59478151524677769</v>
      </c>
    </row>
    <row r="1894" spans="1:11" x14ac:dyDescent="0.2">
      <c r="A1894" s="1">
        <v>44407</v>
      </c>
      <c r="B1894">
        <v>272.91342163085898</v>
      </c>
      <c r="C1894">
        <v>284.91000366210898</v>
      </c>
      <c r="D1894">
        <v>286.66000366210898</v>
      </c>
      <c r="E1894">
        <v>283.91000366210898</v>
      </c>
      <c r="F1894">
        <v>285.17001342773398</v>
      </c>
      <c r="G1894" s="2">
        <v>20944800</v>
      </c>
      <c r="H1894" s="3">
        <f t="shared" si="29"/>
        <v>-5.5498132659291821E-3</v>
      </c>
      <c r="J1894" s="3">
        <v>3.5171861830114448E-3</v>
      </c>
      <c r="K1894" s="3">
        <v>0.59509588179817663</v>
      </c>
    </row>
    <row r="1895" spans="1:11" x14ac:dyDescent="0.2">
      <c r="A1895" s="1">
        <v>44410</v>
      </c>
      <c r="B1895">
        <v>272.82720947265602</v>
      </c>
      <c r="C1895">
        <v>284.82000732421801</v>
      </c>
      <c r="D1895">
        <v>286.76998901367102</v>
      </c>
      <c r="E1895">
        <v>283.739990234375</v>
      </c>
      <c r="F1895">
        <v>286.35998535156199</v>
      </c>
      <c r="G1895" s="2">
        <v>16267400</v>
      </c>
      <c r="H1895" s="3">
        <f t="shared" si="29"/>
        <v>-3.1589563344947003E-4</v>
      </c>
      <c r="J1895" s="3">
        <v>3.5233436756536562E-3</v>
      </c>
      <c r="K1895" s="3">
        <v>0.59541024834957557</v>
      </c>
    </row>
    <row r="1896" spans="1:11" x14ac:dyDescent="0.2">
      <c r="A1896" s="1">
        <v>44411</v>
      </c>
      <c r="B1896">
        <v>275.03030395507801</v>
      </c>
      <c r="C1896">
        <v>287.11999511718699</v>
      </c>
      <c r="D1896">
        <v>287.23001098632801</v>
      </c>
      <c r="E1896">
        <v>284</v>
      </c>
      <c r="F1896">
        <v>285.42001342773398</v>
      </c>
      <c r="G1896" s="2">
        <v>17879000</v>
      </c>
      <c r="H1896" s="3">
        <f t="shared" si="29"/>
        <v>8.0750541219123395E-3</v>
      </c>
      <c r="J1896" s="3">
        <v>3.5287182205288037E-3</v>
      </c>
      <c r="K1896" s="3">
        <v>0.5957246149009745</v>
      </c>
    </row>
    <row r="1897" spans="1:11" x14ac:dyDescent="0.2">
      <c r="A1897" s="1">
        <v>44412</v>
      </c>
      <c r="B1897">
        <v>274.44601440429602</v>
      </c>
      <c r="C1897">
        <v>286.510009765625</v>
      </c>
      <c r="D1897">
        <v>287.58999633789</v>
      </c>
      <c r="E1897">
        <v>284.64999389648398</v>
      </c>
      <c r="F1897">
        <v>286.22000122070301</v>
      </c>
      <c r="G1897" s="2">
        <v>16191300</v>
      </c>
      <c r="H1897" s="3">
        <f t="shared" si="29"/>
        <v>-2.1244551686836477E-3</v>
      </c>
      <c r="J1897" s="3">
        <v>3.5580519552353973E-3</v>
      </c>
      <c r="K1897" s="3">
        <v>0.59603898145237344</v>
      </c>
    </row>
    <row r="1898" spans="1:11" x14ac:dyDescent="0.2">
      <c r="A1898" s="1">
        <v>44413</v>
      </c>
      <c r="B1898">
        <v>277.32928466796801</v>
      </c>
      <c r="C1898">
        <v>289.51998901367102</v>
      </c>
      <c r="D1898">
        <v>289.63000488281199</v>
      </c>
      <c r="E1898">
        <v>286.100006103515</v>
      </c>
      <c r="F1898">
        <v>286.88000488281199</v>
      </c>
      <c r="G1898" s="2">
        <v>13900200</v>
      </c>
      <c r="H1898" s="3">
        <f t="shared" si="29"/>
        <v>1.0505782967664246E-2</v>
      </c>
      <c r="J1898" s="3">
        <v>3.5744298843618516E-3</v>
      </c>
      <c r="K1898" s="3">
        <v>0.59635334800377238</v>
      </c>
    </row>
    <row r="1899" spans="1:11" x14ac:dyDescent="0.2">
      <c r="A1899" s="1">
        <v>44414</v>
      </c>
      <c r="B1899">
        <v>277.27175903320301</v>
      </c>
      <c r="C1899">
        <v>289.45999145507801</v>
      </c>
      <c r="D1899">
        <v>289.5</v>
      </c>
      <c r="E1899">
        <v>287.61999511718699</v>
      </c>
      <c r="F1899">
        <v>288.510009765625</v>
      </c>
      <c r="G1899" s="2">
        <v>16589300</v>
      </c>
      <c r="H1899" s="3">
        <f t="shared" si="29"/>
        <v>-2.0742719195299131E-4</v>
      </c>
      <c r="J1899" s="3">
        <v>3.5882129641986449E-3</v>
      </c>
      <c r="K1899" s="3">
        <v>0.59666771455517131</v>
      </c>
    </row>
    <row r="1900" spans="1:11" x14ac:dyDescent="0.2">
      <c r="A1900" s="1">
        <v>44417</v>
      </c>
      <c r="B1900">
        <v>276.18939208984301</v>
      </c>
      <c r="C1900">
        <v>288.329986572265</v>
      </c>
      <c r="D1900">
        <v>291.54998779296801</v>
      </c>
      <c r="E1900">
        <v>287.80999755859301</v>
      </c>
      <c r="F1900">
        <v>289.75</v>
      </c>
      <c r="G1900" s="2">
        <v>16117600</v>
      </c>
      <c r="H1900" s="3">
        <f t="shared" si="29"/>
        <v>-3.9036321157770448E-3</v>
      </c>
      <c r="J1900" s="3">
        <v>3.5929544338717534E-3</v>
      </c>
      <c r="K1900" s="3">
        <v>0.59698208110657025</v>
      </c>
    </row>
    <row r="1901" spans="1:11" x14ac:dyDescent="0.2">
      <c r="A1901" s="1">
        <v>44418</v>
      </c>
      <c r="B1901">
        <v>274.37902832031199</v>
      </c>
      <c r="C1901">
        <v>286.44000244140602</v>
      </c>
      <c r="D1901">
        <v>289.25</v>
      </c>
      <c r="E1901">
        <v>285.20001220703102</v>
      </c>
      <c r="F1901">
        <v>288.79998779296801</v>
      </c>
      <c r="G1901" s="2">
        <v>18616600</v>
      </c>
      <c r="H1901" s="3">
        <f t="shared" si="29"/>
        <v>-6.5547911012531213E-3</v>
      </c>
      <c r="J1901" s="3">
        <v>3.6003924936376386E-3</v>
      </c>
      <c r="K1901" s="3">
        <v>0.59729644765796919</v>
      </c>
    </row>
    <row r="1902" spans="1:11" x14ac:dyDescent="0.2">
      <c r="A1902" s="1">
        <v>44419</v>
      </c>
      <c r="B1902">
        <v>274.86752319335898</v>
      </c>
      <c r="C1902">
        <v>286.95001220703102</v>
      </c>
      <c r="D1902">
        <v>288.66000366210898</v>
      </c>
      <c r="E1902">
        <v>285.85998535156199</v>
      </c>
      <c r="F1902">
        <v>287.20999145507801</v>
      </c>
      <c r="G1902" s="2">
        <v>13955900</v>
      </c>
      <c r="H1902" s="3">
        <f t="shared" si="29"/>
        <v>1.7803651978705037E-3</v>
      </c>
      <c r="J1902" s="3">
        <v>3.6099329963452664E-3</v>
      </c>
      <c r="K1902" s="3">
        <v>0.59761081420936812</v>
      </c>
    </row>
    <row r="1903" spans="1:11" x14ac:dyDescent="0.2">
      <c r="A1903" s="1">
        <v>44420</v>
      </c>
      <c r="B1903">
        <v>277.60711669921801</v>
      </c>
      <c r="C1903">
        <v>289.80999755859301</v>
      </c>
      <c r="D1903">
        <v>289.97000122070301</v>
      </c>
      <c r="E1903">
        <v>286.33999633789</v>
      </c>
      <c r="F1903">
        <v>286.63000488281199</v>
      </c>
      <c r="G1903" s="2">
        <v>14561300</v>
      </c>
      <c r="H1903" s="3">
        <f t="shared" si="29"/>
        <v>9.9669596248801451E-3</v>
      </c>
      <c r="J1903" s="3">
        <v>3.6127928394518172E-3</v>
      </c>
      <c r="K1903" s="3">
        <v>0.59792518076076706</v>
      </c>
    </row>
    <row r="1904" spans="1:11" x14ac:dyDescent="0.2">
      <c r="A1904" s="1">
        <v>44421</v>
      </c>
      <c r="B1904">
        <v>280.51910400390602</v>
      </c>
      <c r="C1904">
        <v>292.850006103515</v>
      </c>
      <c r="D1904">
        <v>292.89999389648398</v>
      </c>
      <c r="E1904">
        <v>289.29998779296801</v>
      </c>
      <c r="F1904">
        <v>289.48001098632801</v>
      </c>
      <c r="G1904" s="2">
        <v>18249000</v>
      </c>
      <c r="H1904" s="3">
        <f t="shared" si="29"/>
        <v>1.0489598895417007E-2</v>
      </c>
      <c r="J1904" s="3">
        <v>3.6165517166693029E-3</v>
      </c>
      <c r="K1904" s="3">
        <v>0.598239547312166</v>
      </c>
    </row>
    <row r="1905" spans="1:11" x14ac:dyDescent="0.2">
      <c r="A1905" s="1">
        <v>44424</v>
      </c>
      <c r="B1905">
        <v>282.19543457031199</v>
      </c>
      <c r="C1905">
        <v>294.600006103515</v>
      </c>
      <c r="D1905">
        <v>294.82000732421801</v>
      </c>
      <c r="E1905">
        <v>290.01998901367102</v>
      </c>
      <c r="F1905">
        <v>293.19000244140602</v>
      </c>
      <c r="G1905" s="2">
        <v>22507600</v>
      </c>
      <c r="H1905" s="3">
        <f t="shared" si="29"/>
        <v>5.9758160584408859E-3</v>
      </c>
      <c r="J1905" s="3">
        <v>3.6299789043818809E-3</v>
      </c>
      <c r="K1905" s="3">
        <v>0.59855391386356493</v>
      </c>
    </row>
    <row r="1906" spans="1:11" x14ac:dyDescent="0.2">
      <c r="A1906" s="1">
        <v>44425</v>
      </c>
      <c r="B1906">
        <v>280.73941040039</v>
      </c>
      <c r="C1906">
        <v>293.079986572265</v>
      </c>
      <c r="D1906">
        <v>293.42999267578102</v>
      </c>
      <c r="E1906">
        <v>291.079986572265</v>
      </c>
      <c r="F1906">
        <v>292.39001464843699</v>
      </c>
      <c r="G1906" s="2">
        <v>20075300</v>
      </c>
      <c r="H1906" s="3">
        <f t="shared" si="29"/>
        <v>-5.1596304955784378E-3</v>
      </c>
      <c r="J1906" s="3">
        <v>3.6496691747287535E-3</v>
      </c>
      <c r="K1906" s="3">
        <v>0.59886828041496387</v>
      </c>
    </row>
    <row r="1907" spans="1:11" x14ac:dyDescent="0.2">
      <c r="A1907" s="1">
        <v>44426</v>
      </c>
      <c r="B1907">
        <v>279.02151489257801</v>
      </c>
      <c r="C1907">
        <v>290.73001098632801</v>
      </c>
      <c r="D1907">
        <v>294.82000732421801</v>
      </c>
      <c r="E1907">
        <v>290.26998901367102</v>
      </c>
      <c r="F1907">
        <v>292.04000854492102</v>
      </c>
      <c r="G1907" s="2">
        <v>21813000</v>
      </c>
      <c r="H1907" s="3">
        <f t="shared" si="29"/>
        <v>-6.1191818610786264E-3</v>
      </c>
      <c r="J1907" s="3">
        <v>3.6512262277439422E-3</v>
      </c>
      <c r="K1907" s="3">
        <v>0.59918264696636281</v>
      </c>
    </row>
    <row r="1908" spans="1:11" x14ac:dyDescent="0.2">
      <c r="A1908" s="1">
        <v>44427</v>
      </c>
      <c r="B1908">
        <v>284.81823730468699</v>
      </c>
      <c r="C1908">
        <v>296.76998901367102</v>
      </c>
      <c r="D1908">
        <v>297.47000122070301</v>
      </c>
      <c r="E1908">
        <v>288.64001464843699</v>
      </c>
      <c r="F1908">
        <v>288.69000244140602</v>
      </c>
      <c r="G1908" s="2">
        <v>29850500</v>
      </c>
      <c r="H1908" s="3">
        <f t="shared" si="29"/>
        <v>2.0775180775363111E-2</v>
      </c>
      <c r="J1908" s="3">
        <v>3.6555707206256116E-3</v>
      </c>
      <c r="K1908" s="3">
        <v>0.59949701351776175</v>
      </c>
    </row>
    <row r="1909" spans="1:11" x14ac:dyDescent="0.2">
      <c r="A1909" s="1">
        <v>44428</v>
      </c>
      <c r="B1909">
        <v>292.10256958007801</v>
      </c>
      <c r="C1909">
        <v>304.35998535156199</v>
      </c>
      <c r="D1909">
        <v>305.83999633789</v>
      </c>
      <c r="E1909">
        <v>298.05999755859301</v>
      </c>
      <c r="F1909">
        <v>299.72000122070301</v>
      </c>
      <c r="G1909" s="2">
        <v>40817600</v>
      </c>
      <c r="H1909" s="3">
        <f t="shared" si="29"/>
        <v>2.5575371662730051E-2</v>
      </c>
      <c r="J1909" s="3">
        <v>3.6626581083927245E-3</v>
      </c>
      <c r="K1909" s="3">
        <v>0.59981138006916068</v>
      </c>
    </row>
    <row r="1910" spans="1:11" x14ac:dyDescent="0.2">
      <c r="A1910" s="1">
        <v>44431</v>
      </c>
      <c r="B1910">
        <v>292.38092041015602</v>
      </c>
      <c r="C1910">
        <v>304.64999389648398</v>
      </c>
      <c r="D1910">
        <v>305.39999389648398</v>
      </c>
      <c r="E1910">
        <v>301.850006103515</v>
      </c>
      <c r="F1910">
        <v>303.25</v>
      </c>
      <c r="G1910" s="2">
        <v>22830200</v>
      </c>
      <c r="H1910" s="3">
        <f t="shared" si="29"/>
        <v>9.5292153875314867E-4</v>
      </c>
      <c r="J1910" s="3">
        <v>3.6655509079013271E-3</v>
      </c>
      <c r="K1910" s="3">
        <v>0.60012574662055962</v>
      </c>
    </row>
    <row r="1911" spans="1:11" x14ac:dyDescent="0.2">
      <c r="A1911" s="1">
        <v>44432</v>
      </c>
      <c r="B1911">
        <v>290.43267822265602</v>
      </c>
      <c r="C1911">
        <v>302.61999511718699</v>
      </c>
      <c r="D1911">
        <v>305.64999389648398</v>
      </c>
      <c r="E1911">
        <v>302</v>
      </c>
      <c r="F1911">
        <v>305.01998901367102</v>
      </c>
      <c r="G1911" s="2">
        <v>18175800</v>
      </c>
      <c r="H1911" s="3">
        <f t="shared" si="29"/>
        <v>-6.6633697738107678E-3</v>
      </c>
      <c r="J1911" s="3">
        <v>3.6659669064644795E-3</v>
      </c>
      <c r="K1911" s="3">
        <v>0.60044011317195856</v>
      </c>
    </row>
    <row r="1912" spans="1:11" x14ac:dyDescent="0.2">
      <c r="A1912" s="1">
        <v>44433</v>
      </c>
      <c r="B1912">
        <v>289.84729003906199</v>
      </c>
      <c r="C1912">
        <v>302.010009765625</v>
      </c>
      <c r="D1912">
        <v>304.58999633789</v>
      </c>
      <c r="E1912">
        <v>300.42001342773398</v>
      </c>
      <c r="F1912">
        <v>304.29998779296801</v>
      </c>
      <c r="G1912" s="2">
        <v>20006100</v>
      </c>
      <c r="H1912" s="3">
        <f t="shared" si="29"/>
        <v>-2.0155727212805008E-3</v>
      </c>
      <c r="J1912" s="3">
        <v>3.6670868442452154E-3</v>
      </c>
      <c r="K1912" s="3">
        <v>0.60075447972335738</v>
      </c>
    </row>
    <row r="1913" spans="1:11" x14ac:dyDescent="0.2">
      <c r="A1913" s="1">
        <v>44434</v>
      </c>
      <c r="B1913">
        <v>287.044830322265</v>
      </c>
      <c r="C1913">
        <v>299.08999633789</v>
      </c>
      <c r="D1913">
        <v>302.42999267578102</v>
      </c>
      <c r="E1913">
        <v>298.95001220703102</v>
      </c>
      <c r="F1913">
        <v>300.989990234375</v>
      </c>
      <c r="G1913" s="2">
        <v>17666100</v>
      </c>
      <c r="H1913" s="3">
        <f t="shared" si="29"/>
        <v>-9.6687456226322022E-3</v>
      </c>
      <c r="J1913" s="3">
        <v>3.669142568156758E-3</v>
      </c>
      <c r="K1913" s="3">
        <v>0.60106884627475632</v>
      </c>
    </row>
    <row r="1914" spans="1:11" x14ac:dyDescent="0.2">
      <c r="A1914" s="1">
        <v>44435</v>
      </c>
      <c r="B1914">
        <v>287.64950561523398</v>
      </c>
      <c r="C1914">
        <v>299.72000122070301</v>
      </c>
      <c r="D1914">
        <v>300.86999511718699</v>
      </c>
      <c r="E1914">
        <v>296.829986572265</v>
      </c>
      <c r="F1914">
        <v>298.989990234375</v>
      </c>
      <c r="G1914" s="2">
        <v>22605700</v>
      </c>
      <c r="H1914" s="3">
        <f t="shared" si="29"/>
        <v>2.1065535034723304E-3</v>
      </c>
      <c r="J1914" s="3">
        <v>3.6740591696149405E-3</v>
      </c>
      <c r="K1914" s="3">
        <v>0.60138321282615526</v>
      </c>
    </row>
    <row r="1915" spans="1:11" x14ac:dyDescent="0.2">
      <c r="A1915" s="1">
        <v>44438</v>
      </c>
      <c r="B1915">
        <v>291.36355590820301</v>
      </c>
      <c r="C1915">
        <v>303.58999633789</v>
      </c>
      <c r="D1915">
        <v>304.22000122070301</v>
      </c>
      <c r="E1915">
        <v>301.05999755859301</v>
      </c>
      <c r="F1915">
        <v>301.11999511718699</v>
      </c>
      <c r="G1915" s="2">
        <v>16348100</v>
      </c>
      <c r="H1915" s="3">
        <f t="shared" si="29"/>
        <v>1.291172145429309E-2</v>
      </c>
      <c r="J1915" s="3">
        <v>3.6840759268437218E-3</v>
      </c>
      <c r="K1915" s="3">
        <v>0.60169757937755419</v>
      </c>
    </row>
    <row r="1916" spans="1:11" x14ac:dyDescent="0.2">
      <c r="A1916" s="1">
        <v>44439</v>
      </c>
      <c r="B1916">
        <v>289.72250366210898</v>
      </c>
      <c r="C1916">
        <v>301.88000488281199</v>
      </c>
      <c r="D1916">
        <v>304.5</v>
      </c>
      <c r="E1916">
        <v>301.5</v>
      </c>
      <c r="F1916">
        <v>304.42001342773398</v>
      </c>
      <c r="G1916" s="2">
        <v>26285300</v>
      </c>
      <c r="H1916" s="3">
        <f t="shared" si="29"/>
        <v>-5.6323181565338665E-3</v>
      </c>
      <c r="J1916" s="3">
        <v>3.7151332254350411E-3</v>
      </c>
      <c r="K1916" s="3">
        <v>0.60201194592895313</v>
      </c>
    </row>
    <row r="1917" spans="1:11" x14ac:dyDescent="0.2">
      <c r="A1917" s="1">
        <v>44440</v>
      </c>
      <c r="B1917">
        <v>289.67446899414</v>
      </c>
      <c r="C1917">
        <v>301.829986572265</v>
      </c>
      <c r="D1917">
        <v>305.19000244140602</v>
      </c>
      <c r="E1917">
        <v>301.489990234375</v>
      </c>
      <c r="F1917">
        <v>302.86999511718699</v>
      </c>
      <c r="G1917" s="2">
        <v>18983800</v>
      </c>
      <c r="H1917" s="3">
        <f t="shared" si="29"/>
        <v>-1.657954330844813E-4</v>
      </c>
      <c r="J1917" s="3">
        <v>3.7233884846024079E-3</v>
      </c>
      <c r="K1917" s="3">
        <v>0.60232631248035207</v>
      </c>
    </row>
    <row r="1918" spans="1:11" x14ac:dyDescent="0.2">
      <c r="A1918" s="1">
        <v>44441</v>
      </c>
      <c r="B1918">
        <v>289.021881103515</v>
      </c>
      <c r="C1918">
        <v>301.14999389648398</v>
      </c>
      <c r="D1918">
        <v>303.35998535156199</v>
      </c>
      <c r="E1918">
        <v>300.17999267578102</v>
      </c>
      <c r="F1918">
        <v>302.20001220703102</v>
      </c>
      <c r="G1918" s="2">
        <v>16285600</v>
      </c>
      <c r="H1918" s="3">
        <f t="shared" si="29"/>
        <v>-2.2528319216085224E-3</v>
      </c>
      <c r="J1918" s="3">
        <v>3.7254233296062367E-3</v>
      </c>
      <c r="K1918" s="3">
        <v>0.602640679031751</v>
      </c>
    </row>
    <row r="1919" spans="1:11" x14ac:dyDescent="0.2">
      <c r="A1919" s="1">
        <v>44442</v>
      </c>
      <c r="B1919">
        <v>289.01223754882801</v>
      </c>
      <c r="C1919">
        <v>301.14001464843699</v>
      </c>
      <c r="D1919">
        <v>302.600006103515</v>
      </c>
      <c r="E1919">
        <v>300.260009765625</v>
      </c>
      <c r="F1919">
        <v>300.989990234375</v>
      </c>
      <c r="G1919" s="2">
        <v>14747900</v>
      </c>
      <c r="H1919" s="3">
        <f t="shared" si="29"/>
        <v>-3.3366175080429272E-5</v>
      </c>
      <c r="J1919" s="3">
        <v>3.7306008032969018E-3</v>
      </c>
      <c r="K1919" s="3">
        <v>0.60295504558314994</v>
      </c>
    </row>
    <row r="1920" spans="1:11" x14ac:dyDescent="0.2">
      <c r="A1920" s="1">
        <v>44446</v>
      </c>
      <c r="B1920">
        <v>288.09103393554602</v>
      </c>
      <c r="C1920">
        <v>300.17999267578102</v>
      </c>
      <c r="D1920">
        <v>301.08999633789</v>
      </c>
      <c r="E1920">
        <v>298.20001220703102</v>
      </c>
      <c r="F1920">
        <v>301.010009765625</v>
      </c>
      <c r="G1920" s="2">
        <v>17180400</v>
      </c>
      <c r="H1920" s="3">
        <f t="shared" si="29"/>
        <v>-3.1874207856902315E-3</v>
      </c>
      <c r="J1920" s="3">
        <v>3.7363035902429065E-3</v>
      </c>
      <c r="K1920" s="3">
        <v>0.60326941213454888</v>
      </c>
    </row>
    <row r="1921" spans="1:11" x14ac:dyDescent="0.2">
      <c r="A1921" s="1">
        <v>44447</v>
      </c>
      <c r="B1921">
        <v>288.11975097656199</v>
      </c>
      <c r="C1921">
        <v>300.20999145507801</v>
      </c>
      <c r="D1921">
        <v>300.60998535156199</v>
      </c>
      <c r="E1921">
        <v>297.47000122070301</v>
      </c>
      <c r="F1921">
        <v>299.77999877929602</v>
      </c>
      <c r="G1921" s="2">
        <v>15046800</v>
      </c>
      <c r="H1921" s="3">
        <f t="shared" si="29"/>
        <v>9.9680439976435053E-5</v>
      </c>
      <c r="J1921" s="3">
        <v>3.747606419565841E-3</v>
      </c>
      <c r="K1921" s="3">
        <v>0.60358377868594781</v>
      </c>
    </row>
    <row r="1922" spans="1:11" x14ac:dyDescent="0.2">
      <c r="A1922" s="1">
        <v>44448</v>
      </c>
      <c r="B1922">
        <v>285.27896118164</v>
      </c>
      <c r="C1922">
        <v>297.25</v>
      </c>
      <c r="D1922">
        <v>302.14001464843699</v>
      </c>
      <c r="E1922">
        <v>297</v>
      </c>
      <c r="F1922">
        <v>300.82000732421801</v>
      </c>
      <c r="G1922" s="2">
        <v>19927000</v>
      </c>
      <c r="H1922" s="3">
        <f t="shared" ref="H1922:H1985" si="30">B1922/B1921-1</f>
        <v>-9.859753749242528E-3</v>
      </c>
      <c r="J1922" s="3">
        <v>3.7484379655803313E-3</v>
      </c>
      <c r="K1922" s="3">
        <v>0.60389814523734675</v>
      </c>
    </row>
    <row r="1923" spans="1:11" x14ac:dyDescent="0.2">
      <c r="A1923" s="1">
        <v>44449</v>
      </c>
      <c r="B1923">
        <v>283.80087280273398</v>
      </c>
      <c r="C1923">
        <v>295.70999145507801</v>
      </c>
      <c r="D1923">
        <v>299.92001342773398</v>
      </c>
      <c r="E1923">
        <v>295.38000488281199</v>
      </c>
      <c r="F1923">
        <v>298.42001342773398</v>
      </c>
      <c r="G1923" s="2">
        <v>19633400</v>
      </c>
      <c r="H1923" s="3">
        <f t="shared" si="30"/>
        <v>-5.1812035937865986E-3</v>
      </c>
      <c r="J1923" s="3">
        <v>3.7495834587619736E-3</v>
      </c>
      <c r="K1923" s="3">
        <v>0.60421251178874569</v>
      </c>
    </row>
    <row r="1924" spans="1:11" x14ac:dyDescent="0.2">
      <c r="A1924" s="1">
        <v>44452</v>
      </c>
      <c r="B1924">
        <v>285.02944946289</v>
      </c>
      <c r="C1924">
        <v>296.989990234375</v>
      </c>
      <c r="D1924">
        <v>298.54000854492102</v>
      </c>
      <c r="E1924">
        <v>294.079986572265</v>
      </c>
      <c r="F1924">
        <v>297.54998779296801</v>
      </c>
      <c r="G1924" s="2">
        <v>23652900</v>
      </c>
      <c r="H1924" s="3">
        <f t="shared" si="30"/>
        <v>4.3290094495587184E-3</v>
      </c>
      <c r="J1924" s="3">
        <v>3.771716949618531E-3</v>
      </c>
      <c r="K1924" s="3">
        <v>0.60452687834014462</v>
      </c>
    </row>
    <row r="1925" spans="1:11" x14ac:dyDescent="0.2">
      <c r="A1925" s="1">
        <v>44453</v>
      </c>
      <c r="B1925">
        <v>287.71661376953102</v>
      </c>
      <c r="C1925">
        <v>299.79000854492102</v>
      </c>
      <c r="D1925">
        <v>301.39001464843699</v>
      </c>
      <c r="E1925">
        <v>298.100006103515</v>
      </c>
      <c r="F1925">
        <v>299.55999755859301</v>
      </c>
      <c r="G1925" s="2">
        <v>21853400</v>
      </c>
      <c r="H1925" s="3">
        <f t="shared" si="30"/>
        <v>9.427672514909391E-3</v>
      </c>
      <c r="J1925" s="3">
        <v>3.7717196788087382E-3</v>
      </c>
      <c r="K1925" s="3">
        <v>0.60484124489154356</v>
      </c>
    </row>
    <row r="1926" spans="1:11" x14ac:dyDescent="0.2">
      <c r="A1926" s="1">
        <v>44454</v>
      </c>
      <c r="B1926">
        <v>292.54409790039</v>
      </c>
      <c r="C1926">
        <v>304.82000732421801</v>
      </c>
      <c r="D1926">
        <v>305.32000732421801</v>
      </c>
      <c r="E1926">
        <v>301.82000732421801</v>
      </c>
      <c r="F1926">
        <v>303.260009765625</v>
      </c>
      <c r="G1926" s="2">
        <v>28356300</v>
      </c>
      <c r="H1926" s="3">
        <f t="shared" si="30"/>
        <v>1.6778607490236741E-2</v>
      </c>
      <c r="J1926" s="3">
        <v>3.7725835501831728E-3</v>
      </c>
      <c r="K1926" s="3">
        <v>0.6051556114429425</v>
      </c>
    </row>
    <row r="1927" spans="1:11" x14ac:dyDescent="0.2">
      <c r="A1927" s="1">
        <v>44455</v>
      </c>
      <c r="B1927">
        <v>292.927978515625</v>
      </c>
      <c r="C1927">
        <v>305.22000122070301</v>
      </c>
      <c r="D1927">
        <v>305.30999755859301</v>
      </c>
      <c r="E1927">
        <v>300.760009765625</v>
      </c>
      <c r="F1927">
        <v>303.760009765625</v>
      </c>
      <c r="G1927" s="2">
        <v>19550800</v>
      </c>
      <c r="H1927" s="3">
        <f t="shared" si="30"/>
        <v>1.3122145276220909E-3</v>
      </c>
      <c r="J1927" s="3">
        <v>3.7963338431197258E-3</v>
      </c>
      <c r="K1927" s="3">
        <v>0.60546997799434144</v>
      </c>
    </row>
    <row r="1928" spans="1:11" x14ac:dyDescent="0.2">
      <c r="A1928" s="1">
        <v>44456</v>
      </c>
      <c r="B1928">
        <v>287.79345703125</v>
      </c>
      <c r="C1928">
        <v>299.86999511718699</v>
      </c>
      <c r="D1928">
        <v>304.5</v>
      </c>
      <c r="E1928">
        <v>299.52999877929602</v>
      </c>
      <c r="F1928">
        <v>304.17001342773398</v>
      </c>
      <c r="G1928" s="2">
        <v>41372500</v>
      </c>
      <c r="H1928" s="3">
        <f t="shared" si="30"/>
        <v>-1.752827268461532E-2</v>
      </c>
      <c r="J1928" s="3">
        <v>3.8000975631198308E-3</v>
      </c>
      <c r="K1928" s="3">
        <v>0.60578434454574037</v>
      </c>
    </row>
    <row r="1929" spans="1:11" x14ac:dyDescent="0.2">
      <c r="A1929" s="1">
        <v>44459</v>
      </c>
      <c r="B1929">
        <v>282.44772338867102</v>
      </c>
      <c r="C1929">
        <v>294.29998779296801</v>
      </c>
      <c r="D1929">
        <v>298.72000122070301</v>
      </c>
      <c r="E1929">
        <v>289.51998901367102</v>
      </c>
      <c r="F1929">
        <v>296.329986572265</v>
      </c>
      <c r="G1929" s="2">
        <v>38278700</v>
      </c>
      <c r="H1929" s="3">
        <f t="shared" si="30"/>
        <v>-1.8574896377851036E-2</v>
      </c>
      <c r="J1929" s="3">
        <v>3.8147661021725732E-3</v>
      </c>
      <c r="K1929" s="3">
        <v>0.60609871109713931</v>
      </c>
    </row>
    <row r="1930" spans="1:11" x14ac:dyDescent="0.2">
      <c r="A1930" s="1">
        <v>44460</v>
      </c>
      <c r="B1930">
        <v>282.92752075195301</v>
      </c>
      <c r="C1930">
        <v>294.79998779296801</v>
      </c>
      <c r="D1930">
        <v>297.54000854492102</v>
      </c>
      <c r="E1930">
        <v>294.07000732421801</v>
      </c>
      <c r="F1930">
        <v>295.69000244140602</v>
      </c>
      <c r="G1930" s="2">
        <v>22364100</v>
      </c>
      <c r="H1930" s="3">
        <f t="shared" si="30"/>
        <v>1.6987120927214328E-3</v>
      </c>
      <c r="J1930" s="3">
        <v>3.8158357514868069E-3</v>
      </c>
      <c r="K1930" s="3">
        <v>0.60641307764853825</v>
      </c>
    </row>
    <row r="1931" spans="1:11" x14ac:dyDescent="0.2">
      <c r="A1931" s="1">
        <v>44461</v>
      </c>
      <c r="B1931">
        <v>286.55535888671801</v>
      </c>
      <c r="C1931">
        <v>298.579986572265</v>
      </c>
      <c r="D1931">
        <v>300.22000122070301</v>
      </c>
      <c r="E1931">
        <v>294.510009765625</v>
      </c>
      <c r="F1931">
        <v>296.73001098632801</v>
      </c>
      <c r="G1931" s="2">
        <v>26626300</v>
      </c>
      <c r="H1931" s="3">
        <f t="shared" si="30"/>
        <v>1.2822499999728176E-2</v>
      </c>
      <c r="J1931" s="3">
        <v>3.8258466592946405E-3</v>
      </c>
      <c r="K1931" s="3">
        <v>0.60672744419993707</v>
      </c>
    </row>
    <row r="1932" spans="1:11" x14ac:dyDescent="0.2">
      <c r="A1932" s="1">
        <v>44462</v>
      </c>
      <c r="B1932">
        <v>287.49581909179602</v>
      </c>
      <c r="C1932">
        <v>299.55999755859301</v>
      </c>
      <c r="D1932">
        <v>300.89999389648398</v>
      </c>
      <c r="E1932">
        <v>297.52999877929602</v>
      </c>
      <c r="F1932">
        <v>298.850006103515</v>
      </c>
      <c r="G1932" s="2">
        <v>18604600</v>
      </c>
      <c r="H1932" s="3">
        <f t="shared" si="30"/>
        <v>3.2819494590217158E-3</v>
      </c>
      <c r="J1932" s="3">
        <v>3.839669976186233E-3</v>
      </c>
      <c r="K1932" s="3">
        <v>0.60704181075133601</v>
      </c>
    </row>
    <row r="1933" spans="1:11" x14ac:dyDescent="0.2">
      <c r="A1933" s="1">
        <v>44463</v>
      </c>
      <c r="B1933">
        <v>287.29428100585898</v>
      </c>
      <c r="C1933">
        <v>299.350006103515</v>
      </c>
      <c r="D1933">
        <v>299.79998779296801</v>
      </c>
      <c r="E1933">
        <v>296.92999267578102</v>
      </c>
      <c r="F1933">
        <v>298.23001098632801</v>
      </c>
      <c r="G1933" s="2">
        <v>14999000</v>
      </c>
      <c r="H1933" s="3">
        <f t="shared" si="30"/>
        <v>-7.010122323646284E-4</v>
      </c>
      <c r="J1933" s="3">
        <v>3.8506993390348132E-3</v>
      </c>
      <c r="K1933" s="3">
        <v>0.60735617730273495</v>
      </c>
    </row>
    <row r="1934" spans="1:11" x14ac:dyDescent="0.2">
      <c r="A1934" s="1">
        <v>44466</v>
      </c>
      <c r="B1934">
        <v>282.32293701171801</v>
      </c>
      <c r="C1934">
        <v>294.17001342773398</v>
      </c>
      <c r="D1934">
        <v>296.47000122070301</v>
      </c>
      <c r="E1934">
        <v>292.94000244140602</v>
      </c>
      <c r="F1934">
        <v>296.14001464843699</v>
      </c>
      <c r="G1934" s="2">
        <v>23571700</v>
      </c>
      <c r="H1934" s="3">
        <f t="shared" si="30"/>
        <v>-1.7304013072364621E-2</v>
      </c>
      <c r="J1934" s="3">
        <v>3.851133220685643E-3</v>
      </c>
      <c r="K1934" s="3">
        <v>0.60767054385413388</v>
      </c>
    </row>
    <row r="1935" spans="1:11" x14ac:dyDescent="0.2">
      <c r="A1935" s="1">
        <v>44467</v>
      </c>
      <c r="B1935">
        <v>272.10183715820301</v>
      </c>
      <c r="C1935">
        <v>283.51998901367102</v>
      </c>
      <c r="D1935">
        <v>290.77999877929602</v>
      </c>
      <c r="E1935">
        <v>282.75</v>
      </c>
      <c r="F1935">
        <v>289.79998779296801</v>
      </c>
      <c r="G1935" s="2">
        <v>43186200</v>
      </c>
      <c r="H1935" s="3">
        <f t="shared" si="30"/>
        <v>-3.6203575811804334E-2</v>
      </c>
      <c r="J1935" s="3">
        <v>3.8652115180377589E-3</v>
      </c>
      <c r="K1935" s="3">
        <v>0.60798491040553282</v>
      </c>
    </row>
    <row r="1936" spans="1:11" x14ac:dyDescent="0.2">
      <c r="A1936" s="1">
        <v>44468</v>
      </c>
      <c r="B1936">
        <v>272.56259155273398</v>
      </c>
      <c r="C1936">
        <v>284</v>
      </c>
      <c r="D1936">
        <v>286.76998901367102</v>
      </c>
      <c r="E1936">
        <v>283.010009765625</v>
      </c>
      <c r="F1936">
        <v>285.100006103515</v>
      </c>
      <c r="G1936" s="2">
        <v>26353700</v>
      </c>
      <c r="H1936" s="3">
        <f t="shared" si="30"/>
        <v>1.693316000152878E-3</v>
      </c>
      <c r="J1936" s="3">
        <v>3.8979923072610667E-3</v>
      </c>
      <c r="K1936" s="3">
        <v>0.60829927695693176</v>
      </c>
    </row>
    <row r="1937" spans="1:11" x14ac:dyDescent="0.2">
      <c r="A1937" s="1">
        <v>44469</v>
      </c>
      <c r="B1937">
        <v>270.566314697265</v>
      </c>
      <c r="C1937">
        <v>281.92001342773398</v>
      </c>
      <c r="D1937">
        <v>287.829986572265</v>
      </c>
      <c r="E1937">
        <v>281.61999511718699</v>
      </c>
      <c r="F1937">
        <v>285.70999145507801</v>
      </c>
      <c r="G1937" s="2">
        <v>32343600</v>
      </c>
      <c r="H1937" s="3">
        <f t="shared" si="30"/>
        <v>-7.3241043244290926E-3</v>
      </c>
      <c r="J1937" s="3">
        <v>3.8991100033296533E-3</v>
      </c>
      <c r="K1937" s="3">
        <v>0.60861364350833069</v>
      </c>
    </row>
    <row r="1938" spans="1:11" x14ac:dyDescent="0.2">
      <c r="A1938" s="1">
        <v>44470</v>
      </c>
      <c r="B1938">
        <v>277.45709228515602</v>
      </c>
      <c r="C1938">
        <v>289.100006103515</v>
      </c>
      <c r="D1938">
        <v>289.98001098632801</v>
      </c>
      <c r="E1938">
        <v>281.29000854492102</v>
      </c>
      <c r="F1938">
        <v>282.11999511718699</v>
      </c>
      <c r="G1938" s="2">
        <v>30086300</v>
      </c>
      <c r="H1938" s="3">
        <f t="shared" si="30"/>
        <v>2.5467980356686626E-2</v>
      </c>
      <c r="J1938" s="3">
        <v>3.9112984403772977E-3</v>
      </c>
      <c r="K1938" s="3">
        <v>0.60892801005972963</v>
      </c>
    </row>
    <row r="1939" spans="1:11" x14ac:dyDescent="0.2">
      <c r="A1939" s="1">
        <v>44473</v>
      </c>
      <c r="B1939">
        <v>271.70834350585898</v>
      </c>
      <c r="C1939">
        <v>283.10998535156199</v>
      </c>
      <c r="D1939">
        <v>287.75</v>
      </c>
      <c r="E1939">
        <v>280.25</v>
      </c>
      <c r="F1939">
        <v>287.39999389648398</v>
      </c>
      <c r="G1939" s="2">
        <v>31350700</v>
      </c>
      <c r="H1939" s="3">
        <f t="shared" si="30"/>
        <v>-2.0719415502951977E-2</v>
      </c>
      <c r="J1939" s="3">
        <v>3.9214682422319402E-3</v>
      </c>
      <c r="K1939" s="3">
        <v>0.60924237661112857</v>
      </c>
    </row>
    <row r="1940" spans="1:11" x14ac:dyDescent="0.2">
      <c r="A1940" s="1">
        <v>44474</v>
      </c>
      <c r="B1940">
        <v>277.13082885742102</v>
      </c>
      <c r="C1940">
        <v>288.760009765625</v>
      </c>
      <c r="D1940">
        <v>290.39999389648398</v>
      </c>
      <c r="E1940">
        <v>284.04998779296801</v>
      </c>
      <c r="F1940">
        <v>284.04998779296801</v>
      </c>
      <c r="G1940" s="2">
        <v>24993000</v>
      </c>
      <c r="H1940" s="3">
        <f t="shared" si="30"/>
        <v>1.9957007140802396E-2</v>
      </c>
      <c r="J1940" s="3">
        <v>3.9217105717763712E-3</v>
      </c>
      <c r="K1940" s="3">
        <v>0.6095567431625275</v>
      </c>
    </row>
    <row r="1941" spans="1:11" x14ac:dyDescent="0.2">
      <c r="A1941" s="1">
        <v>44475</v>
      </c>
      <c r="B1941">
        <v>281.30563354492102</v>
      </c>
      <c r="C1941">
        <v>293.10998535156199</v>
      </c>
      <c r="D1941">
        <v>293.63000488281199</v>
      </c>
      <c r="E1941">
        <v>285.510009765625</v>
      </c>
      <c r="F1941">
        <v>285.77999877929602</v>
      </c>
      <c r="G1941" s="2">
        <v>28002600</v>
      </c>
      <c r="H1941" s="3">
        <f t="shared" si="30"/>
        <v>1.5064382063562753E-2</v>
      </c>
      <c r="J1941" s="3">
        <v>3.9324949986494495E-3</v>
      </c>
      <c r="K1941" s="3">
        <v>0.60987110971392644</v>
      </c>
    </row>
    <row r="1942" spans="1:11" x14ac:dyDescent="0.2">
      <c r="A1942" s="1">
        <v>44476</v>
      </c>
      <c r="B1942">
        <v>282.97555541992102</v>
      </c>
      <c r="C1942">
        <v>294.850006103515</v>
      </c>
      <c r="D1942">
        <v>296.64001464843699</v>
      </c>
      <c r="E1942">
        <v>293.92001342773398</v>
      </c>
      <c r="F1942">
        <v>295.17999267578102</v>
      </c>
      <c r="G1942" s="2">
        <v>20430500</v>
      </c>
      <c r="H1942" s="3">
        <f t="shared" si="30"/>
        <v>5.9363257463285191E-3</v>
      </c>
      <c r="J1942" s="3">
        <v>3.9746205202322304E-3</v>
      </c>
      <c r="K1942" s="3">
        <v>0.61018547626532538</v>
      </c>
    </row>
    <row r="1943" spans="1:11" x14ac:dyDescent="0.2">
      <c r="A1943" s="1">
        <v>44477</v>
      </c>
      <c r="B1943">
        <v>282.97555541992102</v>
      </c>
      <c r="C1943">
        <v>294.850006103515</v>
      </c>
      <c r="D1943">
        <v>296.64001464843699</v>
      </c>
      <c r="E1943">
        <v>293.760009765625</v>
      </c>
      <c r="F1943">
        <v>296.22000122070301</v>
      </c>
      <c r="G1943" s="2">
        <v>17685700</v>
      </c>
      <c r="H1943" s="3">
        <f t="shared" si="30"/>
        <v>0</v>
      </c>
      <c r="J1943" s="3">
        <v>3.9800028968288714E-3</v>
      </c>
      <c r="K1943" s="3">
        <v>0.61049984281672431</v>
      </c>
    </row>
    <row r="1944" spans="1:11" x14ac:dyDescent="0.2">
      <c r="A1944" s="1">
        <v>44480</v>
      </c>
      <c r="B1944">
        <v>282.38058471679602</v>
      </c>
      <c r="C1944">
        <v>294.23001098632801</v>
      </c>
      <c r="D1944">
        <v>297.97000122070301</v>
      </c>
      <c r="E1944">
        <v>292.75</v>
      </c>
      <c r="F1944">
        <v>292.92001342773398</v>
      </c>
      <c r="G1944" s="2">
        <v>19298600</v>
      </c>
      <c r="H1944" s="3">
        <f t="shared" si="30"/>
        <v>-2.1025515869810274E-3</v>
      </c>
      <c r="J1944" s="3">
        <v>3.9804090774893108E-3</v>
      </c>
      <c r="K1944" s="3">
        <v>0.61081420936812325</v>
      </c>
    </row>
    <row r="1945" spans="1:11" x14ac:dyDescent="0.2">
      <c r="A1945" s="1">
        <v>44481</v>
      </c>
      <c r="B1945">
        <v>281.08493041992102</v>
      </c>
      <c r="C1945">
        <v>292.88000488281199</v>
      </c>
      <c r="D1945">
        <v>295.44000244140602</v>
      </c>
      <c r="E1945">
        <v>292.350006103515</v>
      </c>
      <c r="F1945">
        <v>295.33999633789</v>
      </c>
      <c r="G1945" s="2">
        <v>17974100</v>
      </c>
      <c r="H1945" s="3">
        <f t="shared" si="30"/>
        <v>-4.5883264183138595E-3</v>
      </c>
      <c r="J1945" s="3">
        <v>3.9821376566642197E-3</v>
      </c>
      <c r="K1945" s="3">
        <v>0.61112857591952219</v>
      </c>
    </row>
    <row r="1946" spans="1:11" x14ac:dyDescent="0.2">
      <c r="A1946" s="1">
        <v>44482</v>
      </c>
      <c r="B1946">
        <v>284.37680053710898</v>
      </c>
      <c r="C1946">
        <v>296.30999755859301</v>
      </c>
      <c r="D1946">
        <v>297.27999877929602</v>
      </c>
      <c r="E1946">
        <v>293.489990234375</v>
      </c>
      <c r="F1946">
        <v>294.91000366210898</v>
      </c>
      <c r="G1946" s="2">
        <v>23416300</v>
      </c>
      <c r="H1946" s="3">
        <f t="shared" si="30"/>
        <v>1.1711300610353303E-2</v>
      </c>
      <c r="J1946" s="3">
        <v>3.9896912208825519E-3</v>
      </c>
      <c r="K1946" s="3">
        <v>0.61144294247092112</v>
      </c>
    </row>
    <row r="1947" spans="1:11" x14ac:dyDescent="0.2">
      <c r="A1947" s="1">
        <v>44483</v>
      </c>
      <c r="B1947">
        <v>290.55749511718699</v>
      </c>
      <c r="C1947">
        <v>302.75</v>
      </c>
      <c r="D1947">
        <v>303.26998901367102</v>
      </c>
      <c r="E1947">
        <v>297.829986572265</v>
      </c>
      <c r="F1947">
        <v>299.20999145507801</v>
      </c>
      <c r="G1947" s="2">
        <v>27262900</v>
      </c>
      <c r="H1947" s="3">
        <f t="shared" si="30"/>
        <v>2.1734173000063306E-2</v>
      </c>
      <c r="J1947" s="3">
        <v>4.0084197819185707E-3</v>
      </c>
      <c r="K1947" s="3">
        <v>0.61175730902232006</v>
      </c>
    </row>
    <row r="1948" spans="1:11" x14ac:dyDescent="0.2">
      <c r="A1948" s="1">
        <v>44484</v>
      </c>
      <c r="B1948">
        <v>291.95867919921801</v>
      </c>
      <c r="C1948">
        <v>304.20999145507801</v>
      </c>
      <c r="D1948">
        <v>304.45001220703102</v>
      </c>
      <c r="E1948">
        <v>300.51998901367102</v>
      </c>
      <c r="F1948">
        <v>302.33999633789</v>
      </c>
      <c r="G1948" s="2">
        <v>25384800</v>
      </c>
      <c r="H1948" s="3">
        <f t="shared" si="30"/>
        <v>4.8223986838333843E-3</v>
      </c>
      <c r="J1948" s="3">
        <v>4.0383552295697456E-3</v>
      </c>
      <c r="K1948" s="3">
        <v>0.612071675573719</v>
      </c>
    </row>
    <row r="1949" spans="1:11" x14ac:dyDescent="0.2">
      <c r="A1949" s="1">
        <v>44487</v>
      </c>
      <c r="B1949">
        <v>294.91458129882801</v>
      </c>
      <c r="C1949">
        <v>307.29000854492102</v>
      </c>
      <c r="D1949">
        <v>308.20999145507801</v>
      </c>
      <c r="E1949">
        <v>302.69000244140602</v>
      </c>
      <c r="F1949">
        <v>303.57000732421801</v>
      </c>
      <c r="G1949" s="2">
        <v>22729300</v>
      </c>
      <c r="H1949" s="3">
        <f t="shared" si="30"/>
        <v>1.0124385093525756E-2</v>
      </c>
      <c r="J1949" s="3">
        <v>4.0395901849363813E-3</v>
      </c>
      <c r="K1949" s="3">
        <v>0.61238604212511794</v>
      </c>
    </row>
    <row r="1950" spans="1:11" x14ac:dyDescent="0.2">
      <c r="A1950" s="1">
        <v>44488</v>
      </c>
      <c r="B1950">
        <v>295.81674194335898</v>
      </c>
      <c r="C1950">
        <v>308.23001098632801</v>
      </c>
      <c r="D1950">
        <v>309.29998779296801</v>
      </c>
      <c r="E1950">
        <v>307.22000122070301</v>
      </c>
      <c r="F1950">
        <v>308.350006103515</v>
      </c>
      <c r="G1950" s="2">
        <v>17682100</v>
      </c>
      <c r="H1950" s="3">
        <f t="shared" si="30"/>
        <v>3.0590574415065852E-3</v>
      </c>
      <c r="J1950" s="3">
        <v>4.0741656091671796E-3</v>
      </c>
      <c r="K1950" s="3">
        <v>0.61270040867651687</v>
      </c>
    </row>
    <row r="1951" spans="1:11" x14ac:dyDescent="0.2">
      <c r="A1951" s="1">
        <v>44489</v>
      </c>
      <c r="B1951">
        <v>295.02975463867102</v>
      </c>
      <c r="C1951">
        <v>307.41000366210898</v>
      </c>
      <c r="D1951">
        <v>309.70001220703102</v>
      </c>
      <c r="E1951">
        <v>306.10998535156199</v>
      </c>
      <c r="F1951">
        <v>309.20999145507801</v>
      </c>
      <c r="G1951" s="2">
        <v>16537100</v>
      </c>
      <c r="H1951" s="3">
        <f t="shared" si="30"/>
        <v>-2.6603879804701913E-3</v>
      </c>
      <c r="J1951" s="3">
        <v>4.077058717258053E-3</v>
      </c>
      <c r="K1951" s="3">
        <v>0.6130147752279157</v>
      </c>
    </row>
    <row r="1952" spans="1:11" x14ac:dyDescent="0.2">
      <c r="A1952" s="1">
        <v>44490</v>
      </c>
      <c r="B1952">
        <v>298.244873046875</v>
      </c>
      <c r="C1952">
        <v>310.760009765625</v>
      </c>
      <c r="D1952">
        <v>311.01998901367102</v>
      </c>
      <c r="E1952">
        <v>306.35998535156199</v>
      </c>
      <c r="F1952">
        <v>307.17001342773398</v>
      </c>
      <c r="G1952" s="2">
        <v>16918100</v>
      </c>
      <c r="H1952" s="3">
        <f t="shared" si="30"/>
        <v>1.08976073011402E-2</v>
      </c>
      <c r="J1952" s="3">
        <v>4.0837118106631376E-3</v>
      </c>
      <c r="K1952" s="3">
        <v>0.61332914177931463</v>
      </c>
    </row>
    <row r="1953" spans="1:11" x14ac:dyDescent="0.2">
      <c r="A1953" s="1">
        <v>44491</v>
      </c>
      <c r="B1953">
        <v>296.70928955078102</v>
      </c>
      <c r="C1953">
        <v>309.16000366210898</v>
      </c>
      <c r="D1953">
        <v>311.08999633789</v>
      </c>
      <c r="E1953">
        <v>307.79998779296801</v>
      </c>
      <c r="F1953">
        <v>310.39999389648398</v>
      </c>
      <c r="G1953" s="2">
        <v>17449300</v>
      </c>
      <c r="H1953" s="3">
        <f t="shared" si="30"/>
        <v>-5.1487339259395082E-3</v>
      </c>
      <c r="J1953" s="3">
        <v>4.0951683912224812E-3</v>
      </c>
      <c r="K1953" s="3">
        <v>0.61364350833071357</v>
      </c>
    </row>
    <row r="1954" spans="1:11" x14ac:dyDescent="0.2">
      <c r="A1954" s="1">
        <v>44494</v>
      </c>
      <c r="B1954">
        <v>295.720703125</v>
      </c>
      <c r="C1954">
        <v>308.13000488281199</v>
      </c>
      <c r="D1954">
        <v>309.39999389648398</v>
      </c>
      <c r="E1954">
        <v>306.45999145507801</v>
      </c>
      <c r="F1954">
        <v>309.35998535156199</v>
      </c>
      <c r="G1954" s="2">
        <v>17554500</v>
      </c>
      <c r="H1954" s="3">
        <f t="shared" si="30"/>
        <v>-3.331835101212155E-3</v>
      </c>
      <c r="J1954" s="3">
        <v>4.1041339294924928E-3</v>
      </c>
      <c r="K1954" s="3">
        <v>0.61395787488211251</v>
      </c>
    </row>
    <row r="1955" spans="1:11" x14ac:dyDescent="0.2">
      <c r="A1955" s="1">
        <v>44495</v>
      </c>
      <c r="B1955">
        <v>297.62103271484301</v>
      </c>
      <c r="C1955">
        <v>310.10998535156199</v>
      </c>
      <c r="D1955">
        <v>312.39999389648398</v>
      </c>
      <c r="E1955">
        <v>308.600006103515</v>
      </c>
      <c r="F1955">
        <v>311</v>
      </c>
      <c r="G1955" s="2">
        <v>28107300</v>
      </c>
      <c r="H1955" s="3">
        <f t="shared" si="30"/>
        <v>6.4260958727659911E-3</v>
      </c>
      <c r="J1955" s="3">
        <v>4.1063801737200034E-3</v>
      </c>
      <c r="K1955" s="3">
        <v>0.61427224143351145</v>
      </c>
    </row>
    <row r="1956" spans="1:11" x14ac:dyDescent="0.2">
      <c r="A1956" s="1">
        <v>44496</v>
      </c>
      <c r="B1956">
        <v>310.15505981445301</v>
      </c>
      <c r="C1956">
        <v>323.17001342773398</v>
      </c>
      <c r="D1956">
        <v>326.100006103515</v>
      </c>
      <c r="E1956">
        <v>316</v>
      </c>
      <c r="F1956">
        <v>316</v>
      </c>
      <c r="G1956" s="2">
        <v>52588700</v>
      </c>
      <c r="H1956" s="3">
        <f t="shared" si="30"/>
        <v>4.2114050157265215E-2</v>
      </c>
      <c r="J1956" s="3">
        <v>4.1520949297457754E-3</v>
      </c>
      <c r="K1956" s="3">
        <v>0.61458660798491038</v>
      </c>
    </row>
    <row r="1957" spans="1:11" x14ac:dyDescent="0.2">
      <c r="A1957" s="1">
        <v>44497</v>
      </c>
      <c r="B1957">
        <v>311.287506103515</v>
      </c>
      <c r="C1957">
        <v>324.350006103515</v>
      </c>
      <c r="D1957">
        <v>324.86999511718699</v>
      </c>
      <c r="E1957">
        <v>321.35998535156199</v>
      </c>
      <c r="F1957">
        <v>324.329986572265</v>
      </c>
      <c r="G1957" s="2">
        <v>26297900</v>
      </c>
      <c r="H1957" s="3">
        <f t="shared" si="30"/>
        <v>3.6512262277439422E-3</v>
      </c>
      <c r="J1957" s="3">
        <v>4.1697232037294363E-3</v>
      </c>
      <c r="K1957" s="3">
        <v>0.61490097453630932</v>
      </c>
    </row>
    <row r="1958" spans="1:11" x14ac:dyDescent="0.2">
      <c r="A1958" s="1">
        <v>44498</v>
      </c>
      <c r="B1958">
        <v>318.26470947265602</v>
      </c>
      <c r="C1958">
        <v>331.61999511718699</v>
      </c>
      <c r="D1958">
        <v>332</v>
      </c>
      <c r="E1958">
        <v>323.89999389648398</v>
      </c>
      <c r="F1958">
        <v>324.13000488281199</v>
      </c>
      <c r="G1958" s="2">
        <v>34766000</v>
      </c>
      <c r="H1958" s="3">
        <f t="shared" si="30"/>
        <v>2.2414016728383723E-2</v>
      </c>
      <c r="J1958" s="3">
        <v>4.1774825401248439E-3</v>
      </c>
      <c r="K1958" s="3">
        <v>0.61521534108770826</v>
      </c>
    </row>
    <row r="1959" spans="1:11" x14ac:dyDescent="0.2">
      <c r="A1959" s="1">
        <v>44501</v>
      </c>
      <c r="B1959">
        <v>316.105377197265</v>
      </c>
      <c r="C1959">
        <v>329.36999511718699</v>
      </c>
      <c r="D1959">
        <v>331.489990234375</v>
      </c>
      <c r="E1959">
        <v>326.36999511718699</v>
      </c>
      <c r="F1959">
        <v>331.35998535156199</v>
      </c>
      <c r="G1959" s="2">
        <v>27073200</v>
      </c>
      <c r="H1959" s="3">
        <f t="shared" si="30"/>
        <v>-6.7847053447078753E-3</v>
      </c>
      <c r="J1959" s="3">
        <v>4.225195801759396E-3</v>
      </c>
      <c r="K1959" s="3">
        <v>0.61552970763910719</v>
      </c>
    </row>
    <row r="1960" spans="1:11" x14ac:dyDescent="0.2">
      <c r="A1960" s="1">
        <v>44502</v>
      </c>
      <c r="B1960">
        <v>319.71392822265602</v>
      </c>
      <c r="C1960">
        <v>333.13000488281199</v>
      </c>
      <c r="D1960">
        <v>333.45001220703102</v>
      </c>
      <c r="E1960">
        <v>330</v>
      </c>
      <c r="F1960">
        <v>330.30999755859301</v>
      </c>
      <c r="G1960" s="2">
        <v>26487100</v>
      </c>
      <c r="H1960" s="3">
        <f t="shared" si="30"/>
        <v>1.1415658466129575E-2</v>
      </c>
      <c r="J1960" s="3">
        <v>4.2721388410416061E-3</v>
      </c>
      <c r="K1960" s="3">
        <v>0.61584407419050613</v>
      </c>
    </row>
    <row r="1961" spans="1:11" x14ac:dyDescent="0.2">
      <c r="A1961" s="1">
        <v>44503</v>
      </c>
      <c r="B1961">
        <v>320.54891967773398</v>
      </c>
      <c r="C1961">
        <v>334</v>
      </c>
      <c r="D1961">
        <v>334.89999389648398</v>
      </c>
      <c r="E1961">
        <v>330.64999389648398</v>
      </c>
      <c r="F1961">
        <v>333.89999389648398</v>
      </c>
      <c r="G1961" s="2">
        <v>21500100</v>
      </c>
      <c r="H1961" s="3">
        <f t="shared" si="30"/>
        <v>2.6116830746780728E-3</v>
      </c>
      <c r="J1961" s="3">
        <v>4.2827382495145283E-3</v>
      </c>
      <c r="K1961" s="3">
        <v>0.61615844074190507</v>
      </c>
    </row>
    <row r="1962" spans="1:11" x14ac:dyDescent="0.2">
      <c r="A1962" s="1">
        <v>44504</v>
      </c>
      <c r="B1962">
        <v>322.890625</v>
      </c>
      <c r="C1962">
        <v>336.44000244140602</v>
      </c>
      <c r="D1962">
        <v>336.54000854492102</v>
      </c>
      <c r="E1962">
        <v>329.510009765625</v>
      </c>
      <c r="F1962">
        <v>332.89001464843699</v>
      </c>
      <c r="G1962" s="2">
        <v>23992200</v>
      </c>
      <c r="H1962" s="3">
        <f t="shared" si="30"/>
        <v>7.3052978142003067E-3</v>
      </c>
      <c r="J1962" s="3">
        <v>4.2927042649483216E-3</v>
      </c>
      <c r="K1962" s="3">
        <v>0.616472807293304</v>
      </c>
    </row>
    <row r="1963" spans="1:11" x14ac:dyDescent="0.2">
      <c r="A1963" s="1">
        <v>44505</v>
      </c>
      <c r="B1963">
        <v>322.52590942382801</v>
      </c>
      <c r="C1963">
        <v>336.05999755859301</v>
      </c>
      <c r="D1963">
        <v>338.79000854492102</v>
      </c>
      <c r="E1963">
        <v>334.42001342773398</v>
      </c>
      <c r="F1963">
        <v>338.510009765625</v>
      </c>
      <c r="G1963" s="2">
        <v>22570100</v>
      </c>
      <c r="H1963" s="3">
        <f t="shared" si="30"/>
        <v>-1.1295328756354417E-3</v>
      </c>
      <c r="J1963" s="3">
        <v>4.2980436889141771E-3</v>
      </c>
      <c r="K1963" s="3">
        <v>0.61678717384470294</v>
      </c>
    </row>
    <row r="1964" spans="1:11" x14ac:dyDescent="0.2">
      <c r="A1964" s="1">
        <v>44508</v>
      </c>
      <c r="B1964">
        <v>323.41848754882801</v>
      </c>
      <c r="C1964">
        <v>336.989990234375</v>
      </c>
      <c r="D1964">
        <v>337.64999389648398</v>
      </c>
      <c r="E1964">
        <v>334.44000244140602</v>
      </c>
      <c r="F1964">
        <v>337.29998779296801</v>
      </c>
      <c r="G1964" s="2">
        <v>20897000</v>
      </c>
      <c r="H1964" s="3">
        <f t="shared" si="30"/>
        <v>2.7674617725892414E-3</v>
      </c>
      <c r="J1964" s="3">
        <v>4.3101637804310311E-3</v>
      </c>
      <c r="K1964" s="3">
        <v>0.61710154039610188</v>
      </c>
    </row>
    <row r="1965" spans="1:11" x14ac:dyDescent="0.2">
      <c r="A1965" s="1">
        <v>44509</v>
      </c>
      <c r="B1965">
        <v>322.42041015625</v>
      </c>
      <c r="C1965">
        <v>335.95001220703102</v>
      </c>
      <c r="D1965">
        <v>338.72000122070301</v>
      </c>
      <c r="E1965">
        <v>334.52999877929602</v>
      </c>
      <c r="F1965">
        <v>337.10998535156199</v>
      </c>
      <c r="G1965" s="2">
        <v>21307400</v>
      </c>
      <c r="H1965" s="3">
        <f t="shared" si="30"/>
        <v>-3.0860245502425387E-3</v>
      </c>
      <c r="J1965" s="3">
        <v>4.3121864841166868E-3</v>
      </c>
      <c r="K1965" s="3">
        <v>0.61741590694750081</v>
      </c>
    </row>
    <row r="1966" spans="1:11" x14ac:dyDescent="0.2">
      <c r="A1966" s="1">
        <v>44510</v>
      </c>
      <c r="B1966">
        <v>317.47781372070301</v>
      </c>
      <c r="C1966">
        <v>330.79998779296801</v>
      </c>
      <c r="D1966">
        <v>334.63000488281199</v>
      </c>
      <c r="E1966">
        <v>329.92001342773398</v>
      </c>
      <c r="F1966">
        <v>334.57000732421801</v>
      </c>
      <c r="G1966" s="2">
        <v>25500900</v>
      </c>
      <c r="H1966" s="3">
        <f t="shared" si="30"/>
        <v>-1.5329663631256207E-2</v>
      </c>
      <c r="J1966" s="3">
        <v>4.3140723627244082E-3</v>
      </c>
      <c r="K1966" s="3">
        <v>0.61773027349889975</v>
      </c>
    </row>
    <row r="1967" spans="1:11" x14ac:dyDescent="0.2">
      <c r="A1967" s="1">
        <v>44511</v>
      </c>
      <c r="B1967">
        <v>319.04208374023398</v>
      </c>
      <c r="C1967">
        <v>332.42999267578102</v>
      </c>
      <c r="D1967">
        <v>333.76998901367102</v>
      </c>
      <c r="E1967">
        <v>330.510009765625</v>
      </c>
      <c r="F1967">
        <v>331.25</v>
      </c>
      <c r="G1967" s="2">
        <v>16849800</v>
      </c>
      <c r="H1967" s="3">
        <f t="shared" si="30"/>
        <v>4.9271790088207812E-3</v>
      </c>
      <c r="J1967" s="3">
        <v>4.3290094495587184E-3</v>
      </c>
      <c r="K1967" s="3">
        <v>0.61804464005029869</v>
      </c>
    </row>
    <row r="1968" spans="1:11" x14ac:dyDescent="0.2">
      <c r="A1968" s="1">
        <v>44512</v>
      </c>
      <c r="B1968">
        <v>323.15933227539</v>
      </c>
      <c r="C1968">
        <v>336.72000122070301</v>
      </c>
      <c r="D1968">
        <v>337.23001098632801</v>
      </c>
      <c r="E1968">
        <v>333.79000854492102</v>
      </c>
      <c r="F1968">
        <v>333.92001342773398</v>
      </c>
      <c r="G1968" s="2">
        <v>23831000</v>
      </c>
      <c r="H1968" s="3">
        <f t="shared" si="30"/>
        <v>1.2905032737023925E-2</v>
      </c>
      <c r="J1968" s="3">
        <v>4.3358690001473743E-3</v>
      </c>
      <c r="K1968" s="3">
        <v>0.61835900660169762</v>
      </c>
    </row>
    <row r="1969" spans="1:11" x14ac:dyDescent="0.2">
      <c r="A1969" s="1">
        <v>44515</v>
      </c>
      <c r="B1969">
        <v>322.53561401367102</v>
      </c>
      <c r="C1969">
        <v>336.07000732421801</v>
      </c>
      <c r="D1969">
        <v>337.88000488281199</v>
      </c>
      <c r="E1969">
        <v>334.02999877929602</v>
      </c>
      <c r="F1969">
        <v>337.54000854492102</v>
      </c>
      <c r="G1969" s="2">
        <v>16723000</v>
      </c>
      <c r="H1969" s="3">
        <f t="shared" si="30"/>
        <v>-1.9300642111348409E-3</v>
      </c>
      <c r="J1969" s="3">
        <v>4.3375793399660356E-3</v>
      </c>
      <c r="K1969" s="3">
        <v>0.61867337315309656</v>
      </c>
    </row>
    <row r="1970" spans="1:11" x14ac:dyDescent="0.2">
      <c r="A1970" s="1">
        <v>44516</v>
      </c>
      <c r="B1970">
        <v>325.83703613281199</v>
      </c>
      <c r="C1970">
        <v>339.510009765625</v>
      </c>
      <c r="D1970">
        <v>340.67001342773398</v>
      </c>
      <c r="E1970">
        <v>335.510009765625</v>
      </c>
      <c r="F1970">
        <v>335.67999267578102</v>
      </c>
      <c r="G1970" s="2">
        <v>20886800</v>
      </c>
      <c r="H1970" s="3">
        <f t="shared" si="30"/>
        <v>1.0235837457010399E-2</v>
      </c>
      <c r="J1970" s="3">
        <v>4.3395024740646715E-3</v>
      </c>
      <c r="K1970" s="3">
        <v>0.61898773970449539</v>
      </c>
    </row>
    <row r="1971" spans="1:11" x14ac:dyDescent="0.2">
      <c r="A1971" s="1">
        <v>44517</v>
      </c>
      <c r="B1971">
        <v>326.05816650390602</v>
      </c>
      <c r="C1971">
        <v>339.11999511718699</v>
      </c>
      <c r="D1971">
        <v>342.19000244140602</v>
      </c>
      <c r="E1971">
        <v>338</v>
      </c>
      <c r="F1971">
        <v>338.94000244140602</v>
      </c>
      <c r="G1971" s="2">
        <v>19053400</v>
      </c>
      <c r="H1971" s="3">
        <f t="shared" si="30"/>
        <v>6.7865327317773172E-4</v>
      </c>
      <c r="J1971" s="3">
        <v>4.3437521862270678E-3</v>
      </c>
      <c r="K1971" s="3">
        <v>0.61930210625589432</v>
      </c>
    </row>
    <row r="1972" spans="1:11" x14ac:dyDescent="0.2">
      <c r="A1972" s="1">
        <v>44518</v>
      </c>
      <c r="B1972">
        <v>328.12536621093699</v>
      </c>
      <c r="C1972">
        <v>341.26998901367102</v>
      </c>
      <c r="D1972">
        <v>342.45001220703102</v>
      </c>
      <c r="E1972">
        <v>337.11999511718699</v>
      </c>
      <c r="F1972">
        <v>338.17999267578102</v>
      </c>
      <c r="G1972" s="2">
        <v>22463500</v>
      </c>
      <c r="H1972" s="3">
        <f t="shared" si="30"/>
        <v>6.3399721871595371E-3</v>
      </c>
      <c r="J1972" s="3">
        <v>4.3499944615996711E-3</v>
      </c>
      <c r="K1972" s="3">
        <v>0.61961647280729326</v>
      </c>
    </row>
    <row r="1973" spans="1:11" x14ac:dyDescent="0.2">
      <c r="A1973" s="1">
        <v>44519</v>
      </c>
      <c r="B1973">
        <v>329.894439697265</v>
      </c>
      <c r="C1973">
        <v>343.10998535156199</v>
      </c>
      <c r="D1973">
        <v>345.100006103515</v>
      </c>
      <c r="E1973">
        <v>342.20001220703102</v>
      </c>
      <c r="F1973">
        <v>342.64001464843699</v>
      </c>
      <c r="G1973" s="2">
        <v>21963400</v>
      </c>
      <c r="H1973" s="3">
        <f t="shared" si="30"/>
        <v>5.391456036321074E-3</v>
      </c>
      <c r="J1973" s="3">
        <v>4.3562644704970843E-3</v>
      </c>
      <c r="K1973" s="3">
        <v>0.6199308393586922</v>
      </c>
    </row>
    <row r="1974" spans="1:11" x14ac:dyDescent="0.2">
      <c r="A1974" s="1">
        <v>44522</v>
      </c>
      <c r="B1974">
        <v>326.74078369140602</v>
      </c>
      <c r="C1974">
        <v>339.829986572265</v>
      </c>
      <c r="D1974">
        <v>349.67001342773398</v>
      </c>
      <c r="E1974">
        <v>339.54998779296801</v>
      </c>
      <c r="F1974">
        <v>344.61999511718699</v>
      </c>
      <c r="G1974" s="2">
        <v>31031100</v>
      </c>
      <c r="H1974" s="3">
        <f t="shared" si="30"/>
        <v>-9.5595912703257957E-3</v>
      </c>
      <c r="J1974" s="3">
        <v>4.3598391785215629E-3</v>
      </c>
      <c r="K1974" s="3">
        <v>0.62024520591009114</v>
      </c>
    </row>
    <row r="1975" spans="1:11" x14ac:dyDescent="0.2">
      <c r="A1975" s="1">
        <v>44523</v>
      </c>
      <c r="B1975">
        <v>324.67364501953102</v>
      </c>
      <c r="C1975">
        <v>337.67999267578102</v>
      </c>
      <c r="D1975">
        <v>339.45001220703102</v>
      </c>
      <c r="E1975">
        <v>333.55999755859301</v>
      </c>
      <c r="F1975">
        <v>337.04998779296801</v>
      </c>
      <c r="G1975" s="2">
        <v>30427600</v>
      </c>
      <c r="H1975" s="3">
        <f t="shared" si="30"/>
        <v>-6.3265401047312153E-3</v>
      </c>
      <c r="J1975" s="3">
        <v>4.3696279478990796E-3</v>
      </c>
      <c r="K1975" s="3">
        <v>0.62055957246149007</v>
      </c>
    </row>
    <row r="1976" spans="1:11" x14ac:dyDescent="0.2">
      <c r="A1976" s="1">
        <v>44524</v>
      </c>
      <c r="B1976">
        <v>324.89471435546801</v>
      </c>
      <c r="C1976">
        <v>337.91000366210898</v>
      </c>
      <c r="D1976">
        <v>338.16000366210898</v>
      </c>
      <c r="E1976">
        <v>333.91000366210898</v>
      </c>
      <c r="F1976">
        <v>336.27999877929602</v>
      </c>
      <c r="G1976" s="2">
        <v>21661300</v>
      </c>
      <c r="H1976" s="3">
        <f t="shared" si="30"/>
        <v>6.8089707719787285E-4</v>
      </c>
      <c r="J1976" s="3">
        <v>4.3803019865020776E-3</v>
      </c>
      <c r="K1976" s="3">
        <v>0.62087393901288901</v>
      </c>
    </row>
    <row r="1977" spans="1:11" x14ac:dyDescent="0.2">
      <c r="A1977" s="1">
        <v>44526</v>
      </c>
      <c r="B1977">
        <v>316.98175048828102</v>
      </c>
      <c r="C1977">
        <v>329.67999267578102</v>
      </c>
      <c r="D1977">
        <v>337.92999267578102</v>
      </c>
      <c r="E1977">
        <v>328.11999511718699</v>
      </c>
      <c r="F1977">
        <v>334.350006103515</v>
      </c>
      <c r="G1977" s="2">
        <v>24217200</v>
      </c>
      <c r="H1977" s="3">
        <f t="shared" si="30"/>
        <v>-2.4355471226686021E-2</v>
      </c>
      <c r="J1977" s="3">
        <v>4.3885053321266465E-3</v>
      </c>
      <c r="K1977" s="3">
        <v>0.62118830556428795</v>
      </c>
    </row>
    <row r="1978" spans="1:11" x14ac:dyDescent="0.2">
      <c r="A1978" s="1">
        <v>44529</v>
      </c>
      <c r="B1978">
        <v>323.6640625</v>
      </c>
      <c r="C1978">
        <v>336.63000488281199</v>
      </c>
      <c r="D1978">
        <v>339.02999877929602</v>
      </c>
      <c r="E1978">
        <v>334.739990234375</v>
      </c>
      <c r="F1978">
        <v>334.94000244140602</v>
      </c>
      <c r="G1978" s="2">
        <v>28563500</v>
      </c>
      <c r="H1978" s="3">
        <f t="shared" si="30"/>
        <v>2.1081062242307214E-2</v>
      </c>
      <c r="J1978" s="3">
        <v>4.3892325190042492E-3</v>
      </c>
      <c r="K1978" s="3">
        <v>0.62150267211568688</v>
      </c>
    </row>
    <row r="1979" spans="1:11" x14ac:dyDescent="0.2">
      <c r="A1979" s="1">
        <v>44530</v>
      </c>
      <c r="B1979">
        <v>317.856689453125</v>
      </c>
      <c r="C1979">
        <v>330.58999633789</v>
      </c>
      <c r="D1979">
        <v>337.77999877929602</v>
      </c>
      <c r="E1979">
        <v>328.989990234375</v>
      </c>
      <c r="F1979">
        <v>335.32000732421801</v>
      </c>
      <c r="G1979" s="2">
        <v>42885600</v>
      </c>
      <c r="H1979" s="3">
        <f t="shared" si="30"/>
        <v>-1.7942594559366642E-2</v>
      </c>
      <c r="J1979" s="3">
        <v>4.4072326481450208E-3</v>
      </c>
      <c r="K1979" s="3">
        <v>0.62181703866708582</v>
      </c>
    </row>
    <row r="1980" spans="1:11" x14ac:dyDescent="0.2">
      <c r="A1980" s="1">
        <v>44531</v>
      </c>
      <c r="B1980">
        <v>317.36633300781199</v>
      </c>
      <c r="C1980">
        <v>330.079986572265</v>
      </c>
      <c r="D1980">
        <v>339.27999877929602</v>
      </c>
      <c r="E1980">
        <v>329.39001464843699</v>
      </c>
      <c r="F1980">
        <v>335.13000488281199</v>
      </c>
      <c r="G1980" s="2">
        <v>33337600</v>
      </c>
      <c r="H1980" s="3">
        <f t="shared" si="30"/>
        <v>-1.5426966352561911E-3</v>
      </c>
      <c r="J1980" s="3">
        <v>4.4077884561692926E-3</v>
      </c>
      <c r="K1980" s="3">
        <v>0.62213140521848476</v>
      </c>
    </row>
    <row r="1981" spans="1:11" x14ac:dyDescent="0.2">
      <c r="A1981" s="1">
        <v>44532</v>
      </c>
      <c r="B1981">
        <v>316.79904174804602</v>
      </c>
      <c r="C1981">
        <v>329.489990234375</v>
      </c>
      <c r="D1981">
        <v>333.489990234375</v>
      </c>
      <c r="E1981">
        <v>327.79998779296801</v>
      </c>
      <c r="F1981">
        <v>330.29998779296801</v>
      </c>
      <c r="G1981" s="2">
        <v>30766000</v>
      </c>
      <c r="H1981" s="3">
        <f t="shared" si="30"/>
        <v>-1.7874966584814356E-3</v>
      </c>
      <c r="J1981" s="3">
        <v>4.4402974984907306E-3</v>
      </c>
      <c r="K1981" s="3">
        <v>0.62244577176988369</v>
      </c>
    </row>
    <row r="1982" spans="1:11" x14ac:dyDescent="0.2">
      <c r="A1982" s="1">
        <v>44533</v>
      </c>
      <c r="B1982">
        <v>310.56869506835898</v>
      </c>
      <c r="C1982">
        <v>323.010009765625</v>
      </c>
      <c r="D1982">
        <v>332.70001220703102</v>
      </c>
      <c r="E1982">
        <v>318.02999877929602</v>
      </c>
      <c r="F1982">
        <v>331.989990234375</v>
      </c>
      <c r="G1982" s="2">
        <v>41779300</v>
      </c>
      <c r="H1982" s="3">
        <f t="shared" si="30"/>
        <v>-1.9666557844711274E-2</v>
      </c>
      <c r="J1982" s="3">
        <v>4.4469637767026171E-3</v>
      </c>
      <c r="K1982" s="3">
        <v>0.62276013832128263</v>
      </c>
    </row>
    <row r="1983" spans="1:11" x14ac:dyDescent="0.2">
      <c r="A1983" s="1">
        <v>44536</v>
      </c>
      <c r="B1983">
        <v>313.62615966796801</v>
      </c>
      <c r="C1983">
        <v>326.19000244140602</v>
      </c>
      <c r="D1983">
        <v>327.45001220703102</v>
      </c>
      <c r="E1983">
        <v>319.23001098632801</v>
      </c>
      <c r="F1983">
        <v>323.95001220703102</v>
      </c>
      <c r="G1983" s="2">
        <v>30032600</v>
      </c>
      <c r="H1983" s="3">
        <f t="shared" si="30"/>
        <v>9.8447288737071315E-3</v>
      </c>
      <c r="J1983" s="3">
        <v>4.4594357821663433E-3</v>
      </c>
      <c r="K1983" s="3">
        <v>0.62307450487268157</v>
      </c>
    </row>
    <row r="1984" spans="1:11" x14ac:dyDescent="0.2">
      <c r="A1984" s="1">
        <v>44537</v>
      </c>
      <c r="B1984">
        <v>322.01989746093699</v>
      </c>
      <c r="C1984">
        <v>334.92001342773398</v>
      </c>
      <c r="D1984">
        <v>335.79998779296801</v>
      </c>
      <c r="E1984">
        <v>330.100006103515</v>
      </c>
      <c r="F1984">
        <v>331.64001464843699</v>
      </c>
      <c r="G1984" s="2">
        <v>31021900</v>
      </c>
      <c r="H1984" s="3">
        <f t="shared" si="30"/>
        <v>2.6763512973073889E-2</v>
      </c>
      <c r="J1984" s="3">
        <v>4.4629285913904138E-3</v>
      </c>
      <c r="K1984" s="3">
        <v>0.6233888714240805</v>
      </c>
    </row>
    <row r="1985" spans="1:11" x14ac:dyDescent="0.2">
      <c r="A1985" s="1">
        <v>44538</v>
      </c>
      <c r="B1985">
        <v>322.06799316406199</v>
      </c>
      <c r="C1985">
        <v>334.97000122070301</v>
      </c>
      <c r="D1985">
        <v>335.5</v>
      </c>
      <c r="E1985">
        <v>330.79998779296801</v>
      </c>
      <c r="F1985">
        <v>335.30999755859301</v>
      </c>
      <c r="G1985" s="2">
        <v>24761000</v>
      </c>
      <c r="H1985" s="3">
        <f t="shared" si="30"/>
        <v>1.4935630842760617E-4</v>
      </c>
      <c r="J1985" s="3">
        <v>4.4704852108810034E-3</v>
      </c>
      <c r="K1985" s="3">
        <v>0.62370323797547944</v>
      </c>
    </row>
    <row r="1986" spans="1:11" x14ac:dyDescent="0.2">
      <c r="A1986" s="1">
        <v>44539</v>
      </c>
      <c r="B1986">
        <v>320.27008056640602</v>
      </c>
      <c r="C1986">
        <v>333.100006103515</v>
      </c>
      <c r="D1986">
        <v>336.489990234375</v>
      </c>
      <c r="E1986">
        <v>332.11999511718699</v>
      </c>
      <c r="F1986">
        <v>334.41000366210898</v>
      </c>
      <c r="G1986" s="2">
        <v>22214200</v>
      </c>
      <c r="H1986" s="3">
        <f t="shared" ref="H1986:H2049" si="31">B1986/B1985-1</f>
        <v>-5.582400722260239E-3</v>
      </c>
      <c r="J1986" s="3">
        <v>4.4717162967833346E-3</v>
      </c>
      <c r="K1986" s="3">
        <v>0.62401760452687838</v>
      </c>
    </row>
    <row r="1987" spans="1:11" x14ac:dyDescent="0.2">
      <c r="A1987" s="1">
        <v>44540</v>
      </c>
      <c r="B1987">
        <v>329.34652709960898</v>
      </c>
      <c r="C1987">
        <v>342.54000854492102</v>
      </c>
      <c r="D1987">
        <v>343</v>
      </c>
      <c r="E1987">
        <v>334.79000854492102</v>
      </c>
      <c r="F1987">
        <v>334.98001098632801</v>
      </c>
      <c r="G1987" s="2">
        <v>38095700</v>
      </c>
      <c r="H1987" s="3">
        <f t="shared" si="31"/>
        <v>2.8339976425993507E-2</v>
      </c>
      <c r="J1987" s="3">
        <v>4.4965982178475361E-3</v>
      </c>
      <c r="K1987" s="3">
        <v>0.62433197107827731</v>
      </c>
    </row>
    <row r="1988" spans="1:11" x14ac:dyDescent="0.2">
      <c r="A1988" s="1">
        <v>44543</v>
      </c>
      <c r="B1988">
        <v>326.32733154296801</v>
      </c>
      <c r="C1988">
        <v>339.39999389648398</v>
      </c>
      <c r="D1988">
        <v>343.79000854492102</v>
      </c>
      <c r="E1988">
        <v>339.079986572265</v>
      </c>
      <c r="F1988">
        <v>340.67999267578102</v>
      </c>
      <c r="G1988" s="2">
        <v>28899400</v>
      </c>
      <c r="H1988" s="3">
        <f t="shared" si="31"/>
        <v>-9.1672305860623915E-3</v>
      </c>
      <c r="J1988" s="3">
        <v>4.5122093231020344E-3</v>
      </c>
      <c r="K1988" s="3">
        <v>0.62464633762967625</v>
      </c>
    </row>
    <row r="1989" spans="1:11" x14ac:dyDescent="0.2">
      <c r="A1989" s="1">
        <v>44544</v>
      </c>
      <c r="B1989">
        <v>315.693359375</v>
      </c>
      <c r="C1989">
        <v>328.33999633789</v>
      </c>
      <c r="D1989">
        <v>334.64001464843699</v>
      </c>
      <c r="E1989">
        <v>324.10998535156199</v>
      </c>
      <c r="F1989">
        <v>333.22000122070301</v>
      </c>
      <c r="G1989" s="2">
        <v>44438700</v>
      </c>
      <c r="H1989" s="3">
        <f t="shared" si="31"/>
        <v>-3.2586826600418561E-2</v>
      </c>
      <c r="J1989" s="3">
        <v>4.5452636230001175E-3</v>
      </c>
      <c r="K1989" s="3">
        <v>0.62496070418107519</v>
      </c>
    </row>
    <row r="1990" spans="1:11" x14ac:dyDescent="0.2">
      <c r="A1990" s="1">
        <v>44545</v>
      </c>
      <c r="B1990">
        <v>321.76028442382801</v>
      </c>
      <c r="C1990">
        <v>334.64999389648398</v>
      </c>
      <c r="D1990">
        <v>335.19000244140602</v>
      </c>
      <c r="E1990">
        <v>324.5</v>
      </c>
      <c r="F1990">
        <v>328.60998535156199</v>
      </c>
      <c r="G1990" s="2">
        <v>35381100</v>
      </c>
      <c r="H1990" s="3">
        <f t="shared" si="31"/>
        <v>1.9217778482382819E-2</v>
      </c>
      <c r="J1990" s="3">
        <v>4.5487484893365071E-3</v>
      </c>
      <c r="K1990" s="3">
        <v>0.62527507073247401</v>
      </c>
    </row>
    <row r="1991" spans="1:11" x14ac:dyDescent="0.2">
      <c r="A1991" s="1">
        <v>44546</v>
      </c>
      <c r="B1991">
        <v>312.38589477539</v>
      </c>
      <c r="C1991">
        <v>324.89999389648398</v>
      </c>
      <c r="D1991">
        <v>336.760009765625</v>
      </c>
      <c r="E1991">
        <v>323.01998901367102</v>
      </c>
      <c r="F1991">
        <v>335.70999145507801</v>
      </c>
      <c r="G1991" s="2">
        <v>35034800</v>
      </c>
      <c r="H1991" s="3">
        <f t="shared" si="31"/>
        <v>-2.9134700900779631E-2</v>
      </c>
      <c r="J1991" s="3">
        <v>4.5621038720873308E-3</v>
      </c>
      <c r="K1991" s="3">
        <v>0.62558943728387295</v>
      </c>
    </row>
    <row r="1992" spans="1:11" x14ac:dyDescent="0.2">
      <c r="A1992" s="1">
        <v>44547</v>
      </c>
      <c r="B1992">
        <v>311.32815551757801</v>
      </c>
      <c r="C1992">
        <v>323.79998779296801</v>
      </c>
      <c r="D1992">
        <v>324.92001342773398</v>
      </c>
      <c r="E1992">
        <v>317.25</v>
      </c>
      <c r="F1992">
        <v>320.88000488281199</v>
      </c>
      <c r="G1992" s="2">
        <v>47750300</v>
      </c>
      <c r="H1992" s="3">
        <f t="shared" si="31"/>
        <v>-3.3860019786505768E-3</v>
      </c>
      <c r="J1992" s="3">
        <v>4.5991713886979202E-3</v>
      </c>
      <c r="K1992" s="3">
        <v>0.62590380383527189</v>
      </c>
    </row>
    <row r="1993" spans="1:11" x14ac:dyDescent="0.2">
      <c r="A1993" s="1">
        <v>44550</v>
      </c>
      <c r="B1993">
        <v>307.58807373046801</v>
      </c>
      <c r="C1993">
        <v>319.91000366210898</v>
      </c>
      <c r="D1993">
        <v>322.79998779296801</v>
      </c>
      <c r="E1993">
        <v>317.57000732421801</v>
      </c>
      <c r="F1993">
        <v>320.04998779296801</v>
      </c>
      <c r="G1993" s="2">
        <v>28326500</v>
      </c>
      <c r="H1993" s="3">
        <f t="shared" si="31"/>
        <v>-1.2013310459801363E-2</v>
      </c>
      <c r="J1993" s="3">
        <v>4.6021277942756011E-3</v>
      </c>
      <c r="K1993" s="3">
        <v>0.62621817038667082</v>
      </c>
    </row>
    <row r="1994" spans="1:11" x14ac:dyDescent="0.2">
      <c r="A1994" s="1">
        <v>44551</v>
      </c>
      <c r="B1994">
        <v>314.68380737304602</v>
      </c>
      <c r="C1994">
        <v>327.29000854492102</v>
      </c>
      <c r="D1994">
        <v>327.73001098632801</v>
      </c>
      <c r="E1994">
        <v>319.79998779296801</v>
      </c>
      <c r="F1994">
        <v>323.29000854492102</v>
      </c>
      <c r="G1994" s="2">
        <v>24740600</v>
      </c>
      <c r="H1994" s="3">
        <f t="shared" si="31"/>
        <v>2.3068949184277709E-2</v>
      </c>
      <c r="J1994" s="3">
        <v>4.6102192635033568E-3</v>
      </c>
      <c r="K1994" s="3">
        <v>0.62653253693806976</v>
      </c>
    </row>
    <row r="1995" spans="1:11" x14ac:dyDescent="0.2">
      <c r="A1995" s="1">
        <v>44552</v>
      </c>
      <c r="B1995">
        <v>320.36618041992102</v>
      </c>
      <c r="C1995">
        <v>333.20001220703102</v>
      </c>
      <c r="D1995">
        <v>333.60998535156199</v>
      </c>
      <c r="E1995">
        <v>325.75</v>
      </c>
      <c r="F1995">
        <v>328.29998779296801</v>
      </c>
      <c r="G1995" s="2">
        <v>24831500</v>
      </c>
      <c r="H1995" s="3">
        <f t="shared" si="31"/>
        <v>1.8057405286630246E-2</v>
      </c>
      <c r="J1995" s="3">
        <v>4.6168475443419954E-3</v>
      </c>
      <c r="K1995" s="3">
        <v>0.6268469034894687</v>
      </c>
    </row>
    <row r="1996" spans="1:11" x14ac:dyDescent="0.2">
      <c r="A1996" s="1">
        <v>44553</v>
      </c>
      <c r="B1996">
        <v>321.79876708984301</v>
      </c>
      <c r="C1996">
        <v>334.69000244140602</v>
      </c>
      <c r="D1996">
        <v>336.39001464843699</v>
      </c>
      <c r="E1996">
        <v>332.73001098632801</v>
      </c>
      <c r="F1996">
        <v>332.75</v>
      </c>
      <c r="G1996" s="2">
        <v>19617800</v>
      </c>
      <c r="H1996" s="3">
        <f t="shared" si="31"/>
        <v>4.4717162967833346E-3</v>
      </c>
      <c r="J1996" s="3">
        <v>4.6334397015379558E-3</v>
      </c>
      <c r="K1996" s="3">
        <v>0.62716127004086764</v>
      </c>
    </row>
    <row r="1997" spans="1:11" x14ac:dyDescent="0.2">
      <c r="A1997" s="1">
        <v>44557</v>
      </c>
      <c r="B1997">
        <v>329.25991821289</v>
      </c>
      <c r="C1997">
        <v>342.45001220703102</v>
      </c>
      <c r="D1997">
        <v>342.48001098632801</v>
      </c>
      <c r="E1997">
        <v>335.42999267578102</v>
      </c>
      <c r="F1997">
        <v>335.45999145507801</v>
      </c>
      <c r="G1997" s="2">
        <v>19947000</v>
      </c>
      <c r="H1997" s="3">
        <f t="shared" si="31"/>
        <v>2.3185766653244899E-2</v>
      </c>
      <c r="J1997" s="3">
        <v>4.63475893636911E-3</v>
      </c>
      <c r="K1997" s="3">
        <v>0.62747563659226657</v>
      </c>
    </row>
    <row r="1998" spans="1:11" x14ac:dyDescent="0.2">
      <c r="A1998" s="1">
        <v>44558</v>
      </c>
      <c r="B1998">
        <v>328.10607910156199</v>
      </c>
      <c r="C1998">
        <v>341.25</v>
      </c>
      <c r="D1998">
        <v>343.80999755859301</v>
      </c>
      <c r="E1998">
        <v>340.32000732421801</v>
      </c>
      <c r="F1998">
        <v>343.14999389648398</v>
      </c>
      <c r="G1998" s="2">
        <v>15661500</v>
      </c>
      <c r="H1998" s="3">
        <f t="shared" si="31"/>
        <v>-3.5043412438132693E-3</v>
      </c>
      <c r="J1998" s="3">
        <v>4.6515757119010015E-3</v>
      </c>
      <c r="K1998" s="3">
        <v>0.62779000314366551</v>
      </c>
    </row>
    <row r="1999" spans="1:11" x14ac:dyDescent="0.2">
      <c r="A1999" s="1">
        <v>44559</v>
      </c>
      <c r="B1999">
        <v>328.77911376953102</v>
      </c>
      <c r="C1999">
        <v>341.95001220703102</v>
      </c>
      <c r="D1999">
        <v>344.29998779296801</v>
      </c>
      <c r="E1999">
        <v>339.67999267578102</v>
      </c>
      <c r="F1999">
        <v>341.29998779296801</v>
      </c>
      <c r="G1999" s="2">
        <v>15042000</v>
      </c>
      <c r="H1999" s="3">
        <f t="shared" si="31"/>
        <v>2.0512715576985752E-3</v>
      </c>
      <c r="J1999" s="3">
        <v>4.6535669819649517E-3</v>
      </c>
      <c r="K1999" s="3">
        <v>0.62810436969506445</v>
      </c>
    </row>
    <row r="2000" spans="1:11" x14ac:dyDescent="0.2">
      <c r="A2000" s="1">
        <v>44560</v>
      </c>
      <c r="B2000">
        <v>326.25045776367102</v>
      </c>
      <c r="C2000">
        <v>339.32000732421801</v>
      </c>
      <c r="D2000">
        <v>343.13000488281199</v>
      </c>
      <c r="E2000">
        <v>338.82000732421801</v>
      </c>
      <c r="F2000">
        <v>341.91000366210898</v>
      </c>
      <c r="G2000" s="2">
        <v>15994500</v>
      </c>
      <c r="H2000" s="3">
        <f t="shared" si="31"/>
        <v>-7.6910481838957656E-3</v>
      </c>
      <c r="J2000" s="3">
        <v>4.6705184157660451E-3</v>
      </c>
      <c r="K2000" s="3">
        <v>0.62841873624646338</v>
      </c>
    </row>
    <row r="2001" spans="1:11" x14ac:dyDescent="0.2">
      <c r="A2001" s="1">
        <v>44561</v>
      </c>
      <c r="B2001">
        <v>323.36602783203102</v>
      </c>
      <c r="C2001">
        <v>336.32000732421801</v>
      </c>
      <c r="D2001">
        <v>339.35998535156199</v>
      </c>
      <c r="E2001">
        <v>335.850006103515</v>
      </c>
      <c r="F2001">
        <v>338.510009765625</v>
      </c>
      <c r="G2001" s="2">
        <v>18000800</v>
      </c>
      <c r="H2001" s="3">
        <f t="shared" si="31"/>
        <v>-8.8411521363425116E-3</v>
      </c>
      <c r="J2001" s="3">
        <v>4.6815915715707757E-3</v>
      </c>
      <c r="K2001" s="3">
        <v>0.62873310279786232</v>
      </c>
    </row>
    <row r="2002" spans="1:11" x14ac:dyDescent="0.2">
      <c r="A2002" s="1">
        <v>44564</v>
      </c>
      <c r="B2002">
        <v>321.8564453125</v>
      </c>
      <c r="C2002">
        <v>334.75</v>
      </c>
      <c r="D2002">
        <v>338</v>
      </c>
      <c r="E2002">
        <v>329.77999877929602</v>
      </c>
      <c r="F2002">
        <v>335.350006103515</v>
      </c>
      <c r="G2002" s="2">
        <v>28865100</v>
      </c>
      <c r="H2002" s="3">
        <f t="shared" si="31"/>
        <v>-4.6683398675235743E-3</v>
      </c>
      <c r="J2002" s="3">
        <v>4.7039120971565929E-3</v>
      </c>
      <c r="K2002" s="3">
        <v>0.62904746934926126</v>
      </c>
    </row>
    <row r="2003" spans="1:11" x14ac:dyDescent="0.2">
      <c r="A2003" s="1">
        <v>44565</v>
      </c>
      <c r="B2003">
        <v>316.33755493164</v>
      </c>
      <c r="C2003">
        <v>329.010009765625</v>
      </c>
      <c r="D2003">
        <v>335.20001220703102</v>
      </c>
      <c r="E2003">
        <v>326.11999511718699</v>
      </c>
      <c r="F2003">
        <v>334.829986572265</v>
      </c>
      <c r="G2003" s="2">
        <v>32674300</v>
      </c>
      <c r="H2003" s="3">
        <f t="shared" si="31"/>
        <v>-1.7147055655516108E-2</v>
      </c>
      <c r="J2003" s="3">
        <v>4.7781409113201168E-3</v>
      </c>
      <c r="K2003" s="3">
        <v>0.62936183590066019</v>
      </c>
    </row>
    <row r="2004" spans="1:11" x14ac:dyDescent="0.2">
      <c r="A2004" s="1">
        <v>44566</v>
      </c>
      <c r="B2004">
        <v>304.19403076171801</v>
      </c>
      <c r="C2004">
        <v>316.38000488281199</v>
      </c>
      <c r="D2004">
        <v>326.07000732421801</v>
      </c>
      <c r="E2004">
        <v>315.98001098632801</v>
      </c>
      <c r="F2004">
        <v>325.85998535156199</v>
      </c>
      <c r="G2004" s="2">
        <v>40054300</v>
      </c>
      <c r="H2004" s="3">
        <f t="shared" si="31"/>
        <v>-3.8387867581976431E-2</v>
      </c>
      <c r="J2004" s="3">
        <v>4.7931766010609334E-3</v>
      </c>
      <c r="K2004" s="3">
        <v>0.62967620245205913</v>
      </c>
    </row>
    <row r="2005" spans="1:11" x14ac:dyDescent="0.2">
      <c r="A2005" s="1">
        <v>44567</v>
      </c>
      <c r="B2005">
        <v>301.79031372070301</v>
      </c>
      <c r="C2005">
        <v>313.88000488281199</v>
      </c>
      <c r="D2005">
        <v>318.70001220703102</v>
      </c>
      <c r="E2005">
        <v>311.489990234375</v>
      </c>
      <c r="F2005">
        <v>313.14999389648398</v>
      </c>
      <c r="G2005" s="2">
        <v>39646100</v>
      </c>
      <c r="H2005" s="3">
        <f t="shared" si="31"/>
        <v>-7.9019204781762831E-3</v>
      </c>
      <c r="J2005" s="3">
        <v>4.7977276040414019E-3</v>
      </c>
      <c r="K2005" s="3">
        <v>0.62999056900345807</v>
      </c>
    </row>
    <row r="2006" spans="1:11" x14ac:dyDescent="0.2">
      <c r="A2006" s="1">
        <v>44568</v>
      </c>
      <c r="B2006">
        <v>301.94418334960898</v>
      </c>
      <c r="C2006">
        <v>314.04000854492102</v>
      </c>
      <c r="D2006">
        <v>316.5</v>
      </c>
      <c r="E2006">
        <v>310.08999633789</v>
      </c>
      <c r="F2006">
        <v>314.14999389648398</v>
      </c>
      <c r="G2006" s="2">
        <v>32720000</v>
      </c>
      <c r="H2006" s="3">
        <f t="shared" si="31"/>
        <v>5.0985608851705777E-4</v>
      </c>
      <c r="J2006" s="3">
        <v>4.8223986838333843E-3</v>
      </c>
      <c r="K2006" s="3">
        <v>0.630304935554857</v>
      </c>
    </row>
    <row r="2007" spans="1:11" x14ac:dyDescent="0.2">
      <c r="A2007" s="1">
        <v>44571</v>
      </c>
      <c r="B2007">
        <v>302.165283203125</v>
      </c>
      <c r="C2007">
        <v>314.26998901367102</v>
      </c>
      <c r="D2007">
        <v>314.72000122070301</v>
      </c>
      <c r="E2007">
        <v>304.69000244140602</v>
      </c>
      <c r="F2007">
        <v>309.489990234375</v>
      </c>
      <c r="G2007" s="2">
        <v>44289500</v>
      </c>
      <c r="H2007" s="3">
        <f t="shared" si="31"/>
        <v>7.3225405789667519E-4</v>
      </c>
      <c r="J2007" s="3">
        <v>4.8249215119151589E-3</v>
      </c>
      <c r="K2007" s="3">
        <v>0.63061930210625594</v>
      </c>
    </row>
    <row r="2008" spans="1:11" x14ac:dyDescent="0.2">
      <c r="A2008" s="1">
        <v>44572</v>
      </c>
      <c r="B2008">
        <v>302.847900390625</v>
      </c>
      <c r="C2008">
        <v>314.98001098632801</v>
      </c>
      <c r="D2008">
        <v>316.60998535156199</v>
      </c>
      <c r="E2008">
        <v>309.89001464843699</v>
      </c>
      <c r="F2008">
        <v>313.38000488281199</v>
      </c>
      <c r="G2008" s="2">
        <v>29386800</v>
      </c>
      <c r="H2008" s="3">
        <f t="shared" si="31"/>
        <v>2.2590854259094684E-3</v>
      </c>
      <c r="J2008" s="3">
        <v>4.8259692487697681E-3</v>
      </c>
      <c r="K2008" s="3">
        <v>0.63093366865765488</v>
      </c>
    </row>
    <row r="2009" spans="1:11" x14ac:dyDescent="0.2">
      <c r="A2009" s="1">
        <v>44573</v>
      </c>
      <c r="B2009">
        <v>306.01119995117102</v>
      </c>
      <c r="C2009">
        <v>318.26998901367102</v>
      </c>
      <c r="D2009">
        <v>323.41000366210898</v>
      </c>
      <c r="E2009">
        <v>317.079986572265</v>
      </c>
      <c r="F2009">
        <v>319.67001342773398</v>
      </c>
      <c r="G2009" s="2">
        <v>34372200</v>
      </c>
      <c r="H2009" s="3">
        <f t="shared" si="31"/>
        <v>1.0445175801007345E-2</v>
      </c>
      <c r="J2009" s="3">
        <v>4.8360180912603301E-3</v>
      </c>
      <c r="K2009" s="3">
        <v>0.6312480352090537</v>
      </c>
    </row>
    <row r="2010" spans="1:11" x14ac:dyDescent="0.2">
      <c r="A2010" s="1">
        <v>44574</v>
      </c>
      <c r="B2010">
        <v>293.06002807617102</v>
      </c>
      <c r="C2010">
        <v>304.79998779296801</v>
      </c>
      <c r="D2010">
        <v>320.88000488281199</v>
      </c>
      <c r="E2010">
        <v>304</v>
      </c>
      <c r="F2010">
        <v>320.47000122070301</v>
      </c>
      <c r="G2010" s="2">
        <v>45366000</v>
      </c>
      <c r="H2010" s="3">
        <f t="shared" si="31"/>
        <v>-4.2322542041162481E-2</v>
      </c>
      <c r="J2010" s="3">
        <v>4.8416564380044935E-3</v>
      </c>
      <c r="K2010" s="3">
        <v>0.63156240176045264</v>
      </c>
    </row>
    <row r="2011" spans="1:11" x14ac:dyDescent="0.2">
      <c r="A2011" s="1">
        <v>44575</v>
      </c>
      <c r="B2011">
        <v>298.25207519531199</v>
      </c>
      <c r="C2011">
        <v>310.20001220703102</v>
      </c>
      <c r="D2011">
        <v>310.82000732421801</v>
      </c>
      <c r="E2011">
        <v>303.75</v>
      </c>
      <c r="F2011">
        <v>304.25</v>
      </c>
      <c r="G2011" s="2">
        <v>39846400</v>
      </c>
      <c r="H2011" s="3">
        <f t="shared" si="31"/>
        <v>1.7716667650736317E-2</v>
      </c>
      <c r="J2011" s="3">
        <v>4.8595180171138175E-3</v>
      </c>
      <c r="K2011" s="3">
        <v>0.63187676831185158</v>
      </c>
    </row>
    <row r="2012" spans="1:11" x14ac:dyDescent="0.2">
      <c r="A2012" s="1">
        <v>44579</v>
      </c>
      <c r="B2012">
        <v>290.99285888671801</v>
      </c>
      <c r="C2012">
        <v>302.64999389648398</v>
      </c>
      <c r="D2012">
        <v>309.79998779296801</v>
      </c>
      <c r="E2012">
        <v>301.739990234375</v>
      </c>
      <c r="F2012">
        <v>304.07000732421801</v>
      </c>
      <c r="G2012" s="2">
        <v>42333200</v>
      </c>
      <c r="H2012" s="3">
        <f t="shared" si="31"/>
        <v>-2.4339197988279659E-2</v>
      </c>
      <c r="J2012" s="3">
        <v>4.8740168117666904E-3</v>
      </c>
      <c r="K2012" s="3">
        <v>0.63219113486325051</v>
      </c>
    </row>
    <row r="2013" spans="1:11" x14ac:dyDescent="0.2">
      <c r="A2013" s="1">
        <v>44580</v>
      </c>
      <c r="B2013">
        <v>291.64663696289</v>
      </c>
      <c r="C2013">
        <v>303.329986572265</v>
      </c>
      <c r="D2013">
        <v>313.91000366210898</v>
      </c>
      <c r="E2013">
        <v>302.70001220703102</v>
      </c>
      <c r="F2013">
        <v>306.29000854492102</v>
      </c>
      <c r="G2013" s="2">
        <v>45933900</v>
      </c>
      <c r="H2013" s="3">
        <f t="shared" si="31"/>
        <v>2.2467151897582749E-3</v>
      </c>
      <c r="J2013" s="3">
        <v>4.8825810246080348E-3</v>
      </c>
      <c r="K2013" s="3">
        <v>0.63250550141464945</v>
      </c>
    </row>
    <row r="2014" spans="1:11" x14ac:dyDescent="0.2">
      <c r="A2014" s="1">
        <v>44581</v>
      </c>
      <c r="B2014">
        <v>289.983306884765</v>
      </c>
      <c r="C2014">
        <v>301.600006103515</v>
      </c>
      <c r="D2014">
        <v>311.64999389648398</v>
      </c>
      <c r="E2014">
        <v>301.14001464843699</v>
      </c>
      <c r="F2014">
        <v>309.07000732421801</v>
      </c>
      <c r="G2014" s="2">
        <v>35380700</v>
      </c>
      <c r="H2014" s="3">
        <f t="shared" si="31"/>
        <v>-5.7032376421218833E-3</v>
      </c>
      <c r="J2014" s="3">
        <v>4.8834231659391492E-3</v>
      </c>
      <c r="K2014" s="3">
        <v>0.63281986796604839</v>
      </c>
    </row>
    <row r="2015" spans="1:11" x14ac:dyDescent="0.2">
      <c r="A2015" s="1">
        <v>44582</v>
      </c>
      <c r="B2015">
        <v>284.627838134765</v>
      </c>
      <c r="C2015">
        <v>296.02999877929602</v>
      </c>
      <c r="D2015">
        <v>304.10998535156199</v>
      </c>
      <c r="E2015">
        <v>295.60998535156199</v>
      </c>
      <c r="F2015">
        <v>302.69000244140602</v>
      </c>
      <c r="G2015" s="2">
        <v>57984400</v>
      </c>
      <c r="H2015" s="3">
        <f t="shared" si="31"/>
        <v>-1.8468196695640038E-2</v>
      </c>
      <c r="J2015" s="3">
        <v>4.9271790088207812E-3</v>
      </c>
      <c r="K2015" s="3">
        <v>0.63313423451744733</v>
      </c>
    </row>
    <row r="2016" spans="1:11" x14ac:dyDescent="0.2">
      <c r="A2016" s="1">
        <v>44585</v>
      </c>
      <c r="B2016">
        <v>284.95471191406199</v>
      </c>
      <c r="C2016">
        <v>296.36999511718699</v>
      </c>
      <c r="D2016">
        <v>297.10998535156199</v>
      </c>
      <c r="E2016">
        <v>276.04998779296801</v>
      </c>
      <c r="F2016">
        <v>292.20001220703102</v>
      </c>
      <c r="G2016" s="2">
        <v>85731500</v>
      </c>
      <c r="H2016" s="3">
        <f t="shared" si="31"/>
        <v>1.1484251907301068E-3</v>
      </c>
      <c r="J2016" s="3">
        <v>4.9664663352964045E-3</v>
      </c>
      <c r="K2016" s="3">
        <v>0.63344860106884626</v>
      </c>
    </row>
    <row r="2017" spans="1:11" x14ac:dyDescent="0.2">
      <c r="A2017" s="1">
        <v>44586</v>
      </c>
      <c r="B2017">
        <v>277.378326416015</v>
      </c>
      <c r="C2017">
        <v>288.489990234375</v>
      </c>
      <c r="D2017">
        <v>294.989990234375</v>
      </c>
      <c r="E2017">
        <v>285.17001342773398</v>
      </c>
      <c r="F2017">
        <v>291.51998901367102</v>
      </c>
      <c r="G2017" s="2">
        <v>72848600</v>
      </c>
      <c r="H2017" s="3">
        <f t="shared" si="31"/>
        <v>-2.6588033751594575E-2</v>
      </c>
      <c r="J2017" s="3">
        <v>4.9781704981051167E-3</v>
      </c>
      <c r="K2017" s="3">
        <v>0.6337629676202452</v>
      </c>
    </row>
    <row r="2018" spans="1:11" x14ac:dyDescent="0.2">
      <c r="A2018" s="1">
        <v>44587</v>
      </c>
      <c r="B2018">
        <v>285.28161621093699</v>
      </c>
      <c r="C2018">
        <v>296.70999145507801</v>
      </c>
      <c r="D2018">
        <v>308.5</v>
      </c>
      <c r="E2018">
        <v>293.02999877929602</v>
      </c>
      <c r="F2018">
        <v>307.989990234375</v>
      </c>
      <c r="G2018" s="2">
        <v>90428900</v>
      </c>
      <c r="H2018" s="3">
        <f t="shared" si="31"/>
        <v>2.8492816641587648E-2</v>
      </c>
      <c r="J2018" s="3">
        <v>5.0293288920109092E-3</v>
      </c>
      <c r="K2018" s="3">
        <v>0.63407733417164414</v>
      </c>
    </row>
    <row r="2019" spans="1:11" x14ac:dyDescent="0.2">
      <c r="A2019" s="1">
        <v>44588</v>
      </c>
      <c r="B2019">
        <v>288.29107666015602</v>
      </c>
      <c r="C2019">
        <v>299.83999633789</v>
      </c>
      <c r="D2019">
        <v>307.29998779296801</v>
      </c>
      <c r="E2019">
        <v>297.92999267578102</v>
      </c>
      <c r="F2019">
        <v>302.66000366210898</v>
      </c>
      <c r="G2019" s="2">
        <v>53481300</v>
      </c>
      <c r="H2019" s="3">
        <f t="shared" si="31"/>
        <v>1.054908651034081E-2</v>
      </c>
      <c r="J2019" s="3">
        <v>5.0384798336329251E-3</v>
      </c>
      <c r="K2019" s="3">
        <v>0.63439170072304307</v>
      </c>
    </row>
    <row r="2020" spans="1:11" x14ac:dyDescent="0.2">
      <c r="A2020" s="1">
        <v>44589</v>
      </c>
      <c r="B2020">
        <v>296.38684082031199</v>
      </c>
      <c r="C2020">
        <v>308.260009765625</v>
      </c>
      <c r="D2020">
        <v>308.48001098632801</v>
      </c>
      <c r="E2020">
        <v>294.45001220703102</v>
      </c>
      <c r="F2020">
        <v>300.23001098632801</v>
      </c>
      <c r="G2020" s="2">
        <v>49743700</v>
      </c>
      <c r="H2020" s="3">
        <f t="shared" si="31"/>
        <v>2.8081910317673264E-2</v>
      </c>
      <c r="J2020" s="3">
        <v>5.0599758727734034E-3</v>
      </c>
      <c r="K2020" s="3">
        <v>0.63470606727444201</v>
      </c>
    </row>
    <row r="2021" spans="1:11" x14ac:dyDescent="0.2">
      <c r="A2021" s="1">
        <v>44592</v>
      </c>
      <c r="B2021">
        <v>299.00198364257801</v>
      </c>
      <c r="C2021">
        <v>310.98001098632801</v>
      </c>
      <c r="D2021">
        <v>312.38000488281199</v>
      </c>
      <c r="E2021">
        <v>306.36999511718699</v>
      </c>
      <c r="F2021">
        <v>308.95001220703102</v>
      </c>
      <c r="G2021" s="2">
        <v>46444500</v>
      </c>
      <c r="H2021" s="3">
        <f t="shared" si="31"/>
        <v>8.8234106987614691E-3</v>
      </c>
      <c r="J2021" s="3">
        <v>5.091145674121611E-3</v>
      </c>
      <c r="K2021" s="3">
        <v>0.63502043382584095</v>
      </c>
    </row>
    <row r="2022" spans="1:11" x14ac:dyDescent="0.2">
      <c r="A2022" s="1">
        <v>44593</v>
      </c>
      <c r="B2022">
        <v>296.86749267578102</v>
      </c>
      <c r="C2022">
        <v>308.760009765625</v>
      </c>
      <c r="D2022">
        <v>310.63000488281199</v>
      </c>
      <c r="E2022">
        <v>305.13000488281199</v>
      </c>
      <c r="F2022">
        <v>310.41000366210898</v>
      </c>
      <c r="G2022" s="2">
        <v>40950400</v>
      </c>
      <c r="H2022" s="3">
        <f t="shared" si="31"/>
        <v>-7.1387184151544547E-3</v>
      </c>
      <c r="J2022" s="3">
        <v>5.1076939347551864E-3</v>
      </c>
      <c r="K2022" s="3">
        <v>0.63533480037723988</v>
      </c>
    </row>
    <row r="2023" spans="1:11" x14ac:dyDescent="0.2">
      <c r="A2023" s="1">
        <v>44594</v>
      </c>
      <c r="B2023">
        <v>301.38653564453102</v>
      </c>
      <c r="C2023">
        <v>313.45999145507801</v>
      </c>
      <c r="D2023">
        <v>315.11999511718699</v>
      </c>
      <c r="E2023">
        <v>308.88000488281199</v>
      </c>
      <c r="F2023">
        <v>309.63000488281199</v>
      </c>
      <c r="G2023" s="2">
        <v>36636000</v>
      </c>
      <c r="H2023" s="3">
        <f t="shared" si="31"/>
        <v>1.5222424415749058E-2</v>
      </c>
      <c r="J2023" s="3">
        <v>5.1144391668740408E-3</v>
      </c>
      <c r="K2023" s="3">
        <v>0.63564916692863882</v>
      </c>
    </row>
    <row r="2024" spans="1:11" x14ac:dyDescent="0.2">
      <c r="A2024" s="1">
        <v>44595</v>
      </c>
      <c r="B2024">
        <v>289.64675903320301</v>
      </c>
      <c r="C2024">
        <v>301.25</v>
      </c>
      <c r="D2024">
        <v>311.23001098632801</v>
      </c>
      <c r="E2024">
        <v>299.95999145507801</v>
      </c>
      <c r="F2024">
        <v>309.489990234375</v>
      </c>
      <c r="G2024" s="2">
        <v>43730000</v>
      </c>
      <c r="H2024" s="3">
        <f t="shared" si="31"/>
        <v>-3.8952558335832332E-2</v>
      </c>
      <c r="J2024" s="3">
        <v>5.1296774937219514E-3</v>
      </c>
      <c r="K2024" s="3">
        <v>0.63596353348003776</v>
      </c>
    </row>
    <row r="2025" spans="1:11" x14ac:dyDescent="0.2">
      <c r="A2025" s="1">
        <v>44596</v>
      </c>
      <c r="B2025">
        <v>294.15618896484301</v>
      </c>
      <c r="C2025">
        <v>305.94000244140602</v>
      </c>
      <c r="D2025">
        <v>308.79998779296801</v>
      </c>
      <c r="E2025">
        <v>299.97000122070301</v>
      </c>
      <c r="F2025">
        <v>300.20999145507801</v>
      </c>
      <c r="G2025" s="2">
        <v>35096500</v>
      </c>
      <c r="H2025" s="3">
        <f t="shared" si="31"/>
        <v>1.5568722214230224E-2</v>
      </c>
      <c r="J2025" s="3">
        <v>5.1497090586605232E-3</v>
      </c>
      <c r="K2025" s="3">
        <v>0.63627790003143669</v>
      </c>
    </row>
    <row r="2026" spans="1:11" x14ac:dyDescent="0.2">
      <c r="A2026" s="1">
        <v>44599</v>
      </c>
      <c r="B2026">
        <v>289.3583984375</v>
      </c>
      <c r="C2026">
        <v>300.95001220703102</v>
      </c>
      <c r="D2026">
        <v>307.83999633789</v>
      </c>
      <c r="E2026">
        <v>299.89999389648398</v>
      </c>
      <c r="F2026">
        <v>306.17001342773398</v>
      </c>
      <c r="G2026" s="2">
        <v>28533300</v>
      </c>
      <c r="H2026" s="3">
        <f t="shared" si="31"/>
        <v>-1.6310350444186716E-2</v>
      </c>
      <c r="J2026" s="3">
        <v>5.1521344013609749E-3</v>
      </c>
      <c r="K2026" s="3">
        <v>0.63659226658283563</v>
      </c>
    </row>
    <row r="2027" spans="1:11" x14ac:dyDescent="0.2">
      <c r="A2027" s="1">
        <v>44600</v>
      </c>
      <c r="B2027">
        <v>292.82928466796801</v>
      </c>
      <c r="C2027">
        <v>304.55999755859301</v>
      </c>
      <c r="D2027">
        <v>305.55999755859301</v>
      </c>
      <c r="E2027">
        <v>299.95001220703102</v>
      </c>
      <c r="F2027">
        <v>301.25</v>
      </c>
      <c r="G2027" s="2">
        <v>32421200</v>
      </c>
      <c r="H2027" s="3">
        <f t="shared" si="31"/>
        <v>1.199511142310139E-2</v>
      </c>
      <c r="J2027" s="3">
        <v>5.1789294525037555E-3</v>
      </c>
      <c r="K2027" s="3">
        <v>0.63690663313423457</v>
      </c>
    </row>
    <row r="2028" spans="1:11" x14ac:dyDescent="0.2">
      <c r="A2028" s="1">
        <v>44601</v>
      </c>
      <c r="B2028">
        <v>299.22314453125</v>
      </c>
      <c r="C2028">
        <v>311.20999145507801</v>
      </c>
      <c r="D2028">
        <v>311.92999267578102</v>
      </c>
      <c r="E2028">
        <v>307.39001464843699</v>
      </c>
      <c r="F2028">
        <v>309.86999511718699</v>
      </c>
      <c r="G2028" s="2">
        <v>31284700</v>
      </c>
      <c r="H2028" s="3">
        <f t="shared" si="31"/>
        <v>2.1834769259952314E-2</v>
      </c>
      <c r="J2028" s="3">
        <v>5.1846135346236277E-3</v>
      </c>
      <c r="K2028" s="3">
        <v>0.63722099968563339</v>
      </c>
    </row>
    <row r="2029" spans="1:11" x14ac:dyDescent="0.2">
      <c r="A2029" s="1">
        <v>44602</v>
      </c>
      <c r="B2029">
        <v>290.733306884765</v>
      </c>
      <c r="C2029">
        <v>302.38000488281199</v>
      </c>
      <c r="D2029">
        <v>309.11999511718699</v>
      </c>
      <c r="E2029">
        <v>300.70001220703102</v>
      </c>
      <c r="F2029">
        <v>304.04000854492102</v>
      </c>
      <c r="G2029" s="2">
        <v>45386200</v>
      </c>
      <c r="H2029" s="3">
        <f t="shared" si="31"/>
        <v>-2.8372931043769367E-2</v>
      </c>
      <c r="J2029" s="3">
        <v>5.1850763441463332E-3</v>
      </c>
      <c r="K2029" s="3">
        <v>0.63753536623703233</v>
      </c>
    </row>
    <row r="2030" spans="1:11" x14ac:dyDescent="0.2">
      <c r="A2030" s="1">
        <v>44603</v>
      </c>
      <c r="B2030">
        <v>283.67593383789</v>
      </c>
      <c r="C2030">
        <v>295.04000854492102</v>
      </c>
      <c r="D2030">
        <v>304.29000854492102</v>
      </c>
      <c r="E2030">
        <v>294.22000122070301</v>
      </c>
      <c r="F2030">
        <v>303.19000244140602</v>
      </c>
      <c r="G2030" s="2">
        <v>39175600</v>
      </c>
      <c r="H2030" s="3">
        <f t="shared" si="31"/>
        <v>-2.4274387831567767E-2</v>
      </c>
      <c r="J2030" s="3">
        <v>5.2111332703546065E-3</v>
      </c>
      <c r="K2030" s="3">
        <v>0.63784973278843127</v>
      </c>
    </row>
    <row r="2031" spans="1:11" x14ac:dyDescent="0.2">
      <c r="A2031" s="1">
        <v>44606</v>
      </c>
      <c r="B2031">
        <v>283.63754272460898</v>
      </c>
      <c r="C2031">
        <v>295</v>
      </c>
      <c r="D2031">
        <v>296.760009765625</v>
      </c>
      <c r="E2031">
        <v>291.350006103515</v>
      </c>
      <c r="F2031">
        <v>293.76998901367102</v>
      </c>
      <c r="G2031" s="2">
        <v>36359500</v>
      </c>
      <c r="H2031" s="3">
        <f t="shared" si="31"/>
        <v>-1.3533440345692149E-4</v>
      </c>
      <c r="J2031" s="3">
        <v>5.2383022990851735E-3</v>
      </c>
      <c r="K2031" s="3">
        <v>0.6381640993398302</v>
      </c>
    </row>
    <row r="2032" spans="1:11" x14ac:dyDescent="0.2">
      <c r="A2032" s="1">
        <v>44607</v>
      </c>
      <c r="B2032">
        <v>288.89675903320301</v>
      </c>
      <c r="C2032">
        <v>300.47000122070301</v>
      </c>
      <c r="D2032">
        <v>300.79998779296801</v>
      </c>
      <c r="E2032">
        <v>297.01998901367102</v>
      </c>
      <c r="F2032">
        <v>300.010009765625</v>
      </c>
      <c r="G2032" s="2">
        <v>27058300</v>
      </c>
      <c r="H2032" s="3">
        <f t="shared" si="31"/>
        <v>1.854203170029689E-2</v>
      </c>
      <c r="J2032" s="3">
        <v>5.2744209205266568E-3</v>
      </c>
      <c r="K2032" s="3">
        <v>0.63847846589122914</v>
      </c>
    </row>
    <row r="2033" spans="1:11" x14ac:dyDescent="0.2">
      <c r="A2033" s="1">
        <v>44608</v>
      </c>
      <c r="B2033">
        <v>288.55966186523398</v>
      </c>
      <c r="C2033">
        <v>299.5</v>
      </c>
      <c r="D2033">
        <v>300.86999511718699</v>
      </c>
      <c r="E2033">
        <v>293.67999267578102</v>
      </c>
      <c r="F2033">
        <v>298.36999511718699</v>
      </c>
      <c r="G2033" s="2">
        <v>29982100</v>
      </c>
      <c r="H2033" s="3">
        <f t="shared" si="31"/>
        <v>-1.166843024120956E-3</v>
      </c>
      <c r="J2033" s="3">
        <v>5.2784647291843623E-3</v>
      </c>
      <c r="K2033" s="3">
        <v>0.63879283244262808</v>
      </c>
    </row>
    <row r="2034" spans="1:11" x14ac:dyDescent="0.2">
      <c r="A2034" s="1">
        <v>44609</v>
      </c>
      <c r="B2034">
        <v>280.11001586914</v>
      </c>
      <c r="C2034">
        <v>290.73001098632801</v>
      </c>
      <c r="D2034">
        <v>296.79998779296801</v>
      </c>
      <c r="E2034">
        <v>290</v>
      </c>
      <c r="F2034">
        <v>296.35998535156199</v>
      </c>
      <c r="G2034" s="2">
        <v>32461600</v>
      </c>
      <c r="H2034" s="3">
        <f t="shared" si="31"/>
        <v>-2.9282145472017573E-2</v>
      </c>
      <c r="J2034" s="3">
        <v>5.28810445768646E-3</v>
      </c>
      <c r="K2034" s="3">
        <v>0.63910719899402701</v>
      </c>
    </row>
    <row r="2035" spans="1:11" x14ac:dyDescent="0.2">
      <c r="A2035" s="1">
        <v>44610</v>
      </c>
      <c r="B2035">
        <v>277.41223144531199</v>
      </c>
      <c r="C2035">
        <v>287.92999267578102</v>
      </c>
      <c r="D2035">
        <v>293.85998535156199</v>
      </c>
      <c r="E2035">
        <v>286.30999755859301</v>
      </c>
      <c r="F2035">
        <v>293.04998779296801</v>
      </c>
      <c r="G2035" s="2">
        <v>34264000</v>
      </c>
      <c r="H2035" s="3">
        <f t="shared" si="31"/>
        <v>-9.6311601549026182E-3</v>
      </c>
      <c r="J2035" s="3">
        <v>5.2899183455834553E-3</v>
      </c>
      <c r="K2035" s="3">
        <v>0.63942156554542595</v>
      </c>
    </row>
    <row r="2036" spans="1:11" x14ac:dyDescent="0.2">
      <c r="A2036" s="1">
        <v>44614</v>
      </c>
      <c r="B2036">
        <v>277.20993041992102</v>
      </c>
      <c r="C2036">
        <v>287.72000122070301</v>
      </c>
      <c r="D2036">
        <v>291.54000854492102</v>
      </c>
      <c r="E2036">
        <v>284.5</v>
      </c>
      <c r="F2036">
        <v>285</v>
      </c>
      <c r="G2036" s="2">
        <v>41736100</v>
      </c>
      <c r="H2036" s="3">
        <f t="shared" si="31"/>
        <v>-7.2924335144486374E-4</v>
      </c>
      <c r="J2036" s="3">
        <v>5.2906757527346748E-3</v>
      </c>
      <c r="K2036" s="3">
        <v>0.63973593209682489</v>
      </c>
    </row>
    <row r="2037" spans="1:11" x14ac:dyDescent="0.2">
      <c r="A2037" s="1">
        <v>44615</v>
      </c>
      <c r="B2037">
        <v>270.03201293945301</v>
      </c>
      <c r="C2037">
        <v>280.26998901367102</v>
      </c>
      <c r="D2037">
        <v>291.70001220703102</v>
      </c>
      <c r="E2037">
        <v>280.100006103515</v>
      </c>
      <c r="F2037">
        <v>290.17999267578102</v>
      </c>
      <c r="G2037" s="2">
        <v>37811200</v>
      </c>
      <c r="H2037" s="3">
        <f t="shared" si="31"/>
        <v>-2.5893435598049463E-2</v>
      </c>
      <c r="J2037" s="3">
        <v>5.2915738322107941E-3</v>
      </c>
      <c r="K2037" s="3">
        <v>0.64005029864822383</v>
      </c>
    </row>
    <row r="2038" spans="1:11" x14ac:dyDescent="0.2">
      <c r="A2038" s="1">
        <v>44616</v>
      </c>
      <c r="B2038">
        <v>283.82894897460898</v>
      </c>
      <c r="C2038">
        <v>294.58999633789</v>
      </c>
      <c r="D2038">
        <v>295.16000366210898</v>
      </c>
      <c r="E2038">
        <v>271.51998901367102</v>
      </c>
      <c r="F2038">
        <v>272.510009765625</v>
      </c>
      <c r="G2038" s="2">
        <v>56989700</v>
      </c>
      <c r="H2038" s="3">
        <f t="shared" si="31"/>
        <v>5.1093705094327202E-2</v>
      </c>
      <c r="J2038" s="3">
        <v>5.2964062320053351E-3</v>
      </c>
      <c r="K2038" s="3">
        <v>0.64036466519962276</v>
      </c>
    </row>
    <row r="2039" spans="1:11" x14ac:dyDescent="0.2">
      <c r="A2039" s="1">
        <v>44617</v>
      </c>
      <c r="B2039">
        <v>286.44958496093699</v>
      </c>
      <c r="C2039">
        <v>297.30999755859301</v>
      </c>
      <c r="D2039">
        <v>297.63000488281199</v>
      </c>
      <c r="E2039">
        <v>291.64999389648398</v>
      </c>
      <c r="F2039">
        <v>295.14001464843699</v>
      </c>
      <c r="G2039" s="2">
        <v>32546700</v>
      </c>
      <c r="H2039" s="3">
        <f t="shared" si="31"/>
        <v>9.2331525582418639E-3</v>
      </c>
      <c r="J2039" s="3">
        <v>5.326840317987358E-3</v>
      </c>
      <c r="K2039" s="3">
        <v>0.6406790317510217</v>
      </c>
    </row>
    <row r="2040" spans="1:11" x14ac:dyDescent="0.2">
      <c r="A2040" s="1">
        <v>44620</v>
      </c>
      <c r="B2040">
        <v>287.87557983398398</v>
      </c>
      <c r="C2040">
        <v>298.79000854492102</v>
      </c>
      <c r="D2040">
        <v>299.14001464843699</v>
      </c>
      <c r="E2040">
        <v>293</v>
      </c>
      <c r="F2040">
        <v>294.30999755859301</v>
      </c>
      <c r="G2040" s="2">
        <v>34627500</v>
      </c>
      <c r="H2040" s="3">
        <f t="shared" si="31"/>
        <v>4.9781704981051167E-3</v>
      </c>
      <c r="J2040" s="3">
        <v>5.3439499285601322E-3</v>
      </c>
      <c r="K2040" s="3">
        <v>0.64099339830242064</v>
      </c>
    </row>
    <row r="2041" spans="1:11" x14ac:dyDescent="0.2">
      <c r="A2041" s="1">
        <v>44621</v>
      </c>
      <c r="B2041">
        <v>284.17581176757801</v>
      </c>
      <c r="C2041">
        <v>294.95001220703102</v>
      </c>
      <c r="D2041">
        <v>299.97000122070301</v>
      </c>
      <c r="E2041">
        <v>292.14999389648398</v>
      </c>
      <c r="F2041">
        <v>296.39999389648398</v>
      </c>
      <c r="G2041" s="2">
        <v>31217800</v>
      </c>
      <c r="H2041" s="3">
        <f t="shared" si="31"/>
        <v>-1.285196913381681E-2</v>
      </c>
      <c r="J2041" s="3">
        <v>5.3531169187435168E-3</v>
      </c>
      <c r="K2041" s="3">
        <v>0.64130776485381957</v>
      </c>
    </row>
    <row r="2042" spans="1:11" x14ac:dyDescent="0.2">
      <c r="A2042" s="1">
        <v>44622</v>
      </c>
      <c r="B2042">
        <v>289.22445678710898</v>
      </c>
      <c r="C2042">
        <v>300.19000244140602</v>
      </c>
      <c r="D2042">
        <v>301.47000122070301</v>
      </c>
      <c r="E2042">
        <v>293.70001220703102</v>
      </c>
      <c r="F2042">
        <v>295.35998535156199</v>
      </c>
      <c r="G2042" s="2">
        <v>31873000</v>
      </c>
      <c r="H2042" s="3">
        <f t="shared" si="31"/>
        <v>1.7765920991404283E-2</v>
      </c>
      <c r="J2042" s="3">
        <v>5.3613325767944975E-3</v>
      </c>
      <c r="K2042" s="3">
        <v>0.64162213140521851</v>
      </c>
    </row>
    <row r="2043" spans="1:11" x14ac:dyDescent="0.2">
      <c r="A2043" s="1">
        <v>44623</v>
      </c>
      <c r="B2043">
        <v>285.11041259765602</v>
      </c>
      <c r="C2043">
        <v>295.92001342773398</v>
      </c>
      <c r="D2043">
        <v>303.13000488281199</v>
      </c>
      <c r="E2043">
        <v>294.04998779296801</v>
      </c>
      <c r="F2043">
        <v>302.89001464843699</v>
      </c>
      <c r="G2043" s="2">
        <v>27314500</v>
      </c>
      <c r="H2043" s="3">
        <f t="shared" si="31"/>
        <v>-1.4224399399533461E-2</v>
      </c>
      <c r="J2043" s="3">
        <v>5.3812503657508781E-3</v>
      </c>
      <c r="K2043" s="3">
        <v>0.64193649795661745</v>
      </c>
    </row>
    <row r="2044" spans="1:11" x14ac:dyDescent="0.2">
      <c r="A2044" s="1">
        <v>44624</v>
      </c>
      <c r="B2044">
        <v>279.27175903320301</v>
      </c>
      <c r="C2044">
        <v>289.85998535156199</v>
      </c>
      <c r="D2044">
        <v>295.66000366210898</v>
      </c>
      <c r="E2044">
        <v>287.17001342773398</v>
      </c>
      <c r="F2044">
        <v>294.29000854492102</v>
      </c>
      <c r="G2044" s="2">
        <v>32356500</v>
      </c>
      <c r="H2044" s="3">
        <f t="shared" si="31"/>
        <v>-2.0478570078366287E-2</v>
      </c>
      <c r="J2044" s="3">
        <v>5.3871616117018295E-3</v>
      </c>
      <c r="K2044" s="3">
        <v>0.64225086450801638</v>
      </c>
    </row>
    <row r="2045" spans="1:11" x14ac:dyDescent="0.2">
      <c r="A2045" s="1">
        <v>44627</v>
      </c>
      <c r="B2045">
        <v>268.72174072265602</v>
      </c>
      <c r="C2045">
        <v>278.91000366210898</v>
      </c>
      <c r="D2045">
        <v>289.69000244140602</v>
      </c>
      <c r="E2045">
        <v>278.52999877929602</v>
      </c>
      <c r="F2045">
        <v>288.52999877929602</v>
      </c>
      <c r="G2045" s="2">
        <v>43157200</v>
      </c>
      <c r="H2045" s="3">
        <f t="shared" si="31"/>
        <v>-3.7776889246050382E-2</v>
      </c>
      <c r="J2045" s="3">
        <v>5.387453907855777E-3</v>
      </c>
      <c r="K2045" s="3">
        <v>0.64256523105941532</v>
      </c>
    </row>
    <row r="2046" spans="1:11" x14ac:dyDescent="0.2">
      <c r="A2046" s="1">
        <v>44628</v>
      </c>
      <c r="B2046">
        <v>265.77352905273398</v>
      </c>
      <c r="C2046">
        <v>275.850006103515</v>
      </c>
      <c r="D2046">
        <v>283.95999145507801</v>
      </c>
      <c r="E2046">
        <v>270</v>
      </c>
      <c r="F2046">
        <v>277.79998779296801</v>
      </c>
      <c r="G2046" s="2">
        <v>48159500</v>
      </c>
      <c r="H2046" s="3">
        <f t="shared" si="31"/>
        <v>-1.0971243569625644E-2</v>
      </c>
      <c r="J2046" s="3">
        <v>5.391456036321074E-3</v>
      </c>
      <c r="K2046" s="3">
        <v>0.64287959761081426</v>
      </c>
    </row>
    <row r="2047" spans="1:11" x14ac:dyDescent="0.2">
      <c r="A2047" s="1">
        <v>44629</v>
      </c>
      <c r="B2047">
        <v>277.96148681640602</v>
      </c>
      <c r="C2047">
        <v>288.5</v>
      </c>
      <c r="D2047">
        <v>289.600006103515</v>
      </c>
      <c r="E2047">
        <v>280.77999877929602</v>
      </c>
      <c r="F2047">
        <v>283.44000244140602</v>
      </c>
      <c r="G2047" s="2">
        <v>35204500</v>
      </c>
      <c r="H2047" s="3">
        <f t="shared" si="31"/>
        <v>4.585843370900089E-2</v>
      </c>
      <c r="J2047" s="3">
        <v>5.4014647025510953E-3</v>
      </c>
      <c r="K2047" s="3">
        <v>0.64319396416221319</v>
      </c>
    </row>
    <row r="2048" spans="1:11" x14ac:dyDescent="0.2">
      <c r="A2048" s="1">
        <v>44630</v>
      </c>
      <c r="B2048">
        <v>275.15780639648398</v>
      </c>
      <c r="C2048">
        <v>285.58999633789</v>
      </c>
      <c r="D2048">
        <v>286.600006103515</v>
      </c>
      <c r="E2048">
        <v>280.579986572265</v>
      </c>
      <c r="F2048">
        <v>283.01998901367102</v>
      </c>
      <c r="G2048" s="2">
        <v>30628000</v>
      </c>
      <c r="H2048" s="3">
        <f t="shared" si="31"/>
        <v>-1.0086578727267592E-2</v>
      </c>
      <c r="J2048" s="3">
        <v>5.4300442631949331E-3</v>
      </c>
      <c r="K2048" s="3">
        <v>0.64350833071361202</v>
      </c>
    </row>
    <row r="2049" spans="1:11" x14ac:dyDescent="0.2">
      <c r="A2049" s="1">
        <v>44631</v>
      </c>
      <c r="B2049">
        <v>269.83938598632801</v>
      </c>
      <c r="C2049">
        <v>280.07000732421801</v>
      </c>
      <c r="D2049">
        <v>289.510009765625</v>
      </c>
      <c r="E2049">
        <v>279.42999267578102</v>
      </c>
      <c r="F2049">
        <v>287.95999145507801</v>
      </c>
      <c r="G2049" s="2">
        <v>27209300</v>
      </c>
      <c r="H2049" s="3">
        <f t="shared" si="31"/>
        <v>-1.932861901977978E-2</v>
      </c>
      <c r="J2049" s="3">
        <v>5.4439486269182158E-3</v>
      </c>
      <c r="K2049" s="3">
        <v>0.64382269726501096</v>
      </c>
    </row>
    <row r="2050" spans="1:11" x14ac:dyDescent="0.2">
      <c r="A2050" s="1">
        <v>44634</v>
      </c>
      <c r="B2050">
        <v>266.34194946289</v>
      </c>
      <c r="C2050">
        <v>276.44000244140602</v>
      </c>
      <c r="D2050">
        <v>285.39999389648398</v>
      </c>
      <c r="E2050">
        <v>275.82000732421801</v>
      </c>
      <c r="F2050">
        <v>280.33999633789</v>
      </c>
      <c r="G2050" s="2">
        <v>30660700</v>
      </c>
      <c r="H2050" s="3">
        <f t="shared" ref="H2050:H2113" si="32">B2050/B2049-1</f>
        <v>-1.2961178779198779E-2</v>
      </c>
      <c r="J2050" s="3">
        <v>5.4455659405368007E-3</v>
      </c>
      <c r="K2050" s="3">
        <v>0.64413706381640989</v>
      </c>
    </row>
    <row r="2051" spans="1:11" x14ac:dyDescent="0.2">
      <c r="A2051" s="1">
        <v>44635</v>
      </c>
      <c r="B2051">
        <v>276.66070556640602</v>
      </c>
      <c r="C2051">
        <v>287.14999389648398</v>
      </c>
      <c r="D2051">
        <v>287.82000732421801</v>
      </c>
      <c r="E2051">
        <v>278.73001098632801</v>
      </c>
      <c r="F2051">
        <v>280.350006103515</v>
      </c>
      <c r="G2051" s="2">
        <v>34245100</v>
      </c>
      <c r="H2051" s="3">
        <f t="shared" si="32"/>
        <v>3.8742511738481422E-2</v>
      </c>
      <c r="J2051" s="3">
        <v>5.4511475190999192E-3</v>
      </c>
      <c r="K2051" s="3">
        <v>0.64445143036780883</v>
      </c>
    </row>
    <row r="2052" spans="1:11" x14ac:dyDescent="0.2">
      <c r="A2052" s="1">
        <v>44636</v>
      </c>
      <c r="B2052">
        <v>283.63632202148398</v>
      </c>
      <c r="C2052">
        <v>294.39001464843699</v>
      </c>
      <c r="D2052">
        <v>294.57000732421801</v>
      </c>
      <c r="E2052">
        <v>283.20001220703102</v>
      </c>
      <c r="F2052">
        <v>289.10998535156199</v>
      </c>
      <c r="G2052" s="2">
        <v>37826300</v>
      </c>
      <c r="H2052" s="3">
        <f t="shared" si="32"/>
        <v>2.5213614780591254E-2</v>
      </c>
      <c r="J2052" s="3">
        <v>5.4553829278320976E-3</v>
      </c>
      <c r="K2052" s="3">
        <v>0.64476579691920777</v>
      </c>
    </row>
    <row r="2053" spans="1:11" x14ac:dyDescent="0.2">
      <c r="A2053" s="1">
        <v>44637</v>
      </c>
      <c r="B2053">
        <v>284.435943603515</v>
      </c>
      <c r="C2053">
        <v>295.22000122070301</v>
      </c>
      <c r="D2053">
        <v>295.60998535156199</v>
      </c>
      <c r="E2053">
        <v>289.36999511718699</v>
      </c>
      <c r="F2053">
        <v>293.29000854492102</v>
      </c>
      <c r="G2053" s="2">
        <v>30816600</v>
      </c>
      <c r="H2053" s="3">
        <f t="shared" si="32"/>
        <v>2.8191790682241535E-3</v>
      </c>
      <c r="J2053" s="3">
        <v>5.4795233104432128E-3</v>
      </c>
      <c r="K2053" s="3">
        <v>0.6450801634706067</v>
      </c>
    </row>
    <row r="2054" spans="1:11" x14ac:dyDescent="0.2">
      <c r="A2054" s="1">
        <v>44638</v>
      </c>
      <c r="B2054">
        <v>289.45562744140602</v>
      </c>
      <c r="C2054">
        <v>300.42999267578102</v>
      </c>
      <c r="D2054">
        <v>301</v>
      </c>
      <c r="E2054">
        <v>292.73001098632801</v>
      </c>
      <c r="F2054">
        <v>295.36999511718699</v>
      </c>
      <c r="G2054" s="2">
        <v>43390600</v>
      </c>
      <c r="H2054" s="3">
        <f t="shared" si="32"/>
        <v>1.7647853412254166E-2</v>
      </c>
      <c r="J2054" s="3">
        <v>5.4870107003102131E-3</v>
      </c>
      <c r="K2054" s="3">
        <v>0.64539453002200564</v>
      </c>
    </row>
    <row r="2055" spans="1:11" x14ac:dyDescent="0.2">
      <c r="A2055" s="1">
        <v>44641</v>
      </c>
      <c r="B2055">
        <v>288.23208618164</v>
      </c>
      <c r="C2055">
        <v>299.16000366210898</v>
      </c>
      <c r="D2055">
        <v>300.14001464843699</v>
      </c>
      <c r="E2055">
        <v>294.89999389648398</v>
      </c>
      <c r="F2055">
        <v>298.89001464843699</v>
      </c>
      <c r="G2055" s="2">
        <v>28351200</v>
      </c>
      <c r="H2055" s="3">
        <f t="shared" si="32"/>
        <v>-4.2270425715378313E-3</v>
      </c>
      <c r="J2055" s="3">
        <v>5.5233455525671715E-3</v>
      </c>
      <c r="K2055" s="3">
        <v>0.64570889657340458</v>
      </c>
    </row>
    <row r="2056" spans="1:11" x14ac:dyDescent="0.2">
      <c r="A2056" s="1">
        <v>44642</v>
      </c>
      <c r="B2056">
        <v>292.95309448242102</v>
      </c>
      <c r="C2056">
        <v>304.05999755859301</v>
      </c>
      <c r="D2056">
        <v>305</v>
      </c>
      <c r="E2056">
        <v>298.76998901367102</v>
      </c>
      <c r="F2056">
        <v>299.79998779296801</v>
      </c>
      <c r="G2056" s="2">
        <v>27599700</v>
      </c>
      <c r="H2056" s="3">
        <f t="shared" si="32"/>
        <v>1.6379190683877942E-2</v>
      </c>
      <c r="J2056" s="3">
        <v>5.5305409722332666E-3</v>
      </c>
      <c r="K2056" s="3">
        <v>0.64602326312480352</v>
      </c>
    </row>
    <row r="2057" spans="1:11" x14ac:dyDescent="0.2">
      <c r="A2057" s="1">
        <v>44643</v>
      </c>
      <c r="B2057">
        <v>288.54998779296801</v>
      </c>
      <c r="C2057">
        <v>299.489990234375</v>
      </c>
      <c r="D2057">
        <v>303.23001098632801</v>
      </c>
      <c r="E2057">
        <v>297.72000122070301</v>
      </c>
      <c r="F2057">
        <v>300.510009765625</v>
      </c>
      <c r="G2057" s="2">
        <v>25715400</v>
      </c>
      <c r="H2057" s="3">
        <f t="shared" si="32"/>
        <v>-1.5030074002912563E-2</v>
      </c>
      <c r="J2057" s="3">
        <v>5.5394170620921557E-3</v>
      </c>
      <c r="K2057" s="3">
        <v>0.64633762967620245</v>
      </c>
    </row>
    <row r="2058" spans="1:11" x14ac:dyDescent="0.2">
      <c r="A2058" s="1">
        <v>44644</v>
      </c>
      <c r="B2058">
        <v>292.99154663085898</v>
      </c>
      <c r="C2058">
        <v>304.100006103515</v>
      </c>
      <c r="D2058">
        <v>304.20001220703102</v>
      </c>
      <c r="E2058">
        <v>298.32000732421801</v>
      </c>
      <c r="F2058">
        <v>299.14001464843699</v>
      </c>
      <c r="G2058" s="2">
        <v>24484500</v>
      </c>
      <c r="H2058" s="3">
        <f t="shared" si="32"/>
        <v>1.539268419958395E-2</v>
      </c>
      <c r="J2058" s="3">
        <v>5.5451228805640795E-3</v>
      </c>
      <c r="K2058" s="3">
        <v>0.64665199622760139</v>
      </c>
    </row>
    <row r="2059" spans="1:11" x14ac:dyDescent="0.2">
      <c r="A2059" s="1">
        <v>44645</v>
      </c>
      <c r="B2059">
        <v>292.58688354492102</v>
      </c>
      <c r="C2059">
        <v>303.67999267578102</v>
      </c>
      <c r="D2059">
        <v>305.5</v>
      </c>
      <c r="E2059">
        <v>299.29000854492102</v>
      </c>
      <c r="F2059">
        <v>305.23001098632801</v>
      </c>
      <c r="G2059" s="2">
        <v>22566500</v>
      </c>
      <c r="H2059" s="3">
        <f t="shared" si="32"/>
        <v>-1.3811425298484448E-3</v>
      </c>
      <c r="J2059" s="3">
        <v>5.553977654987996E-3</v>
      </c>
      <c r="K2059" s="3">
        <v>0.64696636277900033</v>
      </c>
    </row>
    <row r="2060" spans="1:11" x14ac:dyDescent="0.2">
      <c r="A2060" s="1">
        <v>44648</v>
      </c>
      <c r="B2060">
        <v>299.350494384765</v>
      </c>
      <c r="C2060">
        <v>310.70001220703102</v>
      </c>
      <c r="D2060">
        <v>310.79998779296801</v>
      </c>
      <c r="E2060">
        <v>304.329986572265</v>
      </c>
      <c r="F2060">
        <v>304.329986572265</v>
      </c>
      <c r="G2060" s="2">
        <v>29578200</v>
      </c>
      <c r="H2060" s="3">
        <f t="shared" si="32"/>
        <v>2.3116589362781825E-2</v>
      </c>
      <c r="J2060" s="3">
        <v>5.5633954258191842E-3</v>
      </c>
      <c r="K2060" s="3">
        <v>0.64728072933039926</v>
      </c>
    </row>
    <row r="2061" spans="1:11" x14ac:dyDescent="0.2">
      <c r="A2061" s="1">
        <v>44649</v>
      </c>
      <c r="B2061">
        <v>303.888427734375</v>
      </c>
      <c r="C2061">
        <v>315.41000366210898</v>
      </c>
      <c r="D2061">
        <v>315.82000732421801</v>
      </c>
      <c r="E2061">
        <v>309.04998779296801</v>
      </c>
      <c r="F2061">
        <v>313.91000366210898</v>
      </c>
      <c r="G2061" s="2">
        <v>30393400</v>
      </c>
      <c r="H2061" s="3">
        <f t="shared" si="32"/>
        <v>1.5159264590280719E-2</v>
      </c>
      <c r="J2061" s="3">
        <v>5.5644226358431137E-3</v>
      </c>
      <c r="K2061" s="3">
        <v>0.6475950958817982</v>
      </c>
    </row>
    <row r="2062" spans="1:11" x14ac:dyDescent="0.2">
      <c r="A2062" s="1">
        <v>44650</v>
      </c>
      <c r="B2062">
        <v>302.39505004882801</v>
      </c>
      <c r="C2062">
        <v>313.85998535156199</v>
      </c>
      <c r="D2062">
        <v>315.95001220703102</v>
      </c>
      <c r="E2062">
        <v>311.579986572265</v>
      </c>
      <c r="F2062">
        <v>313.760009765625</v>
      </c>
      <c r="G2062" s="2">
        <v>28163600</v>
      </c>
      <c r="H2062" s="3">
        <f t="shared" si="32"/>
        <v>-4.9142301886281325E-3</v>
      </c>
      <c r="J2062" s="3">
        <v>5.5663599037780731E-3</v>
      </c>
      <c r="K2062" s="3">
        <v>0.64790946243319714</v>
      </c>
    </row>
    <row r="2063" spans="1:11" x14ac:dyDescent="0.2">
      <c r="A2063" s="1">
        <v>44651</v>
      </c>
      <c r="B2063">
        <v>297.047760009765</v>
      </c>
      <c r="C2063">
        <v>308.30999755859301</v>
      </c>
      <c r="D2063">
        <v>315.14001464843699</v>
      </c>
      <c r="E2063">
        <v>307.89001464843699</v>
      </c>
      <c r="F2063">
        <v>313.89999389648398</v>
      </c>
      <c r="G2063" s="2">
        <v>33422100</v>
      </c>
      <c r="H2063" s="3">
        <f t="shared" si="32"/>
        <v>-1.768312688385465E-2</v>
      </c>
      <c r="J2063" s="3">
        <v>5.5810066129784452E-3</v>
      </c>
      <c r="K2063" s="3">
        <v>0.64822382898459607</v>
      </c>
    </row>
    <row r="2064" spans="1:11" x14ac:dyDescent="0.2">
      <c r="A2064" s="1">
        <v>44652</v>
      </c>
      <c r="B2064">
        <v>298.11724853515602</v>
      </c>
      <c r="C2064">
        <v>309.42001342773398</v>
      </c>
      <c r="D2064">
        <v>310.13000488281199</v>
      </c>
      <c r="E2064">
        <v>305.54000854492102</v>
      </c>
      <c r="F2064">
        <v>309.36999511718699</v>
      </c>
      <c r="G2064" s="2">
        <v>27110500</v>
      </c>
      <c r="H2064" s="3">
        <f t="shared" si="32"/>
        <v>3.6003924936376386E-3</v>
      </c>
      <c r="J2064" s="3">
        <v>5.5831703766886509E-3</v>
      </c>
      <c r="K2064" s="3">
        <v>0.64853819553599501</v>
      </c>
    </row>
    <row r="2065" spans="1:11" x14ac:dyDescent="0.2">
      <c r="A2065" s="1">
        <v>44655</v>
      </c>
      <c r="B2065">
        <v>303.46444702148398</v>
      </c>
      <c r="C2065">
        <v>314.97000122070301</v>
      </c>
      <c r="D2065">
        <v>315.10998535156199</v>
      </c>
      <c r="E2065">
        <v>309.70999145507801</v>
      </c>
      <c r="F2065">
        <v>310.08999633789</v>
      </c>
      <c r="G2065" s="2">
        <v>24289600</v>
      </c>
      <c r="H2065" s="3">
        <f t="shared" si="32"/>
        <v>1.793656191515991E-2</v>
      </c>
      <c r="J2065" s="3">
        <v>5.587070171561459E-3</v>
      </c>
      <c r="K2065" s="3">
        <v>0.64885256208739395</v>
      </c>
    </row>
    <row r="2066" spans="1:11" x14ac:dyDescent="0.2">
      <c r="A2066" s="1">
        <v>44656</v>
      </c>
      <c r="B2066">
        <v>299.52392578125</v>
      </c>
      <c r="C2066">
        <v>310.88000488281199</v>
      </c>
      <c r="D2066">
        <v>314.86999511718699</v>
      </c>
      <c r="E2066">
        <v>309.86999511718699</v>
      </c>
      <c r="F2066">
        <v>313.26998901367102</v>
      </c>
      <c r="G2066" s="2">
        <v>23156700</v>
      </c>
      <c r="H2066" s="3">
        <f t="shared" si="32"/>
        <v>-1.2985116638572824E-2</v>
      </c>
      <c r="J2066" s="3">
        <v>5.5966172699790651E-3</v>
      </c>
      <c r="K2066" s="3">
        <v>0.64916692863879288</v>
      </c>
    </row>
    <row r="2067" spans="1:11" x14ac:dyDescent="0.2">
      <c r="A2067" s="1">
        <v>44657</v>
      </c>
      <c r="B2067">
        <v>288.55966186523398</v>
      </c>
      <c r="C2067">
        <v>299.5</v>
      </c>
      <c r="D2067">
        <v>307</v>
      </c>
      <c r="E2067">
        <v>296.70999145507801</v>
      </c>
      <c r="F2067">
        <v>305.19000244140602</v>
      </c>
      <c r="G2067" s="2">
        <v>40110400</v>
      </c>
      <c r="H2067" s="3">
        <f t="shared" si="32"/>
        <v>-3.6605636385867557E-2</v>
      </c>
      <c r="J2067" s="3">
        <v>5.6026110211331304E-3</v>
      </c>
      <c r="K2067" s="3">
        <v>0.64948129519019171</v>
      </c>
    </row>
    <row r="2068" spans="1:11" x14ac:dyDescent="0.2">
      <c r="A2068" s="1">
        <v>44658</v>
      </c>
      <c r="B2068">
        <v>290.361328125</v>
      </c>
      <c r="C2068">
        <v>301.36999511718699</v>
      </c>
      <c r="D2068">
        <v>303.64999389648398</v>
      </c>
      <c r="E2068">
        <v>296.350006103515</v>
      </c>
      <c r="F2068">
        <v>296.66000366210898</v>
      </c>
      <c r="G2068" s="2">
        <v>31411200</v>
      </c>
      <c r="H2068" s="3">
        <f t="shared" si="32"/>
        <v>6.2436525192750558E-3</v>
      </c>
      <c r="J2068" s="3">
        <v>5.6145420457711648E-3</v>
      </c>
      <c r="K2068" s="3">
        <v>0.64979566174159065</v>
      </c>
    </row>
    <row r="2069" spans="1:11" x14ac:dyDescent="0.2">
      <c r="A2069" s="1">
        <v>44659</v>
      </c>
      <c r="B2069">
        <v>286.12203979492102</v>
      </c>
      <c r="C2069">
        <v>296.97000122070301</v>
      </c>
      <c r="D2069">
        <v>301.11999511718699</v>
      </c>
      <c r="E2069">
        <v>296.27999877929602</v>
      </c>
      <c r="F2069">
        <v>300.44000244140602</v>
      </c>
      <c r="G2069" s="2">
        <v>24361900</v>
      </c>
      <c r="H2069" s="3">
        <f t="shared" si="32"/>
        <v>-1.4600044563282788E-2</v>
      </c>
      <c r="J2069" s="3">
        <v>5.6381158435772072E-3</v>
      </c>
      <c r="K2069" s="3">
        <v>0.65011002829298958</v>
      </c>
    </row>
    <row r="2070" spans="1:11" x14ac:dyDescent="0.2">
      <c r="A2070" s="1">
        <v>44662</v>
      </c>
      <c r="B2070">
        <v>274.83984375</v>
      </c>
      <c r="C2070">
        <v>285.260009765625</v>
      </c>
      <c r="D2070">
        <v>292.60998535156199</v>
      </c>
      <c r="E2070">
        <v>285</v>
      </c>
      <c r="F2070">
        <v>291.79000854492102</v>
      </c>
      <c r="G2070" s="2">
        <v>34569300</v>
      </c>
      <c r="H2070" s="3">
        <f t="shared" si="32"/>
        <v>-3.9431412040147551E-2</v>
      </c>
      <c r="J2070" s="3">
        <v>5.6446538656063083E-3</v>
      </c>
      <c r="K2070" s="3">
        <v>0.65042439484438852</v>
      </c>
    </row>
    <row r="2071" spans="1:11" x14ac:dyDescent="0.2">
      <c r="A2071" s="1">
        <v>44663</v>
      </c>
      <c r="B2071">
        <v>271.75668334960898</v>
      </c>
      <c r="C2071">
        <v>282.05999755859301</v>
      </c>
      <c r="D2071">
        <v>290.739990234375</v>
      </c>
      <c r="E2071">
        <v>280.489990234375</v>
      </c>
      <c r="F2071">
        <v>289.239990234375</v>
      </c>
      <c r="G2071" s="2">
        <v>30966700</v>
      </c>
      <c r="H2071" s="3">
        <f t="shared" si="32"/>
        <v>-1.1218025590188918E-2</v>
      </c>
      <c r="J2071" s="3">
        <v>5.6517507293765146E-3</v>
      </c>
      <c r="K2071" s="3">
        <v>0.65073876139578746</v>
      </c>
    </row>
    <row r="2072" spans="1:11" x14ac:dyDescent="0.2">
      <c r="A2072" s="1">
        <v>44664</v>
      </c>
      <c r="B2072">
        <v>277.11361694335898</v>
      </c>
      <c r="C2072">
        <v>287.61999511718699</v>
      </c>
      <c r="D2072">
        <v>288.579986572265</v>
      </c>
      <c r="E2072">
        <v>281.29998779296801</v>
      </c>
      <c r="F2072">
        <v>282.73001098632801</v>
      </c>
      <c r="G2072" s="2">
        <v>21907200</v>
      </c>
      <c r="H2072" s="3">
        <f t="shared" si="32"/>
        <v>1.9712242318097539E-2</v>
      </c>
      <c r="J2072" s="3">
        <v>5.6653383717895078E-3</v>
      </c>
      <c r="K2072" s="3">
        <v>0.65105312794718639</v>
      </c>
    </row>
    <row r="2073" spans="1:11" x14ac:dyDescent="0.2">
      <c r="A2073" s="1">
        <v>44665</v>
      </c>
      <c r="B2073">
        <v>269.60812377929602</v>
      </c>
      <c r="C2073">
        <v>279.829986572265</v>
      </c>
      <c r="D2073">
        <v>288.30999755859301</v>
      </c>
      <c r="E2073">
        <v>279.32000732421801</v>
      </c>
      <c r="F2073">
        <v>288.08999633789</v>
      </c>
      <c r="G2073" s="2">
        <v>28221600</v>
      </c>
      <c r="H2073" s="3">
        <f t="shared" si="32"/>
        <v>-2.7084533942614009E-2</v>
      </c>
      <c r="J2073" s="3">
        <v>5.6934654253852912E-3</v>
      </c>
      <c r="K2073" s="3">
        <v>0.65136749449858533</v>
      </c>
    </row>
    <row r="2074" spans="1:11" x14ac:dyDescent="0.2">
      <c r="A2074" s="1">
        <v>44669</v>
      </c>
      <c r="B2074">
        <v>270.272857666015</v>
      </c>
      <c r="C2074">
        <v>280.51998901367102</v>
      </c>
      <c r="D2074">
        <v>282.45999145507801</v>
      </c>
      <c r="E2074">
        <v>278.33999633789</v>
      </c>
      <c r="F2074">
        <v>278.91000366210898</v>
      </c>
      <c r="G2074" s="2">
        <v>20778000</v>
      </c>
      <c r="H2074" s="3">
        <f t="shared" si="32"/>
        <v>2.4655558497308494E-3</v>
      </c>
      <c r="J2074" s="3">
        <v>5.7043922931634405E-3</v>
      </c>
      <c r="K2074" s="3">
        <v>0.65168186104998427</v>
      </c>
    </row>
    <row r="2075" spans="1:11" x14ac:dyDescent="0.2">
      <c r="A2075" s="1">
        <v>44670</v>
      </c>
      <c r="B2075">
        <v>274.87835693359301</v>
      </c>
      <c r="C2075">
        <v>285.29998779296801</v>
      </c>
      <c r="D2075">
        <v>286.17001342773398</v>
      </c>
      <c r="E2075">
        <v>278.41000366210898</v>
      </c>
      <c r="F2075">
        <v>279.38000488281199</v>
      </c>
      <c r="G2075" s="2">
        <v>22297700</v>
      </c>
      <c r="H2075" s="3">
        <f t="shared" si="32"/>
        <v>1.7040184158148675E-2</v>
      </c>
      <c r="J2075" s="3">
        <v>5.7228723995930153E-3</v>
      </c>
      <c r="K2075" s="3">
        <v>0.6519962276013832</v>
      </c>
    </row>
    <row r="2076" spans="1:11" x14ac:dyDescent="0.2">
      <c r="A2076" s="1">
        <v>44671</v>
      </c>
      <c r="B2076">
        <v>275.89956665039</v>
      </c>
      <c r="C2076">
        <v>286.35998535156199</v>
      </c>
      <c r="D2076">
        <v>289.70001220703102</v>
      </c>
      <c r="E2076">
        <v>285.36999511718699</v>
      </c>
      <c r="F2076">
        <v>289.39999389648398</v>
      </c>
      <c r="G2076" s="2">
        <v>22906700</v>
      </c>
      <c r="H2076" s="3">
        <f t="shared" si="32"/>
        <v>3.7151332254350411E-3</v>
      </c>
      <c r="J2076" s="3">
        <v>5.7298057326049534E-3</v>
      </c>
      <c r="K2076" s="3">
        <v>0.65231059415278214</v>
      </c>
    </row>
    <row r="2077" spans="1:11" x14ac:dyDescent="0.2">
      <c r="A2077" s="1">
        <v>44672</v>
      </c>
      <c r="B2077">
        <v>270.55233764648398</v>
      </c>
      <c r="C2077">
        <v>280.80999755859301</v>
      </c>
      <c r="D2077">
        <v>293.29998779296801</v>
      </c>
      <c r="E2077">
        <v>280.05999755859301</v>
      </c>
      <c r="F2077">
        <v>288.579986572265</v>
      </c>
      <c r="G2077" s="2">
        <v>29454600</v>
      </c>
      <c r="H2077" s="3">
        <f t="shared" si="32"/>
        <v>-1.9381070687515156E-2</v>
      </c>
      <c r="J2077" s="3">
        <v>5.7382054022181439E-3</v>
      </c>
      <c r="K2077" s="3">
        <v>0.65262496070418108</v>
      </c>
    </row>
    <row r="2078" spans="1:11" x14ac:dyDescent="0.2">
      <c r="A2078" s="1">
        <v>44673</v>
      </c>
      <c r="B2078">
        <v>264.02001953125</v>
      </c>
      <c r="C2078">
        <v>274.02999877929602</v>
      </c>
      <c r="D2078">
        <v>283.20001220703102</v>
      </c>
      <c r="E2078">
        <v>273.38000488281199</v>
      </c>
      <c r="F2078">
        <v>281.67999267578102</v>
      </c>
      <c r="G2078" s="2">
        <v>29405800</v>
      </c>
      <c r="H2078" s="3">
        <f t="shared" si="32"/>
        <v>-2.4144378762564589E-2</v>
      </c>
      <c r="J2078" s="3">
        <v>5.7539918375750787E-3</v>
      </c>
      <c r="K2078" s="3">
        <v>0.65293932725558002</v>
      </c>
    </row>
    <row r="2079" spans="1:11" x14ac:dyDescent="0.2">
      <c r="A2079" s="1">
        <v>44676</v>
      </c>
      <c r="B2079">
        <v>270.46560668945301</v>
      </c>
      <c r="C2079">
        <v>280.72000122070301</v>
      </c>
      <c r="D2079">
        <v>281.10998535156199</v>
      </c>
      <c r="E2079">
        <v>270.76998901367102</v>
      </c>
      <c r="F2079">
        <v>273.29000854492102</v>
      </c>
      <c r="G2079" s="2">
        <v>35678900</v>
      </c>
      <c r="H2079" s="3">
        <f t="shared" si="32"/>
        <v>2.441325157708385E-2</v>
      </c>
      <c r="J2079" s="3">
        <v>5.756550755602774E-3</v>
      </c>
      <c r="K2079" s="3">
        <v>0.65325369380697895</v>
      </c>
    </row>
    <row r="2080" spans="1:11" x14ac:dyDescent="0.2">
      <c r="A2080" s="1">
        <v>44677</v>
      </c>
      <c r="B2080">
        <v>260.34927368164</v>
      </c>
      <c r="C2080">
        <v>270.22000122070301</v>
      </c>
      <c r="D2080">
        <v>278.35998535156199</v>
      </c>
      <c r="E2080">
        <v>270</v>
      </c>
      <c r="F2080">
        <v>277.5</v>
      </c>
      <c r="G2080" s="2">
        <v>46518400</v>
      </c>
      <c r="H2080" s="3">
        <f t="shared" si="32"/>
        <v>-3.7403399018598793E-2</v>
      </c>
      <c r="J2080" s="3">
        <v>5.7686234733900221E-3</v>
      </c>
      <c r="K2080" s="3">
        <v>0.65356806035837789</v>
      </c>
    </row>
    <row r="2081" spans="1:11" x14ac:dyDescent="0.2">
      <c r="A2081" s="1">
        <v>44678</v>
      </c>
      <c r="B2081">
        <v>272.87432861328102</v>
      </c>
      <c r="C2081">
        <v>283.22000122070301</v>
      </c>
      <c r="D2081">
        <v>290.97000122070301</v>
      </c>
      <c r="E2081">
        <v>279.16000366210898</v>
      </c>
      <c r="F2081">
        <v>282.100006103515</v>
      </c>
      <c r="G2081" s="2">
        <v>63477700</v>
      </c>
      <c r="H2081" s="3">
        <f t="shared" si="32"/>
        <v>4.8108660932762559E-2</v>
      </c>
      <c r="J2081" s="3">
        <v>5.7732054417114487E-3</v>
      </c>
      <c r="K2081" s="3">
        <v>0.65388242690977683</v>
      </c>
    </row>
    <row r="2082" spans="1:11" x14ac:dyDescent="0.2">
      <c r="A2082" s="1">
        <v>44679</v>
      </c>
      <c r="B2082">
        <v>279.050201416015</v>
      </c>
      <c r="C2082">
        <v>289.63000488281199</v>
      </c>
      <c r="D2082">
        <v>290.98001098632801</v>
      </c>
      <c r="E2082">
        <v>281.45999145507801</v>
      </c>
      <c r="F2082">
        <v>285.19000244140602</v>
      </c>
      <c r="G2082" s="2">
        <v>33646600</v>
      </c>
      <c r="H2082" s="3">
        <f t="shared" si="32"/>
        <v>2.2632663300058642E-2</v>
      </c>
      <c r="J2082" s="3">
        <v>5.7751028675283589E-3</v>
      </c>
      <c r="K2082" s="3">
        <v>0.65419679346117576</v>
      </c>
    </row>
    <row r="2083" spans="1:11" x14ac:dyDescent="0.2">
      <c r="A2083" s="1">
        <v>44680</v>
      </c>
      <c r="B2083">
        <v>267.38250732421801</v>
      </c>
      <c r="C2083">
        <v>277.51998901367102</v>
      </c>
      <c r="D2083">
        <v>289.88000488281199</v>
      </c>
      <c r="E2083">
        <v>276.5</v>
      </c>
      <c r="F2083">
        <v>288.60998535156199</v>
      </c>
      <c r="G2083" s="2">
        <v>37073900</v>
      </c>
      <c r="H2083" s="3">
        <f t="shared" si="32"/>
        <v>-4.1812168680009254E-2</v>
      </c>
      <c r="J2083" s="3">
        <v>5.7757650915613024E-3</v>
      </c>
      <c r="K2083" s="3">
        <v>0.6545111600125747</v>
      </c>
    </row>
    <row r="2084" spans="1:11" x14ac:dyDescent="0.2">
      <c r="A2084" s="1">
        <v>44683</v>
      </c>
      <c r="B2084">
        <v>274.07861328125</v>
      </c>
      <c r="C2084">
        <v>284.47000122070301</v>
      </c>
      <c r="D2084">
        <v>284.94000244140602</v>
      </c>
      <c r="E2084">
        <v>276.22000122070301</v>
      </c>
      <c r="F2084">
        <v>277.70999145507801</v>
      </c>
      <c r="G2084" s="2">
        <v>35151100</v>
      </c>
      <c r="H2084" s="3">
        <f t="shared" si="32"/>
        <v>2.5043171387844509E-2</v>
      </c>
      <c r="J2084" s="3">
        <v>5.7778759386755141E-3</v>
      </c>
      <c r="K2084" s="3">
        <v>0.65482552656397364</v>
      </c>
    </row>
    <row r="2085" spans="1:11" x14ac:dyDescent="0.2">
      <c r="A2085" s="1">
        <v>44684</v>
      </c>
      <c r="B2085">
        <v>271.48693847656199</v>
      </c>
      <c r="C2085">
        <v>281.77999877929602</v>
      </c>
      <c r="D2085">
        <v>284.13000488281199</v>
      </c>
      <c r="E2085">
        <v>280.14999389648398</v>
      </c>
      <c r="F2085">
        <v>283.95999145507801</v>
      </c>
      <c r="G2085" s="2">
        <v>25978600</v>
      </c>
      <c r="H2085" s="3">
        <f t="shared" si="32"/>
        <v>-9.4559541646123124E-3</v>
      </c>
      <c r="J2085" s="3">
        <v>5.785829961346467E-3</v>
      </c>
      <c r="K2085" s="3">
        <v>0.65513989311537257</v>
      </c>
    </row>
    <row r="2086" spans="1:11" x14ac:dyDescent="0.2">
      <c r="A2086" s="1">
        <v>44685</v>
      </c>
      <c r="B2086">
        <v>279.38735961914</v>
      </c>
      <c r="C2086">
        <v>289.98001098632801</v>
      </c>
      <c r="D2086">
        <v>290.88000488281199</v>
      </c>
      <c r="E2086">
        <v>276.73001098632801</v>
      </c>
      <c r="F2086">
        <v>282.58999633789</v>
      </c>
      <c r="G2086" s="2">
        <v>33599300</v>
      </c>
      <c r="H2086" s="3">
        <f t="shared" si="32"/>
        <v>2.9100557054092091E-2</v>
      </c>
      <c r="J2086" s="3">
        <v>5.7868449488116536E-3</v>
      </c>
      <c r="K2086" s="3">
        <v>0.65545425966677151</v>
      </c>
    </row>
    <row r="2087" spans="1:11" x14ac:dyDescent="0.2">
      <c r="A2087" s="1">
        <v>44686</v>
      </c>
      <c r="B2087">
        <v>267.21875</v>
      </c>
      <c r="C2087">
        <v>277.350006103515</v>
      </c>
      <c r="D2087">
        <v>286.350006103515</v>
      </c>
      <c r="E2087">
        <v>274.33999633789</v>
      </c>
      <c r="F2087">
        <v>285.54000854492102</v>
      </c>
      <c r="G2087" s="2">
        <v>43260400</v>
      </c>
      <c r="H2087" s="3">
        <f t="shared" si="32"/>
        <v>-4.3554617630977344E-2</v>
      </c>
      <c r="J2087" s="3">
        <v>5.7907585571717046E-3</v>
      </c>
      <c r="K2087" s="3">
        <v>0.65576862621817034</v>
      </c>
    </row>
    <row r="2088" spans="1:11" x14ac:dyDescent="0.2">
      <c r="A2088" s="1">
        <v>44687</v>
      </c>
      <c r="B2088">
        <v>264.69445800781199</v>
      </c>
      <c r="C2088">
        <v>274.73001098632801</v>
      </c>
      <c r="D2088">
        <v>279.25</v>
      </c>
      <c r="E2088">
        <v>271.26998901367102</v>
      </c>
      <c r="F2088">
        <v>274.80999755859301</v>
      </c>
      <c r="G2088" s="2">
        <v>37780300</v>
      </c>
      <c r="H2088" s="3">
        <f t="shared" si="32"/>
        <v>-9.4465376856527339E-3</v>
      </c>
      <c r="J2088" s="3">
        <v>5.8069527926385422E-3</v>
      </c>
      <c r="K2088" s="3">
        <v>0.65608299276956927</v>
      </c>
    </row>
    <row r="2089" spans="1:11" x14ac:dyDescent="0.2">
      <c r="A2089" s="1">
        <v>44690</v>
      </c>
      <c r="B2089">
        <v>254.915115356445</v>
      </c>
      <c r="C2089">
        <v>264.579986572265</v>
      </c>
      <c r="D2089">
        <v>272.35998535156199</v>
      </c>
      <c r="E2089">
        <v>263.32000732421801</v>
      </c>
      <c r="F2089">
        <v>270.05999755859301</v>
      </c>
      <c r="G2089" s="2">
        <v>47726000</v>
      </c>
      <c r="H2089" s="3">
        <f t="shared" si="32"/>
        <v>-3.6945777879030528E-2</v>
      </c>
      <c r="J2089" s="3">
        <v>5.8078413285738151E-3</v>
      </c>
      <c r="K2089" s="3">
        <v>0.65639735932096821</v>
      </c>
    </row>
    <row r="2090" spans="1:11" x14ac:dyDescent="0.2">
      <c r="A2090" s="1">
        <v>44691</v>
      </c>
      <c r="B2090">
        <v>259.65545654296801</v>
      </c>
      <c r="C2090">
        <v>269.5</v>
      </c>
      <c r="D2090">
        <v>273.75</v>
      </c>
      <c r="E2090">
        <v>265.07000732421801</v>
      </c>
      <c r="F2090">
        <v>271.69000244140602</v>
      </c>
      <c r="G2090" s="2">
        <v>39336400</v>
      </c>
      <c r="H2090" s="3">
        <f t="shared" si="32"/>
        <v>1.8595763455982794E-2</v>
      </c>
      <c r="J2090" s="3">
        <v>5.8137075858408771E-3</v>
      </c>
      <c r="K2090" s="3">
        <v>0.65671172587236715</v>
      </c>
    </row>
    <row r="2091" spans="1:11" x14ac:dyDescent="0.2">
      <c r="A2091" s="1">
        <v>44692</v>
      </c>
      <c r="B2091">
        <v>251.03240966796801</v>
      </c>
      <c r="C2091">
        <v>260.54998779296801</v>
      </c>
      <c r="D2091">
        <v>271.35998535156199</v>
      </c>
      <c r="E2091">
        <v>259.29998779296801</v>
      </c>
      <c r="F2091">
        <v>265.67999267578102</v>
      </c>
      <c r="G2091" s="2">
        <v>48975900</v>
      </c>
      <c r="H2091" s="3">
        <f t="shared" si="32"/>
        <v>-3.3209573138984094E-2</v>
      </c>
      <c r="J2091" s="3">
        <v>5.8296673595754633E-3</v>
      </c>
      <c r="K2091" s="3">
        <v>0.65702609242376608</v>
      </c>
    </row>
    <row r="2092" spans="1:11" x14ac:dyDescent="0.2">
      <c r="A2092" s="1">
        <v>44693</v>
      </c>
      <c r="B2092">
        <v>246.02238464355401</v>
      </c>
      <c r="C2092">
        <v>255.350006103515</v>
      </c>
      <c r="D2092">
        <v>259.88000488281199</v>
      </c>
      <c r="E2092">
        <v>250.02000427246</v>
      </c>
      <c r="F2092">
        <v>257.69000244140602</v>
      </c>
      <c r="G2092" s="2">
        <v>51033800</v>
      </c>
      <c r="H2092" s="3">
        <f t="shared" si="32"/>
        <v>-1.9957682081929606E-2</v>
      </c>
      <c r="J2092" s="3">
        <v>5.8476444838297947E-3</v>
      </c>
      <c r="K2092" s="3">
        <v>0.65734045897516502</v>
      </c>
    </row>
    <row r="2093" spans="1:11" x14ac:dyDescent="0.2">
      <c r="A2093" s="1">
        <v>44694</v>
      </c>
      <c r="B2093">
        <v>251.581619262695</v>
      </c>
      <c r="C2093">
        <v>261.11999511718699</v>
      </c>
      <c r="D2093">
        <v>263.04000854492102</v>
      </c>
      <c r="E2093">
        <v>255.350006103515</v>
      </c>
      <c r="F2093">
        <v>257.350006103515</v>
      </c>
      <c r="G2093" s="2">
        <v>34925100</v>
      </c>
      <c r="H2093" s="3">
        <f t="shared" si="32"/>
        <v>2.2596458558823418E-2</v>
      </c>
      <c r="J2093" s="3">
        <v>5.8556480595004512E-3</v>
      </c>
      <c r="K2093" s="3">
        <v>0.65765482552656396</v>
      </c>
    </row>
    <row r="2094" spans="1:11" x14ac:dyDescent="0.2">
      <c r="A2094" s="1">
        <v>44697</v>
      </c>
      <c r="B2094">
        <v>251.94772338867099</v>
      </c>
      <c r="C2094">
        <v>261.5</v>
      </c>
      <c r="D2094">
        <v>265.82000732421801</v>
      </c>
      <c r="E2094">
        <v>255.77999877929599</v>
      </c>
      <c r="F2094">
        <v>259.95999145507801</v>
      </c>
      <c r="G2094" s="2">
        <v>32550900</v>
      </c>
      <c r="H2094" s="3">
        <f t="shared" si="32"/>
        <v>1.4552101502840475E-3</v>
      </c>
      <c r="J2094" s="3">
        <v>5.8591448064870821E-3</v>
      </c>
      <c r="K2094" s="3">
        <v>0.65796919207796289</v>
      </c>
    </row>
    <row r="2095" spans="1:11" x14ac:dyDescent="0.2">
      <c r="A2095" s="1">
        <v>44698</v>
      </c>
      <c r="B2095">
        <v>257.07336425781199</v>
      </c>
      <c r="C2095">
        <v>266.82000732421801</v>
      </c>
      <c r="D2095">
        <v>268.329986572265</v>
      </c>
      <c r="E2095">
        <v>262.45999145507801</v>
      </c>
      <c r="F2095">
        <v>266.10998535156199</v>
      </c>
      <c r="G2095" s="2">
        <v>28828800</v>
      </c>
      <c r="H2095" s="3">
        <f t="shared" si="32"/>
        <v>2.0344065031434599E-2</v>
      </c>
      <c r="J2095" s="3">
        <v>5.8692570826655022E-3</v>
      </c>
      <c r="K2095" s="3">
        <v>0.65828355862936183</v>
      </c>
    </row>
    <row r="2096" spans="1:11" x14ac:dyDescent="0.2">
      <c r="A2096" s="1">
        <v>44699</v>
      </c>
      <c r="B2096">
        <v>245.36886596679599</v>
      </c>
      <c r="C2096">
        <v>254.08000183105401</v>
      </c>
      <c r="D2096">
        <v>263.600006103515</v>
      </c>
      <c r="E2096">
        <v>252.77000427246</v>
      </c>
      <c r="F2096">
        <v>263</v>
      </c>
      <c r="G2096" s="2">
        <v>31356000</v>
      </c>
      <c r="H2096" s="3">
        <f t="shared" si="32"/>
        <v>-4.5529797786743376E-2</v>
      </c>
      <c r="J2096" s="3">
        <v>5.871975667841145E-3</v>
      </c>
      <c r="K2096" s="3">
        <v>0.65859792518076077</v>
      </c>
    </row>
    <row r="2097" spans="1:11" x14ac:dyDescent="0.2">
      <c r="A2097" s="1">
        <v>44700</v>
      </c>
      <c r="B2097">
        <v>244.46115112304599</v>
      </c>
      <c r="C2097">
        <v>253.13999938964801</v>
      </c>
      <c r="D2097">
        <v>257.67001342773398</v>
      </c>
      <c r="E2097">
        <v>251.88000488281199</v>
      </c>
      <c r="F2097">
        <v>253.89999389648401</v>
      </c>
      <c r="G2097" s="2">
        <v>32692300</v>
      </c>
      <c r="H2097" s="3">
        <f t="shared" si="32"/>
        <v>-3.6993888371837924E-3</v>
      </c>
      <c r="J2097" s="3">
        <v>5.8823560416350062E-3</v>
      </c>
      <c r="K2097" s="3">
        <v>0.65891229173215971</v>
      </c>
    </row>
    <row r="2098" spans="1:11" x14ac:dyDescent="0.2">
      <c r="A2098" s="1">
        <v>44701</v>
      </c>
      <c r="B2098">
        <v>243.90101623535099</v>
      </c>
      <c r="C2098">
        <v>252.55999755859301</v>
      </c>
      <c r="D2098">
        <v>258.54000854492102</v>
      </c>
      <c r="E2098">
        <v>246.44000244140599</v>
      </c>
      <c r="F2098">
        <v>257.239990234375</v>
      </c>
      <c r="G2098" s="2">
        <v>39199300</v>
      </c>
      <c r="H2098" s="3">
        <f t="shared" si="32"/>
        <v>-2.2913043038608194E-3</v>
      </c>
      <c r="J2098" s="3">
        <v>5.8984271714745962E-3</v>
      </c>
      <c r="K2098" s="3">
        <v>0.65922665828355864</v>
      </c>
    </row>
    <row r="2099" spans="1:11" x14ac:dyDescent="0.2">
      <c r="A2099" s="1">
        <v>44704</v>
      </c>
      <c r="B2099">
        <v>251.71365356445301</v>
      </c>
      <c r="C2099">
        <v>260.64999389648398</v>
      </c>
      <c r="D2099">
        <v>261.5</v>
      </c>
      <c r="E2099">
        <v>253.42999267578099</v>
      </c>
      <c r="F2099">
        <v>255.49000549316401</v>
      </c>
      <c r="G2099" s="2">
        <v>33175400</v>
      </c>
      <c r="H2099" s="3">
        <f t="shared" si="32"/>
        <v>3.2031999905909547E-2</v>
      </c>
      <c r="J2099" s="3">
        <v>5.9134279437729198E-3</v>
      </c>
      <c r="K2099" s="3">
        <v>0.65954102483495758</v>
      </c>
    </row>
    <row r="2100" spans="1:11" x14ac:dyDescent="0.2">
      <c r="A2100" s="1">
        <v>44705</v>
      </c>
      <c r="B2100">
        <v>250.718978881835</v>
      </c>
      <c r="C2100">
        <v>259.61999511718699</v>
      </c>
      <c r="D2100">
        <v>261.329986572265</v>
      </c>
      <c r="E2100">
        <v>253.5</v>
      </c>
      <c r="F2100">
        <v>257.89001464843699</v>
      </c>
      <c r="G2100" s="2">
        <v>29043900</v>
      </c>
      <c r="H2100" s="3">
        <f t="shared" si="32"/>
        <v>-3.9516119548251849E-3</v>
      </c>
      <c r="J2100" s="3">
        <v>5.9140417004646118E-3</v>
      </c>
      <c r="K2100" s="3">
        <v>0.65985539138635652</v>
      </c>
    </row>
    <row r="2101" spans="1:11" x14ac:dyDescent="0.2">
      <c r="A2101" s="1">
        <v>44706</v>
      </c>
      <c r="B2101">
        <v>253.51956176757801</v>
      </c>
      <c r="C2101">
        <v>262.51998901367102</v>
      </c>
      <c r="D2101">
        <v>264.579986572265</v>
      </c>
      <c r="E2101">
        <v>257.13000488281199</v>
      </c>
      <c r="F2101">
        <v>258.14001464843699</v>
      </c>
      <c r="G2101" s="2">
        <v>28547900</v>
      </c>
      <c r="H2101" s="3">
        <f t="shared" si="32"/>
        <v>1.1170206971299779E-2</v>
      </c>
      <c r="J2101" s="3">
        <v>5.9297905187296607E-3</v>
      </c>
      <c r="K2101" s="3">
        <v>0.66016975793775545</v>
      </c>
    </row>
    <row r="2102" spans="1:11" x14ac:dyDescent="0.2">
      <c r="A2102" s="1">
        <v>44707</v>
      </c>
      <c r="B2102">
        <v>256.783599853515</v>
      </c>
      <c r="C2102">
        <v>265.89999389648398</v>
      </c>
      <c r="D2102">
        <v>267.10998535156199</v>
      </c>
      <c r="E2102">
        <v>261.42999267578102</v>
      </c>
      <c r="F2102">
        <v>262.26998901367102</v>
      </c>
      <c r="G2102" s="2">
        <v>25002100</v>
      </c>
      <c r="H2102" s="3">
        <f t="shared" si="32"/>
        <v>1.2874896371623645E-2</v>
      </c>
      <c r="J2102" s="3">
        <v>5.9363257463285191E-3</v>
      </c>
      <c r="K2102" s="3">
        <v>0.66048412448915439</v>
      </c>
    </row>
    <row r="2103" spans="1:11" x14ac:dyDescent="0.2">
      <c r="A2103" s="1">
        <v>44708</v>
      </c>
      <c r="B2103">
        <v>263.87200927734301</v>
      </c>
      <c r="C2103">
        <v>273.239990234375</v>
      </c>
      <c r="D2103">
        <v>273.33999633789</v>
      </c>
      <c r="E2103">
        <v>267.55999755859301</v>
      </c>
      <c r="F2103">
        <v>268.48001098632801</v>
      </c>
      <c r="G2103" s="2">
        <v>26910800</v>
      </c>
      <c r="H2103" s="3">
        <f t="shared" si="32"/>
        <v>2.7604603362020308E-2</v>
      </c>
      <c r="J2103" s="3">
        <v>5.939414209439331E-3</v>
      </c>
      <c r="K2103" s="3">
        <v>0.66079849104055333</v>
      </c>
    </row>
    <row r="2104" spans="1:11" x14ac:dyDescent="0.2">
      <c r="A2104" s="1">
        <v>44712</v>
      </c>
      <c r="B2104">
        <v>262.54898071289</v>
      </c>
      <c r="C2104">
        <v>271.86999511718699</v>
      </c>
      <c r="D2104">
        <v>274.76998901367102</v>
      </c>
      <c r="E2104">
        <v>268.92999267578102</v>
      </c>
      <c r="F2104">
        <v>272.52999877929602</v>
      </c>
      <c r="G2104" s="2">
        <v>37827700</v>
      </c>
      <c r="H2104" s="3">
        <f t="shared" si="32"/>
        <v>-5.0139026419525612E-3</v>
      </c>
      <c r="J2104" s="3">
        <v>5.9618407827712883E-3</v>
      </c>
      <c r="K2104" s="3">
        <v>0.66111285759195226</v>
      </c>
    </row>
    <row r="2105" spans="1:11" x14ac:dyDescent="0.2">
      <c r="A2105" s="1">
        <v>44713</v>
      </c>
      <c r="B2105">
        <v>263.08013916015602</v>
      </c>
      <c r="C2105">
        <v>272.42001342773398</v>
      </c>
      <c r="D2105">
        <v>277.69000244140602</v>
      </c>
      <c r="E2105">
        <v>270.04000854492102</v>
      </c>
      <c r="F2105">
        <v>275.20001220703102</v>
      </c>
      <c r="G2105" s="2">
        <v>25292200</v>
      </c>
      <c r="H2105" s="3">
        <f t="shared" si="32"/>
        <v>2.0230832579268831E-3</v>
      </c>
      <c r="J2105" s="3">
        <v>5.9758160584408859E-3</v>
      </c>
      <c r="K2105" s="3">
        <v>0.6614272241433512</v>
      </c>
    </row>
    <row r="2106" spans="1:11" x14ac:dyDescent="0.2">
      <c r="A2106" s="1">
        <v>44714</v>
      </c>
      <c r="B2106">
        <v>265.16604614257801</v>
      </c>
      <c r="C2106">
        <v>274.579986572265</v>
      </c>
      <c r="D2106">
        <v>274.64999389648398</v>
      </c>
      <c r="E2106">
        <v>261.600006103515</v>
      </c>
      <c r="F2106">
        <v>264.45001220703102</v>
      </c>
      <c r="G2106" s="2">
        <v>44008200</v>
      </c>
      <c r="H2106" s="3">
        <f t="shared" si="32"/>
        <v>7.9287892620132361E-3</v>
      </c>
      <c r="J2106" s="3">
        <v>5.9847419514567068E-3</v>
      </c>
      <c r="K2106" s="3">
        <v>0.66174159069475003</v>
      </c>
    </row>
    <row r="2107" spans="1:11" x14ac:dyDescent="0.2">
      <c r="A2107" s="1">
        <v>44715</v>
      </c>
      <c r="B2107">
        <v>260.76242065429602</v>
      </c>
      <c r="C2107">
        <v>270.01998901367102</v>
      </c>
      <c r="D2107">
        <v>273.45001220703102</v>
      </c>
      <c r="E2107">
        <v>268.41000366210898</v>
      </c>
      <c r="F2107">
        <v>270.30999755859301</v>
      </c>
      <c r="G2107" s="2">
        <v>28059000</v>
      </c>
      <c r="H2107" s="3">
        <f t="shared" si="32"/>
        <v>-1.6607048875006414E-2</v>
      </c>
      <c r="J2107" s="3">
        <v>5.9885161166850498E-3</v>
      </c>
      <c r="K2107" s="3">
        <v>0.66205595724614896</v>
      </c>
    </row>
    <row r="2108" spans="1:11" x14ac:dyDescent="0.2">
      <c r="A2108" s="1">
        <v>44718</v>
      </c>
      <c r="B2108">
        <v>259.53594970703102</v>
      </c>
      <c r="C2108">
        <v>268.75</v>
      </c>
      <c r="D2108">
        <v>274.17999267578102</v>
      </c>
      <c r="E2108">
        <v>267.22000122070301</v>
      </c>
      <c r="F2108">
        <v>272.05999755859301</v>
      </c>
      <c r="G2108" s="2">
        <v>22400300</v>
      </c>
      <c r="H2108" s="3">
        <f t="shared" si="32"/>
        <v>-4.7034037503854709E-3</v>
      </c>
      <c r="J2108" s="3">
        <v>6.0065573558925056E-3</v>
      </c>
      <c r="K2108" s="3">
        <v>0.6623703237975479</v>
      </c>
    </row>
    <row r="2109" spans="1:11" x14ac:dyDescent="0.2">
      <c r="A2109" s="1">
        <v>44719</v>
      </c>
      <c r="B2109">
        <v>263.15740966796801</v>
      </c>
      <c r="C2109">
        <v>272.5</v>
      </c>
      <c r="D2109">
        <v>273.13000488281199</v>
      </c>
      <c r="E2109">
        <v>265.94000244140602</v>
      </c>
      <c r="F2109">
        <v>266.64001464843699</v>
      </c>
      <c r="G2109" s="2">
        <v>22860700</v>
      </c>
      <c r="H2109" s="3">
        <f t="shared" si="32"/>
        <v>1.3953596659826761E-2</v>
      </c>
      <c r="J2109" s="3">
        <v>6.0201240961132996E-3</v>
      </c>
      <c r="K2109" s="3">
        <v>0.66268469034894684</v>
      </c>
    </row>
    <row r="2110" spans="1:11" x14ac:dyDescent="0.2">
      <c r="A2110" s="1">
        <v>44720</v>
      </c>
      <c r="B2110">
        <v>261.13903808593699</v>
      </c>
      <c r="C2110">
        <v>270.41000366210898</v>
      </c>
      <c r="D2110">
        <v>273</v>
      </c>
      <c r="E2110">
        <v>269.60998535156199</v>
      </c>
      <c r="F2110">
        <v>271.70999145507801</v>
      </c>
      <c r="G2110" s="2">
        <v>17372300</v>
      </c>
      <c r="H2110" s="3">
        <f t="shared" si="32"/>
        <v>-7.6698261492148534E-3</v>
      </c>
      <c r="J2110" s="3">
        <v>6.0221050891793304E-3</v>
      </c>
      <c r="K2110" s="3">
        <v>0.66299905690034577</v>
      </c>
    </row>
    <row r="2111" spans="1:11" x14ac:dyDescent="0.2">
      <c r="A2111" s="1">
        <v>44721</v>
      </c>
      <c r="B2111">
        <v>255.71173095703099</v>
      </c>
      <c r="C2111">
        <v>264.79000854492102</v>
      </c>
      <c r="D2111">
        <v>272.70999145507801</v>
      </c>
      <c r="E2111">
        <v>264.63000488281199</v>
      </c>
      <c r="F2111">
        <v>267.77999877929602</v>
      </c>
      <c r="G2111" s="2">
        <v>26439700</v>
      </c>
      <c r="H2111" s="3">
        <f t="shared" si="32"/>
        <v>-2.0783208702484179E-2</v>
      </c>
      <c r="J2111" s="3">
        <v>6.0274694509414584E-3</v>
      </c>
      <c r="K2111" s="3">
        <v>0.66331342345174471</v>
      </c>
    </row>
    <row r="2112" spans="1:11" x14ac:dyDescent="0.2">
      <c r="A2112" s="1">
        <v>44722</v>
      </c>
      <c r="B2112">
        <v>244.316314697265</v>
      </c>
      <c r="C2112">
        <v>252.99000549316401</v>
      </c>
      <c r="D2112">
        <v>260.579986572265</v>
      </c>
      <c r="E2112">
        <v>252.52999877929599</v>
      </c>
      <c r="F2112">
        <v>260.579986572265</v>
      </c>
      <c r="G2112" s="2">
        <v>31422800</v>
      </c>
      <c r="H2112" s="3">
        <f t="shared" si="32"/>
        <v>-4.4563525564968454E-2</v>
      </c>
      <c r="J2112" s="3">
        <v>6.0281590433111099E-3</v>
      </c>
      <c r="K2112" s="3">
        <v>0.66362779000314365</v>
      </c>
    </row>
    <row r="2113" spans="1:11" x14ac:dyDescent="0.2">
      <c r="A2113" s="1">
        <v>44725</v>
      </c>
      <c r="B2113">
        <v>233.95416259765599</v>
      </c>
      <c r="C2113">
        <v>242.259994506835</v>
      </c>
      <c r="D2113">
        <v>249.02000427246</v>
      </c>
      <c r="E2113">
        <v>241.52999877929599</v>
      </c>
      <c r="F2113">
        <v>245.11000061035099</v>
      </c>
      <c r="G2113" s="2">
        <v>46135800</v>
      </c>
      <c r="H2113" s="3">
        <f t="shared" si="32"/>
        <v>-4.2412853650190541E-2</v>
      </c>
      <c r="J2113" s="3">
        <v>6.0475100599128861E-3</v>
      </c>
      <c r="K2113" s="3">
        <v>0.66394215655454258</v>
      </c>
    </row>
    <row r="2114" spans="1:11" x14ac:dyDescent="0.2">
      <c r="A2114" s="1">
        <v>44726</v>
      </c>
      <c r="B2114">
        <v>236.10772705078099</v>
      </c>
      <c r="C2114">
        <v>244.49000549316401</v>
      </c>
      <c r="D2114">
        <v>245.74000549316401</v>
      </c>
      <c r="E2114">
        <v>241.509994506835</v>
      </c>
      <c r="F2114">
        <v>243.86000061035099</v>
      </c>
      <c r="G2114" s="2">
        <v>28651500</v>
      </c>
      <c r="H2114" s="3">
        <f t="shared" ref="H2114:H2177" si="33">B2114/B2113-1</f>
        <v>9.2050700411285824E-3</v>
      </c>
      <c r="J2114" s="3">
        <v>6.0649807555388513E-3</v>
      </c>
      <c r="K2114" s="3">
        <v>0.66425652310594152</v>
      </c>
    </row>
    <row r="2115" spans="1:11" x14ac:dyDescent="0.2">
      <c r="A2115" s="1">
        <v>44727</v>
      </c>
      <c r="B2115">
        <v>243.12846374511699</v>
      </c>
      <c r="C2115">
        <v>251.759994506835</v>
      </c>
      <c r="D2115">
        <v>255.30000305175699</v>
      </c>
      <c r="E2115">
        <v>246.419998168945</v>
      </c>
      <c r="F2115">
        <v>248.30999755859301</v>
      </c>
      <c r="G2115" s="2">
        <v>33111700</v>
      </c>
      <c r="H2115" s="3">
        <f t="shared" si="33"/>
        <v>2.973531100414184E-2</v>
      </c>
      <c r="J2115" s="3">
        <v>6.0675884783973899E-3</v>
      </c>
      <c r="K2115" s="3">
        <v>0.66457088965734046</v>
      </c>
    </row>
    <row r="2116" spans="1:11" x14ac:dyDescent="0.2">
      <c r="A2116" s="1">
        <v>44728</v>
      </c>
      <c r="B2116">
        <v>236.57124328613199</v>
      </c>
      <c r="C2116">
        <v>244.97000122070301</v>
      </c>
      <c r="D2116">
        <v>247.419998168945</v>
      </c>
      <c r="E2116">
        <v>243.02000427246</v>
      </c>
      <c r="F2116">
        <v>245.97999572753901</v>
      </c>
      <c r="G2116" s="2">
        <v>33169200</v>
      </c>
      <c r="H2116" s="3">
        <f t="shared" si="33"/>
        <v>-2.6970188343966361E-2</v>
      </c>
      <c r="J2116" s="3">
        <v>6.0728572908193001E-3</v>
      </c>
      <c r="K2116" s="3">
        <v>0.66488525620873939</v>
      </c>
    </row>
    <row r="2117" spans="1:11" x14ac:dyDescent="0.2">
      <c r="A2117" s="1">
        <v>44729</v>
      </c>
      <c r="B2117">
        <v>239.15936279296801</v>
      </c>
      <c r="C2117">
        <v>247.64999389648401</v>
      </c>
      <c r="D2117">
        <v>250.5</v>
      </c>
      <c r="E2117">
        <v>244.02999877929599</v>
      </c>
      <c r="F2117">
        <v>244.69999694824199</v>
      </c>
      <c r="G2117" s="2">
        <v>43084800</v>
      </c>
      <c r="H2117" s="3">
        <f t="shared" si="33"/>
        <v>1.0940127256742205E-2</v>
      </c>
      <c r="J2117" s="3">
        <v>6.0755885211625227E-3</v>
      </c>
      <c r="K2117" s="3">
        <v>0.66519962276013833</v>
      </c>
    </row>
    <row r="2118" spans="1:11" x14ac:dyDescent="0.2">
      <c r="A2118" s="1">
        <v>44733</v>
      </c>
      <c r="B2118">
        <v>245.04057312011699</v>
      </c>
      <c r="C2118">
        <v>253.74000549316401</v>
      </c>
      <c r="D2118">
        <v>254.75</v>
      </c>
      <c r="E2118">
        <v>249.509994506835</v>
      </c>
      <c r="F2118">
        <v>250.259994506835</v>
      </c>
      <c r="G2118" s="2">
        <v>29928300</v>
      </c>
      <c r="H2118" s="3">
        <f t="shared" si="33"/>
        <v>2.4591177441128043E-2</v>
      </c>
      <c r="J2118" s="3">
        <v>6.0926652248809443E-3</v>
      </c>
      <c r="K2118" s="3">
        <v>0.66551398931153727</v>
      </c>
    </row>
    <row r="2119" spans="1:11" x14ac:dyDescent="0.2">
      <c r="A2119" s="1">
        <v>44734</v>
      </c>
      <c r="B2119">
        <v>244.45149230957</v>
      </c>
      <c r="C2119">
        <v>253.13000488281199</v>
      </c>
      <c r="D2119">
        <v>257.17001342773398</v>
      </c>
      <c r="E2119">
        <v>250.36999511718699</v>
      </c>
      <c r="F2119">
        <v>251.88999938964801</v>
      </c>
      <c r="G2119" s="2">
        <v>25939900</v>
      </c>
      <c r="H2119" s="3">
        <f t="shared" si="33"/>
        <v>-2.4040133560176979E-3</v>
      </c>
      <c r="J2119" s="3">
        <v>6.0931116512061845E-3</v>
      </c>
      <c r="K2119" s="3">
        <v>0.66582835586293621</v>
      </c>
    </row>
    <row r="2120" spans="1:11" x14ac:dyDescent="0.2">
      <c r="A2120" s="1">
        <v>44735</v>
      </c>
      <c r="B2120">
        <v>249.98501586914</v>
      </c>
      <c r="C2120">
        <v>258.85998535156199</v>
      </c>
      <c r="D2120">
        <v>259.36999511718699</v>
      </c>
      <c r="E2120">
        <v>253.63000488281199</v>
      </c>
      <c r="F2120">
        <v>255.57000732421801</v>
      </c>
      <c r="G2120" s="2">
        <v>25861400</v>
      </c>
      <c r="H2120" s="3">
        <f t="shared" si="33"/>
        <v>2.263648917537564E-2</v>
      </c>
      <c r="J2120" s="3">
        <v>6.0964502617839589E-3</v>
      </c>
      <c r="K2120" s="3">
        <v>0.66614272241433514</v>
      </c>
    </row>
    <row r="2121" spans="1:11" x14ac:dyDescent="0.2">
      <c r="A2121" s="1">
        <v>44736</v>
      </c>
      <c r="B2121">
        <v>258.52194213867102</v>
      </c>
      <c r="C2121">
        <v>267.70001220703102</v>
      </c>
      <c r="D2121">
        <v>267.98001098632801</v>
      </c>
      <c r="E2121">
        <v>261.72000122070301</v>
      </c>
      <c r="F2121">
        <v>261.80999755859301</v>
      </c>
      <c r="G2121" s="2">
        <v>33923200</v>
      </c>
      <c r="H2121" s="3">
        <f t="shared" si="33"/>
        <v>3.4149751895529157E-2</v>
      </c>
      <c r="J2121" s="3">
        <v>6.1215225835196119E-3</v>
      </c>
      <c r="K2121" s="3">
        <v>0.66645708896573408</v>
      </c>
    </row>
    <row r="2122" spans="1:11" x14ac:dyDescent="0.2">
      <c r="A2122" s="1">
        <v>44739</v>
      </c>
      <c r="B2122">
        <v>255.80831909179599</v>
      </c>
      <c r="C2122">
        <v>264.89001464843699</v>
      </c>
      <c r="D2122">
        <v>268.29998779296801</v>
      </c>
      <c r="E2122">
        <v>263.27999877929602</v>
      </c>
      <c r="F2122">
        <v>268.20999145507801</v>
      </c>
      <c r="G2122" s="2">
        <v>24615100</v>
      </c>
      <c r="H2122" s="3">
        <f t="shared" si="33"/>
        <v>-1.0496683664164341E-2</v>
      </c>
      <c r="J2122" s="3">
        <v>6.1373440522995981E-3</v>
      </c>
      <c r="K2122" s="3">
        <v>0.66677145551713302</v>
      </c>
    </row>
    <row r="2123" spans="1:11" x14ac:dyDescent="0.2">
      <c r="A2123" s="1">
        <v>44740</v>
      </c>
      <c r="B2123">
        <v>247.68664550781199</v>
      </c>
      <c r="C2123">
        <v>256.48001098632801</v>
      </c>
      <c r="D2123">
        <v>266.91000366210898</v>
      </c>
      <c r="E2123">
        <v>256.32000732421801</v>
      </c>
      <c r="F2123">
        <v>263.98001098632801</v>
      </c>
      <c r="G2123" s="2">
        <v>27295500</v>
      </c>
      <c r="H2123" s="3">
        <f t="shared" si="33"/>
        <v>-3.1749059658492063E-2</v>
      </c>
      <c r="J2123" s="3">
        <v>6.138384709554412E-3</v>
      </c>
      <c r="K2123" s="3">
        <v>0.66708582206853195</v>
      </c>
    </row>
    <row r="2124" spans="1:11" x14ac:dyDescent="0.2">
      <c r="A2124" s="1">
        <v>44741</v>
      </c>
      <c r="B2124">
        <v>251.33705139160099</v>
      </c>
      <c r="C2124">
        <v>260.260009765625</v>
      </c>
      <c r="D2124">
        <v>261.97000122070301</v>
      </c>
      <c r="E2124">
        <v>255.759994506835</v>
      </c>
      <c r="F2124">
        <v>257.58999633789</v>
      </c>
      <c r="G2124" s="2">
        <v>20069800</v>
      </c>
      <c r="H2124" s="3">
        <f t="shared" si="33"/>
        <v>1.4738000413001107E-2</v>
      </c>
      <c r="J2124" s="3">
        <v>6.1392955703960528E-3</v>
      </c>
      <c r="K2124" s="3">
        <v>0.66740018861993089</v>
      </c>
    </row>
    <row r="2125" spans="1:11" x14ac:dyDescent="0.2">
      <c r="A2125" s="1">
        <v>44742</v>
      </c>
      <c r="B2125">
        <v>248.02459716796801</v>
      </c>
      <c r="C2125">
        <v>256.829986572265</v>
      </c>
      <c r="D2125">
        <v>259.52999877929602</v>
      </c>
      <c r="E2125">
        <v>252.89999389648401</v>
      </c>
      <c r="F2125">
        <v>257.04998779296801</v>
      </c>
      <c r="G2125" s="2">
        <v>31730900</v>
      </c>
      <c r="H2125" s="3">
        <f t="shared" si="33"/>
        <v>-1.317933112246128E-2</v>
      </c>
      <c r="J2125" s="3">
        <v>6.155548328688587E-3</v>
      </c>
      <c r="K2125" s="3">
        <v>0.66771455517132972</v>
      </c>
    </row>
    <row r="2126" spans="1:11" x14ac:dyDescent="0.2">
      <c r="A2126" s="1">
        <v>44743</v>
      </c>
      <c r="B2126">
        <v>250.68034362792901</v>
      </c>
      <c r="C2126">
        <v>259.579986572265</v>
      </c>
      <c r="D2126">
        <v>259.76998901367102</v>
      </c>
      <c r="E2126">
        <v>254.61000061035099</v>
      </c>
      <c r="F2126">
        <v>256.39001464843699</v>
      </c>
      <c r="G2126" s="2">
        <v>22837700</v>
      </c>
      <c r="H2126" s="3">
        <f t="shared" si="33"/>
        <v>1.0707593078610911E-2</v>
      </c>
      <c r="J2126" s="3">
        <v>6.1558313426430811E-3</v>
      </c>
      <c r="K2126" s="3">
        <v>0.66802892172272865</v>
      </c>
    </row>
    <row r="2127" spans="1:11" x14ac:dyDescent="0.2">
      <c r="A2127" s="1">
        <v>44747</v>
      </c>
      <c r="B2127">
        <v>253.83824157714801</v>
      </c>
      <c r="C2127">
        <v>262.850006103515</v>
      </c>
      <c r="D2127">
        <v>262.98001098632801</v>
      </c>
      <c r="E2127">
        <v>254.74000549316401</v>
      </c>
      <c r="F2127">
        <v>256.16000366210898</v>
      </c>
      <c r="G2127" s="2">
        <v>22941000</v>
      </c>
      <c r="H2127" s="3">
        <f t="shared" si="33"/>
        <v>1.2597309799072587E-2</v>
      </c>
      <c r="J2127" s="3">
        <v>6.1653381902686544E-3</v>
      </c>
      <c r="K2127" s="3">
        <v>0.66834328827412759</v>
      </c>
    </row>
    <row r="2128" spans="1:11" x14ac:dyDescent="0.2">
      <c r="A2128" s="1">
        <v>44748</v>
      </c>
      <c r="B2128">
        <v>257.08303833007801</v>
      </c>
      <c r="C2128">
        <v>266.20999145507801</v>
      </c>
      <c r="D2128">
        <v>267.989990234375</v>
      </c>
      <c r="E2128">
        <v>262.39999389648398</v>
      </c>
      <c r="F2128">
        <v>263.75</v>
      </c>
      <c r="G2128" s="2">
        <v>23824400</v>
      </c>
      <c r="H2128" s="3">
        <f t="shared" si="33"/>
        <v>1.2782931101198214E-2</v>
      </c>
      <c r="J2128" s="3">
        <v>6.1666488177911649E-3</v>
      </c>
      <c r="K2128" s="3">
        <v>0.66865765482552653</v>
      </c>
    </row>
    <row r="2129" spans="1:11" x14ac:dyDescent="0.2">
      <c r="A2129" s="1">
        <v>44749</v>
      </c>
      <c r="B2129">
        <v>259.19793701171801</v>
      </c>
      <c r="C2129">
        <v>268.39999389648398</v>
      </c>
      <c r="D2129">
        <v>269.05999755859301</v>
      </c>
      <c r="E2129">
        <v>265.01998901367102</v>
      </c>
      <c r="F2129">
        <v>265.11999511718699</v>
      </c>
      <c r="G2129" s="2">
        <v>20859900</v>
      </c>
      <c r="H2129" s="3">
        <f t="shared" si="33"/>
        <v>8.2265197088755571E-3</v>
      </c>
      <c r="J2129" s="3">
        <v>6.1741389847063122E-3</v>
      </c>
      <c r="K2129" s="3">
        <v>0.66897202137692546</v>
      </c>
    </row>
    <row r="2130" spans="1:11" x14ac:dyDescent="0.2">
      <c r="A2130" s="1">
        <v>44750</v>
      </c>
      <c r="B2130">
        <v>258.48336791992102</v>
      </c>
      <c r="C2130">
        <v>267.66000366210898</v>
      </c>
      <c r="D2130">
        <v>268.100006103515</v>
      </c>
      <c r="E2130">
        <v>263.29000854492102</v>
      </c>
      <c r="F2130">
        <v>264.79000854492102</v>
      </c>
      <c r="G2130" s="2">
        <v>19658800</v>
      </c>
      <c r="H2130" s="3">
        <f t="shared" si="33"/>
        <v>-2.7568471417451779E-3</v>
      </c>
      <c r="J2130" s="3">
        <v>6.1812234037690317E-3</v>
      </c>
      <c r="K2130" s="3">
        <v>0.6692863879283244</v>
      </c>
    </row>
    <row r="2131" spans="1:11" x14ac:dyDescent="0.2">
      <c r="A2131" s="1">
        <v>44753</v>
      </c>
      <c r="B2131">
        <v>255.44132995605401</v>
      </c>
      <c r="C2131">
        <v>264.510009765625</v>
      </c>
      <c r="D2131">
        <v>266.52999877929602</v>
      </c>
      <c r="E2131">
        <v>262.17999267578102</v>
      </c>
      <c r="F2131">
        <v>265.64999389648398</v>
      </c>
      <c r="G2131" s="2">
        <v>19455200</v>
      </c>
      <c r="H2131" s="3">
        <f t="shared" si="33"/>
        <v>-1.1768795757912898E-2</v>
      </c>
      <c r="J2131" s="3">
        <v>6.1891539875864598E-3</v>
      </c>
      <c r="K2131" s="3">
        <v>0.66960075447972334</v>
      </c>
    </row>
    <row r="2132" spans="1:11" x14ac:dyDescent="0.2">
      <c r="A2132" s="1">
        <v>44754</v>
      </c>
      <c r="B2132">
        <v>244.97296142578099</v>
      </c>
      <c r="C2132">
        <v>253.669998168945</v>
      </c>
      <c r="D2132">
        <v>265.94000244140602</v>
      </c>
      <c r="E2132">
        <v>252.03999328613199</v>
      </c>
      <c r="F2132">
        <v>265.88000488281199</v>
      </c>
      <c r="G2132" s="2">
        <v>35868500</v>
      </c>
      <c r="H2132" s="3">
        <f t="shared" si="33"/>
        <v>-4.0981498695117136E-2</v>
      </c>
      <c r="J2132" s="3">
        <v>6.1967182240785235E-3</v>
      </c>
      <c r="K2132" s="3">
        <v>0.66991512103112227</v>
      </c>
    </row>
    <row r="2133" spans="1:11" x14ac:dyDescent="0.2">
      <c r="A2133" s="1">
        <v>44755</v>
      </c>
      <c r="B2133">
        <v>244.05554199218699</v>
      </c>
      <c r="C2133">
        <v>252.72000122070301</v>
      </c>
      <c r="D2133">
        <v>253.55000305175699</v>
      </c>
      <c r="E2133">
        <v>248.11000061035099</v>
      </c>
      <c r="F2133">
        <v>250.19000244140599</v>
      </c>
      <c r="G2133" s="2">
        <v>29497400</v>
      </c>
      <c r="H2133" s="3">
        <f t="shared" si="33"/>
        <v>-3.7449824186901459E-3</v>
      </c>
      <c r="J2133" s="3">
        <v>6.212632434946963E-3</v>
      </c>
      <c r="K2133" s="3">
        <v>0.67022948758252121</v>
      </c>
    </row>
    <row r="2134" spans="1:11" x14ac:dyDescent="0.2">
      <c r="A2134" s="1">
        <v>44756</v>
      </c>
      <c r="B2134">
        <v>245.36886596679599</v>
      </c>
      <c r="C2134">
        <v>254.08000183105401</v>
      </c>
      <c r="D2134">
        <v>255.13999938964801</v>
      </c>
      <c r="E2134">
        <v>245.94000244140599</v>
      </c>
      <c r="F2134">
        <v>250.57000732421801</v>
      </c>
      <c r="G2134" s="2">
        <v>25102800</v>
      </c>
      <c r="H2134" s="3">
        <f t="shared" si="33"/>
        <v>5.3812503657508781E-3</v>
      </c>
      <c r="J2134" s="3">
        <v>6.2145796726831293E-3</v>
      </c>
      <c r="K2134" s="3">
        <v>0.67054385413392015</v>
      </c>
    </row>
    <row r="2135" spans="1:11" x14ac:dyDescent="0.2">
      <c r="A2135" s="1">
        <v>44757</v>
      </c>
      <c r="B2135">
        <v>247.91838073730401</v>
      </c>
      <c r="C2135">
        <v>256.72000122070301</v>
      </c>
      <c r="D2135">
        <v>260.36999511718699</v>
      </c>
      <c r="E2135">
        <v>254.77000427246</v>
      </c>
      <c r="F2135">
        <v>255.72000122070301</v>
      </c>
      <c r="G2135" s="2">
        <v>29774100</v>
      </c>
      <c r="H2135" s="3">
        <f t="shared" si="33"/>
        <v>1.0390538997123722E-2</v>
      </c>
      <c r="J2135" s="3">
        <v>6.2210669207301006E-3</v>
      </c>
      <c r="K2135" s="3">
        <v>0.67085822068531908</v>
      </c>
    </row>
    <row r="2136" spans="1:11" x14ac:dyDescent="0.2">
      <c r="A2136" s="1">
        <v>44760</v>
      </c>
      <c r="B2136">
        <v>245.53308105468699</v>
      </c>
      <c r="C2136">
        <v>254.25</v>
      </c>
      <c r="D2136">
        <v>260.83999633789</v>
      </c>
      <c r="E2136">
        <v>253.30000305175699</v>
      </c>
      <c r="F2136">
        <v>259.75</v>
      </c>
      <c r="G2136" s="2">
        <v>20975000</v>
      </c>
      <c r="H2136" s="3">
        <f t="shared" si="33"/>
        <v>-9.6213103502983399E-3</v>
      </c>
      <c r="J2136" s="3">
        <v>6.2357308610292428E-3</v>
      </c>
      <c r="K2136" s="3">
        <v>0.67117258723671802</v>
      </c>
    </row>
    <row r="2137" spans="1:11" x14ac:dyDescent="0.2">
      <c r="A2137" s="1">
        <v>44761</v>
      </c>
      <c r="B2137">
        <v>250.632080078125</v>
      </c>
      <c r="C2137">
        <v>259.52999877929602</v>
      </c>
      <c r="D2137">
        <v>259.72000122070301</v>
      </c>
      <c r="E2137">
        <v>253.67999267578099</v>
      </c>
      <c r="F2137">
        <v>257.579986572265</v>
      </c>
      <c r="G2137" s="2">
        <v>25012600</v>
      </c>
      <c r="H2137" s="3">
        <f t="shared" si="33"/>
        <v>2.0767055101232224E-2</v>
      </c>
      <c r="J2137" s="3">
        <v>6.2403699574746785E-3</v>
      </c>
      <c r="K2137" s="3">
        <v>0.67148695378811696</v>
      </c>
    </row>
    <row r="2138" spans="1:11" x14ac:dyDescent="0.2">
      <c r="A2138" s="1">
        <v>44762</v>
      </c>
      <c r="B2138">
        <v>253.278076171875</v>
      </c>
      <c r="C2138">
        <v>262.26998901367102</v>
      </c>
      <c r="D2138">
        <v>264.86999511718699</v>
      </c>
      <c r="E2138">
        <v>258.91000366210898</v>
      </c>
      <c r="F2138">
        <v>259.89999389648398</v>
      </c>
      <c r="G2138" s="2">
        <v>22788300</v>
      </c>
      <c r="H2138" s="3">
        <f t="shared" si="33"/>
        <v>1.0557292158789977E-2</v>
      </c>
      <c r="J2138" s="3">
        <v>6.2436525192750558E-3</v>
      </c>
      <c r="K2138" s="3">
        <v>0.67180132033951589</v>
      </c>
    </row>
    <row r="2139" spans="1:11" x14ac:dyDescent="0.2">
      <c r="A2139" s="1">
        <v>44763</v>
      </c>
      <c r="B2139">
        <v>255.76007080078099</v>
      </c>
      <c r="C2139">
        <v>264.83999633789</v>
      </c>
      <c r="D2139">
        <v>264.89001464843699</v>
      </c>
      <c r="E2139">
        <v>257.02999877929602</v>
      </c>
      <c r="F2139">
        <v>259.79000854492102</v>
      </c>
      <c r="G2139" s="2">
        <v>22404700</v>
      </c>
      <c r="H2139" s="3">
        <f t="shared" si="33"/>
        <v>9.799484686632276E-3</v>
      </c>
      <c r="J2139" s="3">
        <v>6.2502482527651004E-3</v>
      </c>
      <c r="K2139" s="3">
        <v>0.67211568689091483</v>
      </c>
    </row>
    <row r="2140" spans="1:11" x14ac:dyDescent="0.2">
      <c r="A2140" s="1">
        <v>44764</v>
      </c>
      <c r="B2140">
        <v>251.43357849121</v>
      </c>
      <c r="C2140">
        <v>260.35998535156199</v>
      </c>
      <c r="D2140">
        <v>265.329986572265</v>
      </c>
      <c r="E2140">
        <v>259.07000732421801</v>
      </c>
      <c r="F2140">
        <v>265.239990234375</v>
      </c>
      <c r="G2140" s="2">
        <v>21881300</v>
      </c>
      <c r="H2140" s="3">
        <f t="shared" si="33"/>
        <v>-1.6916214857248035E-2</v>
      </c>
      <c r="J2140" s="3">
        <v>6.2605117991840764E-3</v>
      </c>
      <c r="K2140" s="3">
        <v>0.67243005344231377</v>
      </c>
    </row>
    <row r="2141" spans="1:11" x14ac:dyDescent="0.2">
      <c r="A2141" s="1">
        <v>44767</v>
      </c>
      <c r="B2141">
        <v>249.95603942871</v>
      </c>
      <c r="C2141">
        <v>258.829986572265</v>
      </c>
      <c r="D2141">
        <v>261.5</v>
      </c>
      <c r="E2141">
        <v>256.80999755859301</v>
      </c>
      <c r="F2141">
        <v>261</v>
      </c>
      <c r="G2141" s="2">
        <v>21056000</v>
      </c>
      <c r="H2141" s="3">
        <f t="shared" si="33"/>
        <v>-5.8764587902949694E-3</v>
      </c>
      <c r="J2141" s="3">
        <v>6.2714825968390731E-3</v>
      </c>
      <c r="K2141" s="3">
        <v>0.67274441999371271</v>
      </c>
    </row>
    <row r="2142" spans="1:11" x14ac:dyDescent="0.2">
      <c r="A2142" s="1">
        <v>44768</v>
      </c>
      <c r="B2142">
        <v>243.26365661621</v>
      </c>
      <c r="C2142">
        <v>251.89999389648401</v>
      </c>
      <c r="D2142">
        <v>259.88000488281199</v>
      </c>
      <c r="E2142">
        <v>249.57000732421801</v>
      </c>
      <c r="F2142">
        <v>259.85998535156199</v>
      </c>
      <c r="G2142" s="2">
        <v>39348000</v>
      </c>
      <c r="H2142" s="3">
        <f t="shared" si="33"/>
        <v>-2.6774239293420821E-2</v>
      </c>
      <c r="J2142" s="3">
        <v>6.2899783816738886E-3</v>
      </c>
      <c r="K2142" s="3">
        <v>0.67305878654511164</v>
      </c>
    </row>
    <row r="2143" spans="1:11" x14ac:dyDescent="0.2">
      <c r="A2143" s="1">
        <v>44769</v>
      </c>
      <c r="B2143">
        <v>259.52630615234301</v>
      </c>
      <c r="C2143">
        <v>268.739990234375</v>
      </c>
      <c r="D2143">
        <v>270.04998779296801</v>
      </c>
      <c r="E2143">
        <v>258.850006103515</v>
      </c>
      <c r="F2143">
        <v>261.16000366210898</v>
      </c>
      <c r="G2143" s="2">
        <v>45994000</v>
      </c>
      <c r="H2143" s="3">
        <f t="shared" si="33"/>
        <v>6.6851948878619893E-2</v>
      </c>
      <c r="J2143" s="3">
        <v>6.2925539306437628E-3</v>
      </c>
      <c r="K2143" s="3">
        <v>0.67337315309651058</v>
      </c>
    </row>
    <row r="2144" spans="1:11" x14ac:dyDescent="0.2">
      <c r="A2144" s="1">
        <v>44770</v>
      </c>
      <c r="B2144">
        <v>266.93338012695301</v>
      </c>
      <c r="C2144">
        <v>276.41000366210898</v>
      </c>
      <c r="D2144">
        <v>277.83999633789</v>
      </c>
      <c r="E2144">
        <v>267.86999511718699</v>
      </c>
      <c r="F2144">
        <v>269.75</v>
      </c>
      <c r="G2144" s="2">
        <v>33459300</v>
      </c>
      <c r="H2144" s="3">
        <f t="shared" si="33"/>
        <v>2.8540744421731157E-2</v>
      </c>
      <c r="J2144" s="3">
        <v>6.3079090503150859E-3</v>
      </c>
      <c r="K2144" s="3">
        <v>0.67368751964790952</v>
      </c>
    </row>
    <row r="2145" spans="1:11" x14ac:dyDescent="0.2">
      <c r="A2145" s="1">
        <v>44771</v>
      </c>
      <c r="B2145">
        <v>271.11486816406199</v>
      </c>
      <c r="C2145">
        <v>280.739990234375</v>
      </c>
      <c r="D2145">
        <v>282</v>
      </c>
      <c r="E2145">
        <v>276.63000488281199</v>
      </c>
      <c r="F2145">
        <v>277.70001220703102</v>
      </c>
      <c r="G2145" s="2">
        <v>32152800</v>
      </c>
      <c r="H2145" s="3">
        <f t="shared" si="33"/>
        <v>1.5664912477863391E-2</v>
      </c>
      <c r="J2145" s="3">
        <v>6.3120763036117467E-3</v>
      </c>
      <c r="K2145" s="3">
        <v>0.67400188619930834</v>
      </c>
    </row>
    <row r="2146" spans="1:11" x14ac:dyDescent="0.2">
      <c r="A2146" s="1">
        <v>44774</v>
      </c>
      <c r="B2146">
        <v>268.478515625</v>
      </c>
      <c r="C2146">
        <v>278.010009765625</v>
      </c>
      <c r="D2146">
        <v>281.27999877929602</v>
      </c>
      <c r="E2146">
        <v>275.83999633789</v>
      </c>
      <c r="F2146">
        <v>277.82000732421801</v>
      </c>
      <c r="G2146" s="2">
        <v>21539600</v>
      </c>
      <c r="H2146" s="3">
        <f t="shared" si="33"/>
        <v>-9.7241164120391854E-3</v>
      </c>
      <c r="J2146" s="3">
        <v>6.3230616540577156E-3</v>
      </c>
      <c r="K2146" s="3">
        <v>0.67431625275070728</v>
      </c>
    </row>
    <row r="2147" spans="1:11" x14ac:dyDescent="0.2">
      <c r="A2147" s="1">
        <v>44775</v>
      </c>
      <c r="B2147">
        <v>265.39788818359301</v>
      </c>
      <c r="C2147">
        <v>274.82000732421801</v>
      </c>
      <c r="D2147">
        <v>277.89001464843699</v>
      </c>
      <c r="E2147">
        <v>272.38000488281199</v>
      </c>
      <c r="F2147">
        <v>276</v>
      </c>
      <c r="G2147" s="2">
        <v>22754200</v>
      </c>
      <c r="H2147" s="3">
        <f t="shared" si="33"/>
        <v>-1.1474390918154054E-2</v>
      </c>
      <c r="J2147" s="3">
        <v>6.3291387131039212E-3</v>
      </c>
      <c r="K2147" s="3">
        <v>0.67463061930210622</v>
      </c>
    </row>
    <row r="2148" spans="1:11" x14ac:dyDescent="0.2">
      <c r="A2148" s="1">
        <v>44776</v>
      </c>
      <c r="B2148">
        <v>272.785552978515</v>
      </c>
      <c r="C2148">
        <v>282.47000122070301</v>
      </c>
      <c r="D2148">
        <v>283.5</v>
      </c>
      <c r="E2148">
        <v>276.60998535156199</v>
      </c>
      <c r="F2148">
        <v>276.760009765625</v>
      </c>
      <c r="G2148" s="2">
        <v>23518900</v>
      </c>
      <c r="H2148" s="3">
        <f t="shared" si="33"/>
        <v>2.7836185304577432E-2</v>
      </c>
      <c r="J2148" s="3">
        <v>6.3399721871595371E-3</v>
      </c>
      <c r="K2148" s="3">
        <v>0.67494498585350515</v>
      </c>
    </row>
    <row r="2149" spans="1:11" x14ac:dyDescent="0.2">
      <c r="A2149" s="1">
        <v>44777</v>
      </c>
      <c r="B2149">
        <v>273.92510986328102</v>
      </c>
      <c r="C2149">
        <v>283.64999389648398</v>
      </c>
      <c r="D2149">
        <v>283.79998779296801</v>
      </c>
      <c r="E2149">
        <v>280.17001342773398</v>
      </c>
      <c r="F2149">
        <v>281.79998779296801</v>
      </c>
      <c r="G2149" s="2">
        <v>18098700</v>
      </c>
      <c r="H2149" s="3">
        <f t="shared" si="33"/>
        <v>4.1774825401248439E-3</v>
      </c>
      <c r="J2149" s="3">
        <v>6.3406550123079608E-3</v>
      </c>
      <c r="K2149" s="3">
        <v>0.67525935240490409</v>
      </c>
    </row>
    <row r="2150" spans="1:11" x14ac:dyDescent="0.2">
      <c r="A2150" s="1">
        <v>44778</v>
      </c>
      <c r="B2150">
        <v>273.21054077148398</v>
      </c>
      <c r="C2150">
        <v>282.91000366210898</v>
      </c>
      <c r="D2150">
        <v>283.64999389648398</v>
      </c>
      <c r="E2150">
        <v>278.67999267578102</v>
      </c>
      <c r="F2150">
        <v>279.14999389648398</v>
      </c>
      <c r="G2150" s="2">
        <v>16774600</v>
      </c>
      <c r="H2150" s="3">
        <f t="shared" si="33"/>
        <v>-2.6086293883524903E-3</v>
      </c>
      <c r="J2150" s="3">
        <v>6.3481627462333989E-3</v>
      </c>
      <c r="K2150" s="3">
        <v>0.67557371895630303</v>
      </c>
    </row>
    <row r="2151" spans="1:11" x14ac:dyDescent="0.2">
      <c r="A2151" s="1">
        <v>44781</v>
      </c>
      <c r="B2151">
        <v>270.70928955078102</v>
      </c>
      <c r="C2151">
        <v>280.32000732421801</v>
      </c>
      <c r="D2151">
        <v>285.92001342773398</v>
      </c>
      <c r="E2151">
        <v>279.32000732421801</v>
      </c>
      <c r="F2151">
        <v>284.04998779296801</v>
      </c>
      <c r="G2151" s="2">
        <v>18739200</v>
      </c>
      <c r="H2151" s="3">
        <f t="shared" si="33"/>
        <v>-9.1550319165577543E-3</v>
      </c>
      <c r="J2151" s="3">
        <v>6.3526804431643935E-3</v>
      </c>
      <c r="K2151" s="3">
        <v>0.67588808550770196</v>
      </c>
    </row>
    <row r="2152" spans="1:11" x14ac:dyDescent="0.2">
      <c r="A2152" s="1">
        <v>44782</v>
      </c>
      <c r="B2152">
        <v>272.62142944335898</v>
      </c>
      <c r="C2152">
        <v>282.29998779296801</v>
      </c>
      <c r="D2152">
        <v>283.079986572265</v>
      </c>
      <c r="E2152">
        <v>277.60998535156199</v>
      </c>
      <c r="F2152">
        <v>279.64001464843699</v>
      </c>
      <c r="G2152" s="2">
        <v>23405200</v>
      </c>
      <c r="H2152" s="3">
        <f t="shared" si="33"/>
        <v>7.0634439466448207E-3</v>
      </c>
      <c r="J2152" s="3">
        <v>6.3553934249409583E-3</v>
      </c>
      <c r="K2152" s="3">
        <v>0.6762024520591009</v>
      </c>
    </row>
    <row r="2153" spans="1:11" x14ac:dyDescent="0.2">
      <c r="A2153" s="1">
        <v>44783</v>
      </c>
      <c r="B2153">
        <v>279.24624633789</v>
      </c>
      <c r="C2153">
        <v>289.16000366210898</v>
      </c>
      <c r="D2153">
        <v>289.80999755859301</v>
      </c>
      <c r="E2153">
        <v>286.94000244140602</v>
      </c>
      <c r="F2153">
        <v>288.17001342773398</v>
      </c>
      <c r="G2153" s="2">
        <v>24687800</v>
      </c>
      <c r="H2153" s="3">
        <f t="shared" si="33"/>
        <v>2.4300426081902859E-2</v>
      </c>
      <c r="J2153" s="3">
        <v>6.3589553723073511E-3</v>
      </c>
      <c r="K2153" s="3">
        <v>0.67651681861049984</v>
      </c>
    </row>
    <row r="2154" spans="1:11" x14ac:dyDescent="0.2">
      <c r="A2154" s="1">
        <v>44784</v>
      </c>
      <c r="B2154">
        <v>277.179595947265</v>
      </c>
      <c r="C2154">
        <v>287.01998901367102</v>
      </c>
      <c r="D2154">
        <v>291.20999145507801</v>
      </c>
      <c r="E2154">
        <v>286.510009765625</v>
      </c>
      <c r="F2154">
        <v>290.850006103515</v>
      </c>
      <c r="G2154" s="2">
        <v>20065900</v>
      </c>
      <c r="H2154" s="3">
        <f t="shared" si="33"/>
        <v>-7.4008170843031795E-3</v>
      </c>
      <c r="J2154" s="3">
        <v>6.3731337398893473E-3</v>
      </c>
      <c r="K2154" s="3">
        <v>0.67683118516189877</v>
      </c>
    </row>
    <row r="2155" spans="1:11" x14ac:dyDescent="0.2">
      <c r="A2155" s="1">
        <v>44785</v>
      </c>
      <c r="B2155">
        <v>281.90191650390602</v>
      </c>
      <c r="C2155">
        <v>291.91000366210898</v>
      </c>
      <c r="D2155">
        <v>291.91000366210898</v>
      </c>
      <c r="E2155">
        <v>286.94000244140602</v>
      </c>
      <c r="F2155">
        <v>288.48001098632801</v>
      </c>
      <c r="G2155" s="2">
        <v>22619700</v>
      </c>
      <c r="H2155" s="3">
        <f t="shared" si="33"/>
        <v>1.7037042501279354E-2</v>
      </c>
      <c r="J2155" s="3">
        <v>6.3795574280975931E-3</v>
      </c>
      <c r="K2155" s="3">
        <v>0.67714555171329771</v>
      </c>
    </row>
    <row r="2156" spans="1:11" x14ac:dyDescent="0.2">
      <c r="A2156" s="1">
        <v>44788</v>
      </c>
      <c r="B2156">
        <v>283.40838623046801</v>
      </c>
      <c r="C2156">
        <v>293.47000122070301</v>
      </c>
      <c r="D2156">
        <v>294.17999267578102</v>
      </c>
      <c r="E2156">
        <v>290.10998535156199</v>
      </c>
      <c r="F2156">
        <v>291</v>
      </c>
      <c r="G2156" s="2">
        <v>18085700</v>
      </c>
      <c r="H2156" s="3">
        <f t="shared" si="33"/>
        <v>5.3439499285601322E-3</v>
      </c>
      <c r="J2156" s="3">
        <v>6.3916121131790682E-3</v>
      </c>
      <c r="K2156" s="3">
        <v>0.67745991826469665</v>
      </c>
    </row>
    <row r="2157" spans="1:11" x14ac:dyDescent="0.2">
      <c r="A2157" s="1">
        <v>44789</v>
      </c>
      <c r="B2157">
        <v>282.67443847656199</v>
      </c>
      <c r="C2157">
        <v>292.70999145507801</v>
      </c>
      <c r="D2157">
        <v>294.04000854492102</v>
      </c>
      <c r="E2157">
        <v>290.42001342773398</v>
      </c>
      <c r="F2157">
        <v>291.989990234375</v>
      </c>
      <c r="G2157" s="2">
        <v>18102900</v>
      </c>
      <c r="H2157" s="3">
        <f t="shared" si="33"/>
        <v>-2.5897178402800591E-3</v>
      </c>
      <c r="J2157" s="3">
        <v>6.3961159126124656E-3</v>
      </c>
      <c r="K2157" s="3">
        <v>0.67777428481609558</v>
      </c>
    </row>
    <row r="2158" spans="1:11" x14ac:dyDescent="0.2">
      <c r="A2158" s="1">
        <v>44790</v>
      </c>
      <c r="B2158">
        <v>281.92935180664</v>
      </c>
      <c r="C2158">
        <v>291.32000732421801</v>
      </c>
      <c r="D2158">
        <v>293.350006103515</v>
      </c>
      <c r="E2158">
        <v>289.47000122070301</v>
      </c>
      <c r="F2158">
        <v>289.739990234375</v>
      </c>
      <c r="G2158" s="2">
        <v>18253400</v>
      </c>
      <c r="H2158" s="3">
        <f t="shared" si="33"/>
        <v>-2.6358473512410052E-3</v>
      </c>
      <c r="J2158" s="3">
        <v>6.3982064918204351E-3</v>
      </c>
      <c r="K2158" s="3">
        <v>0.67808865136749452</v>
      </c>
    </row>
    <row r="2159" spans="1:11" x14ac:dyDescent="0.2">
      <c r="A2159" s="1">
        <v>44791</v>
      </c>
      <c r="B2159">
        <v>280.81637573242102</v>
      </c>
      <c r="C2159">
        <v>290.17001342773398</v>
      </c>
      <c r="D2159">
        <v>291.91000366210898</v>
      </c>
      <c r="E2159">
        <v>289.079986572265</v>
      </c>
      <c r="F2159">
        <v>290.19000244140602</v>
      </c>
      <c r="G2159" s="2">
        <v>17186200</v>
      </c>
      <c r="H2159" s="3">
        <f t="shared" si="33"/>
        <v>-3.9477126701668031E-3</v>
      </c>
      <c r="J2159" s="3">
        <v>6.4243705152584596E-3</v>
      </c>
      <c r="K2159" s="3">
        <v>0.67840301791889346</v>
      </c>
    </row>
    <row r="2160" spans="1:11" x14ac:dyDescent="0.2">
      <c r="A2160" s="1">
        <v>44792</v>
      </c>
      <c r="B2160">
        <v>276.92593383789</v>
      </c>
      <c r="C2160">
        <v>286.14999389648398</v>
      </c>
      <c r="D2160">
        <v>289.25</v>
      </c>
      <c r="E2160">
        <v>285.55999755859301</v>
      </c>
      <c r="F2160">
        <v>288.89999389648398</v>
      </c>
      <c r="G2160" s="2">
        <v>20570000</v>
      </c>
      <c r="H2160" s="3">
        <f t="shared" si="33"/>
        <v>-1.3854042109844977E-2</v>
      </c>
      <c r="J2160" s="3">
        <v>6.4260958727659911E-3</v>
      </c>
      <c r="K2160" s="3">
        <v>0.6787173844702924</v>
      </c>
    </row>
    <row r="2161" spans="1:11" x14ac:dyDescent="0.2">
      <c r="A2161" s="1">
        <v>44795</v>
      </c>
      <c r="B2161">
        <v>268.79675292968699</v>
      </c>
      <c r="C2161">
        <v>277.75</v>
      </c>
      <c r="D2161">
        <v>282.45999145507801</v>
      </c>
      <c r="E2161">
        <v>277.22000122070301</v>
      </c>
      <c r="F2161">
        <v>282.079986572265</v>
      </c>
      <c r="G2161" s="2">
        <v>25061100</v>
      </c>
      <c r="H2161" s="3">
        <f t="shared" si="33"/>
        <v>-2.9355072656220615E-2</v>
      </c>
      <c r="J2161" s="3">
        <v>6.4319460574706611E-3</v>
      </c>
      <c r="K2161" s="3">
        <v>0.67903175102169133</v>
      </c>
    </row>
    <row r="2162" spans="1:11" x14ac:dyDescent="0.2">
      <c r="A2162" s="1">
        <v>44796</v>
      </c>
      <c r="B2162">
        <v>267.52896118164</v>
      </c>
      <c r="C2162">
        <v>276.44000244140602</v>
      </c>
      <c r="D2162">
        <v>278.85998535156199</v>
      </c>
      <c r="E2162">
        <v>275.39999389648398</v>
      </c>
      <c r="F2162">
        <v>276.44000244140602</v>
      </c>
      <c r="G2162" s="2">
        <v>17527400</v>
      </c>
      <c r="H2162" s="3">
        <f t="shared" si="33"/>
        <v>-4.7165441331749047E-3</v>
      </c>
      <c r="J2162" s="3">
        <v>6.4348818206811931E-3</v>
      </c>
      <c r="K2162" s="3">
        <v>0.67934611757309027</v>
      </c>
    </row>
    <row r="2163" spans="1:11" x14ac:dyDescent="0.2">
      <c r="A2163" s="1">
        <v>44797</v>
      </c>
      <c r="B2163">
        <v>266.89990234375</v>
      </c>
      <c r="C2163">
        <v>275.79000854492102</v>
      </c>
      <c r="D2163">
        <v>277.23001098632801</v>
      </c>
      <c r="E2163">
        <v>275.10998535156199</v>
      </c>
      <c r="F2163">
        <v>275.41000366210898</v>
      </c>
      <c r="G2163" s="2">
        <v>18137000</v>
      </c>
      <c r="H2163" s="3">
        <f t="shared" si="33"/>
        <v>-2.3513672505269811E-3</v>
      </c>
      <c r="J2163" s="3">
        <v>6.4431120892367577E-3</v>
      </c>
      <c r="K2163" s="3">
        <v>0.67966048412448921</v>
      </c>
    </row>
    <row r="2164" spans="1:11" x14ac:dyDescent="0.2">
      <c r="A2164" s="1">
        <v>44798</v>
      </c>
      <c r="B2164">
        <v>269.86126708984301</v>
      </c>
      <c r="C2164">
        <v>278.850006103515</v>
      </c>
      <c r="D2164">
        <v>279.01998901367102</v>
      </c>
      <c r="E2164">
        <v>274.51998901367102</v>
      </c>
      <c r="F2164">
        <v>277.329986572265</v>
      </c>
      <c r="G2164" s="2">
        <v>16583400</v>
      </c>
      <c r="H2164" s="3">
        <f t="shared" si="33"/>
        <v>1.1095413374407892E-2</v>
      </c>
      <c r="J2164" s="3">
        <v>6.4647143999527756E-3</v>
      </c>
      <c r="K2164" s="3">
        <v>0.67997485067588803</v>
      </c>
    </row>
    <row r="2165" spans="1:11" x14ac:dyDescent="0.2">
      <c r="A2165" s="1">
        <v>44799</v>
      </c>
      <c r="B2165">
        <v>259.44812011718699</v>
      </c>
      <c r="C2165">
        <v>268.08999633789</v>
      </c>
      <c r="D2165">
        <v>280.33999633789</v>
      </c>
      <c r="E2165">
        <v>267.98001098632801</v>
      </c>
      <c r="F2165">
        <v>279.079986572265</v>
      </c>
      <c r="G2165" s="2">
        <v>27549300</v>
      </c>
      <c r="H2165" s="3">
        <f t="shared" si="33"/>
        <v>-3.8587038017535269E-2</v>
      </c>
      <c r="J2165" s="3">
        <v>6.4713484745861916E-3</v>
      </c>
      <c r="K2165" s="3">
        <v>0.68028921722728697</v>
      </c>
    </row>
    <row r="2166" spans="1:11" x14ac:dyDescent="0.2">
      <c r="A2166" s="1">
        <v>44802</v>
      </c>
      <c r="B2166">
        <v>256.68029785156199</v>
      </c>
      <c r="C2166">
        <v>265.23001098632801</v>
      </c>
      <c r="D2166">
        <v>267.39999389648398</v>
      </c>
      <c r="E2166">
        <v>263.850006103515</v>
      </c>
      <c r="F2166">
        <v>265.850006103515</v>
      </c>
      <c r="G2166" s="2">
        <v>20338500</v>
      </c>
      <c r="H2166" s="3">
        <f t="shared" si="33"/>
        <v>-1.0668114551667718E-2</v>
      </c>
      <c r="J2166" s="3">
        <v>6.4761258756276252E-3</v>
      </c>
      <c r="K2166" s="3">
        <v>0.68060358377868591</v>
      </c>
    </row>
    <row r="2167" spans="1:11" x14ac:dyDescent="0.2">
      <c r="A2167" s="1">
        <v>44803</v>
      </c>
      <c r="B2167">
        <v>254.49314880371</v>
      </c>
      <c r="C2167">
        <v>262.97000122070301</v>
      </c>
      <c r="D2167">
        <v>267.04998779296801</v>
      </c>
      <c r="E2167">
        <v>260.66000366210898</v>
      </c>
      <c r="F2167">
        <v>266.67001342773398</v>
      </c>
      <c r="G2167" s="2">
        <v>22767100</v>
      </c>
      <c r="H2167" s="3">
        <f t="shared" si="33"/>
        <v>-8.520907393978594E-3</v>
      </c>
      <c r="J2167" s="3">
        <v>6.4779514775215041E-3</v>
      </c>
      <c r="K2167" s="3">
        <v>0.68091795033008484</v>
      </c>
    </row>
    <row r="2168" spans="1:11" x14ac:dyDescent="0.2">
      <c r="A2168" s="1">
        <v>44804</v>
      </c>
      <c r="B2168">
        <v>253.04153442382801</v>
      </c>
      <c r="C2168">
        <v>261.47000122070301</v>
      </c>
      <c r="D2168">
        <v>267.10998535156199</v>
      </c>
      <c r="E2168">
        <v>261.329986572265</v>
      </c>
      <c r="F2168">
        <v>265.39001464843699</v>
      </c>
      <c r="G2168" s="2">
        <v>24791800</v>
      </c>
      <c r="H2168" s="3">
        <f t="shared" si="33"/>
        <v>-5.7039428633169909E-3</v>
      </c>
      <c r="J2168" s="3">
        <v>6.4870451378713501E-3</v>
      </c>
      <c r="K2168" s="3">
        <v>0.68123231688148378</v>
      </c>
    </row>
    <row r="2169" spans="1:11" x14ac:dyDescent="0.2">
      <c r="A2169" s="1">
        <v>44805</v>
      </c>
      <c r="B2169">
        <v>252.00592041015599</v>
      </c>
      <c r="C2169">
        <v>260.39999389648398</v>
      </c>
      <c r="D2169">
        <v>260.89001464843699</v>
      </c>
      <c r="E2169">
        <v>255.41000366210901</v>
      </c>
      <c r="F2169">
        <v>258.86999511718699</v>
      </c>
      <c r="G2169" s="2">
        <v>23263400</v>
      </c>
      <c r="H2169" s="3">
        <f t="shared" si="33"/>
        <v>-4.0926641392294849E-3</v>
      </c>
      <c r="J2169" s="3">
        <v>6.5015122513887302E-3</v>
      </c>
      <c r="K2169" s="3">
        <v>0.68154668343288272</v>
      </c>
    </row>
    <row r="2170" spans="1:11" x14ac:dyDescent="0.2">
      <c r="A2170" s="1">
        <v>44806</v>
      </c>
      <c r="B2170">
        <v>247.80592346191401</v>
      </c>
      <c r="C2170">
        <v>256.05999755859301</v>
      </c>
      <c r="D2170">
        <v>264.739990234375</v>
      </c>
      <c r="E2170">
        <v>254.47000122070301</v>
      </c>
      <c r="F2170">
        <v>261.70001220703102</v>
      </c>
      <c r="G2170" s="2">
        <v>22855400</v>
      </c>
      <c r="H2170" s="3">
        <f t="shared" si="33"/>
        <v>-1.6666263004481041E-2</v>
      </c>
      <c r="J2170" s="3">
        <v>6.5099515163984378E-3</v>
      </c>
      <c r="K2170" s="3">
        <v>0.68186104998428165</v>
      </c>
    </row>
    <row r="2171" spans="1:11" x14ac:dyDescent="0.2">
      <c r="A2171" s="1">
        <v>44810</v>
      </c>
      <c r="B2171">
        <v>245.08647155761699</v>
      </c>
      <c r="C2171">
        <v>253.25</v>
      </c>
      <c r="D2171">
        <v>257.829986572265</v>
      </c>
      <c r="E2171">
        <v>251.94000244140599</v>
      </c>
      <c r="F2171">
        <v>256.20001220703102</v>
      </c>
      <c r="G2171" s="2">
        <v>21328200</v>
      </c>
      <c r="H2171" s="3">
        <f t="shared" si="33"/>
        <v>-1.0974119852768527E-2</v>
      </c>
      <c r="J2171" s="3">
        <v>6.5099708779885468E-3</v>
      </c>
      <c r="K2171" s="3">
        <v>0.68217541653568059</v>
      </c>
    </row>
    <row r="2172" spans="1:11" x14ac:dyDescent="0.2">
      <c r="A2172" s="1">
        <v>44811</v>
      </c>
      <c r="B2172">
        <v>249.77052307128901</v>
      </c>
      <c r="C2172">
        <v>258.08999633789</v>
      </c>
      <c r="D2172">
        <v>258.829986572265</v>
      </c>
      <c r="E2172">
        <v>253.22000122070301</v>
      </c>
      <c r="F2172">
        <v>254.69999694824199</v>
      </c>
      <c r="G2172" s="2">
        <v>24126700</v>
      </c>
      <c r="H2172" s="3">
        <f t="shared" si="33"/>
        <v>1.911183217867185E-2</v>
      </c>
      <c r="J2172" s="3">
        <v>6.5441836254314101E-3</v>
      </c>
      <c r="K2172" s="3">
        <v>0.68248978308707953</v>
      </c>
    </row>
    <row r="2173" spans="1:11" x14ac:dyDescent="0.2">
      <c r="A2173" s="1">
        <v>44812</v>
      </c>
      <c r="B2173">
        <v>250.186599731445</v>
      </c>
      <c r="C2173">
        <v>258.51998901367102</v>
      </c>
      <c r="D2173">
        <v>260.42999267578102</v>
      </c>
      <c r="E2173">
        <v>254.78999328613199</v>
      </c>
      <c r="F2173">
        <v>257.510009765625</v>
      </c>
      <c r="G2173" s="2">
        <v>20319900</v>
      </c>
      <c r="H2173" s="3">
        <f t="shared" si="33"/>
        <v>1.6658357240868504E-3</v>
      </c>
      <c r="J2173" s="3">
        <v>6.5485894252548249E-3</v>
      </c>
      <c r="K2173" s="3">
        <v>0.68280414963847846</v>
      </c>
    </row>
    <row r="2174" spans="1:11" x14ac:dyDescent="0.2">
      <c r="A2174" s="1">
        <v>44813</v>
      </c>
      <c r="B2174">
        <v>255.935134887695</v>
      </c>
      <c r="C2174">
        <v>264.45999145507801</v>
      </c>
      <c r="D2174">
        <v>265.23001098632801</v>
      </c>
      <c r="E2174">
        <v>260.29000854492102</v>
      </c>
      <c r="F2174">
        <v>260.5</v>
      </c>
      <c r="G2174" s="2">
        <v>22084700</v>
      </c>
      <c r="H2174" s="3">
        <f t="shared" si="33"/>
        <v>2.2976990623880589E-2</v>
      </c>
      <c r="J2174" s="3">
        <v>6.5520990863205952E-3</v>
      </c>
      <c r="K2174" s="3">
        <v>0.6831185161898774</v>
      </c>
    </row>
    <row r="2175" spans="1:11" x14ac:dyDescent="0.2">
      <c r="A2175" s="1">
        <v>44816</v>
      </c>
      <c r="B2175">
        <v>258.05453491210898</v>
      </c>
      <c r="C2175">
        <v>266.64999389648398</v>
      </c>
      <c r="D2175">
        <v>267.45001220703102</v>
      </c>
      <c r="E2175">
        <v>265.16000366210898</v>
      </c>
      <c r="F2175">
        <v>265.77999877929602</v>
      </c>
      <c r="G2175" s="2">
        <v>18747700</v>
      </c>
      <c r="H2175" s="3">
        <f t="shared" si="33"/>
        <v>8.2810045808832111E-3</v>
      </c>
      <c r="J2175" s="3">
        <v>6.5601234202068426E-3</v>
      </c>
      <c r="K2175" s="3">
        <v>0.68343288274127634</v>
      </c>
    </row>
    <row r="2176" spans="1:11" x14ac:dyDescent="0.2">
      <c r="A2176" s="1">
        <v>44817</v>
      </c>
      <c r="B2176">
        <v>243.86712646484301</v>
      </c>
      <c r="C2176">
        <v>251.99000549316401</v>
      </c>
      <c r="D2176">
        <v>260.39999389648398</v>
      </c>
      <c r="E2176">
        <v>251.58999633789</v>
      </c>
      <c r="F2176">
        <v>258.83999633789</v>
      </c>
      <c r="G2176" s="2">
        <v>33353300</v>
      </c>
      <c r="H2176" s="3">
        <f t="shared" si="33"/>
        <v>-5.4978334142037344E-2</v>
      </c>
      <c r="J2176" s="3">
        <v>6.5642650764330401E-3</v>
      </c>
      <c r="K2176" s="3">
        <v>0.68374724929267527</v>
      </c>
    </row>
    <row r="2177" spans="1:11" x14ac:dyDescent="0.2">
      <c r="A2177" s="1">
        <v>44818</v>
      </c>
      <c r="B2177">
        <v>244.08972167968699</v>
      </c>
      <c r="C2177">
        <v>252.22000122070301</v>
      </c>
      <c r="D2177">
        <v>254.22999572753901</v>
      </c>
      <c r="E2177">
        <v>249.86000061035099</v>
      </c>
      <c r="F2177">
        <v>253.52999877929599</v>
      </c>
      <c r="G2177" s="2">
        <v>23913000</v>
      </c>
      <c r="H2177" s="3">
        <f t="shared" si="33"/>
        <v>9.127725334314718E-4</v>
      </c>
      <c r="J2177" s="3">
        <v>6.5648589905829002E-3</v>
      </c>
      <c r="K2177" s="3">
        <v>0.68406161584407421</v>
      </c>
    </row>
    <row r="2178" spans="1:11" x14ac:dyDescent="0.2">
      <c r="A2178" s="1">
        <v>44819</v>
      </c>
      <c r="B2178">
        <v>237.47019958496</v>
      </c>
      <c r="C2178">
        <v>245.38000488281199</v>
      </c>
      <c r="D2178">
        <v>251.39999389648401</v>
      </c>
      <c r="E2178">
        <v>244.02000427246</v>
      </c>
      <c r="F2178">
        <v>249.77000427246</v>
      </c>
      <c r="G2178" s="2">
        <v>31530900</v>
      </c>
      <c r="H2178" s="3">
        <f t="shared" ref="H2178:H2241" si="34">B2178/B2177-1</f>
        <v>-2.7119216856716477E-2</v>
      </c>
      <c r="J2178" s="3">
        <v>6.5705802602078478E-3</v>
      </c>
      <c r="K2178" s="3">
        <v>0.68437598239547315</v>
      </c>
    </row>
    <row r="2179" spans="1:11" x14ac:dyDescent="0.2">
      <c r="A2179" s="1">
        <v>44820</v>
      </c>
      <c r="B2179">
        <v>236.850814819335</v>
      </c>
      <c r="C2179">
        <v>244.74000549316401</v>
      </c>
      <c r="D2179">
        <v>245.30000305175699</v>
      </c>
      <c r="E2179">
        <v>242.05999755859301</v>
      </c>
      <c r="F2179">
        <v>244.259994506835</v>
      </c>
      <c r="G2179" s="2">
        <v>39791800</v>
      </c>
      <c r="H2179" s="3">
        <f t="shared" si="34"/>
        <v>-2.6082631282052793E-3</v>
      </c>
      <c r="J2179" s="3">
        <v>6.575163098686776E-3</v>
      </c>
      <c r="K2179" s="3">
        <v>0.68469034894687208</v>
      </c>
    </row>
    <row r="2180" spans="1:11" x14ac:dyDescent="0.2">
      <c r="A2180" s="1">
        <v>44823</v>
      </c>
      <c r="B2180">
        <v>236.63790893554599</v>
      </c>
      <c r="C2180">
        <v>244.52000427246</v>
      </c>
      <c r="D2180">
        <v>245.13999938964801</v>
      </c>
      <c r="E2180">
        <v>240.850006103515</v>
      </c>
      <c r="F2180">
        <v>242.47000122070301</v>
      </c>
      <c r="G2180" s="2">
        <v>26826900</v>
      </c>
      <c r="H2180" s="3">
        <f t="shared" si="34"/>
        <v>-8.989028978068081E-4</v>
      </c>
      <c r="J2180" s="3">
        <v>6.5943845475404661E-3</v>
      </c>
      <c r="K2180" s="3">
        <v>0.68500471549827102</v>
      </c>
    </row>
    <row r="2181" spans="1:11" x14ac:dyDescent="0.2">
      <c r="A2181" s="1">
        <v>44824</v>
      </c>
      <c r="B2181">
        <v>234.63465881347599</v>
      </c>
      <c r="C2181">
        <v>242.44999694824199</v>
      </c>
      <c r="D2181">
        <v>243.509994506835</v>
      </c>
      <c r="E2181">
        <v>239.63999938964801</v>
      </c>
      <c r="F2181">
        <v>242.07000732421801</v>
      </c>
      <c r="G2181" s="2">
        <v>26660300</v>
      </c>
      <c r="H2181" s="3">
        <f t="shared" si="34"/>
        <v>-8.4654657872912376E-3</v>
      </c>
      <c r="J2181" s="3">
        <v>6.6060462481005722E-3</v>
      </c>
      <c r="K2181" s="3">
        <v>0.68531908204966996</v>
      </c>
    </row>
    <row r="2182" spans="1:11" x14ac:dyDescent="0.2">
      <c r="A2182" s="1">
        <v>44825</v>
      </c>
      <c r="B2182">
        <v>231.24745178222599</v>
      </c>
      <c r="C2182">
        <v>238.94999694824199</v>
      </c>
      <c r="D2182">
        <v>247.66000366210901</v>
      </c>
      <c r="E2182">
        <v>238.89999389648401</v>
      </c>
      <c r="F2182">
        <v>244.27000427246</v>
      </c>
      <c r="G2182" s="2">
        <v>28625600</v>
      </c>
      <c r="H2182" s="3">
        <f t="shared" si="34"/>
        <v>-1.4436089912627459E-2</v>
      </c>
      <c r="J2182" s="3">
        <v>6.6117362422020154E-3</v>
      </c>
      <c r="K2182" s="3">
        <v>0.6856334486010689</v>
      </c>
    </row>
    <row r="2183" spans="1:11" x14ac:dyDescent="0.2">
      <c r="A2183" s="1">
        <v>44826</v>
      </c>
      <c r="B2183">
        <v>233.21200561523401</v>
      </c>
      <c r="C2183">
        <v>240.97999572753901</v>
      </c>
      <c r="D2183">
        <v>243.86000061035099</v>
      </c>
      <c r="E2183">
        <v>237.57000732421801</v>
      </c>
      <c r="F2183">
        <v>237.86999511718699</v>
      </c>
      <c r="G2183" s="2">
        <v>31061200</v>
      </c>
      <c r="H2183" s="3">
        <f t="shared" si="34"/>
        <v>8.4954615407313305E-3</v>
      </c>
      <c r="J2183" s="3">
        <v>6.631016794278688E-3</v>
      </c>
      <c r="K2183" s="3">
        <v>0.68594781515246783</v>
      </c>
    </row>
    <row r="2184" spans="1:11" x14ac:dyDescent="0.2">
      <c r="A2184" s="1">
        <v>44827</v>
      </c>
      <c r="B2184">
        <v>230.25064086914</v>
      </c>
      <c r="C2184">
        <v>237.919998168945</v>
      </c>
      <c r="D2184">
        <v>241.13000488281199</v>
      </c>
      <c r="E2184">
        <v>235.19999694824199</v>
      </c>
      <c r="F2184">
        <v>239.53999328613199</v>
      </c>
      <c r="G2184" s="2">
        <v>34176000</v>
      </c>
      <c r="H2184" s="3">
        <f t="shared" si="34"/>
        <v>-1.2698165938248573E-2</v>
      </c>
      <c r="J2184" s="3">
        <v>6.6334529019311805E-3</v>
      </c>
      <c r="K2184" s="3">
        <v>0.68626218170386666</v>
      </c>
    </row>
    <row r="2185" spans="1:11" x14ac:dyDescent="0.2">
      <c r="A2185" s="1">
        <v>44830</v>
      </c>
      <c r="B2185">
        <v>229.79582214355401</v>
      </c>
      <c r="C2185">
        <v>237.44999694824199</v>
      </c>
      <c r="D2185">
        <v>241.44999694824199</v>
      </c>
      <c r="E2185">
        <v>236.89999389648401</v>
      </c>
      <c r="F2185">
        <v>237.05000305175699</v>
      </c>
      <c r="G2185" s="2">
        <v>27694200</v>
      </c>
      <c r="H2185" s="3">
        <f t="shared" si="34"/>
        <v>-1.9753201288350564E-3</v>
      </c>
      <c r="J2185" s="3">
        <v>6.661018807958996E-3</v>
      </c>
      <c r="K2185" s="3">
        <v>0.6865765482552656</v>
      </c>
    </row>
    <row r="2186" spans="1:11" x14ac:dyDescent="0.2">
      <c r="A2186" s="1">
        <v>44831</v>
      </c>
      <c r="B2186">
        <v>228.78938293457</v>
      </c>
      <c r="C2186">
        <v>236.41000366210901</v>
      </c>
      <c r="D2186">
        <v>241.80000305175699</v>
      </c>
      <c r="E2186">
        <v>234.5</v>
      </c>
      <c r="F2186">
        <v>239.97999572753901</v>
      </c>
      <c r="G2186" s="2">
        <v>27018700</v>
      </c>
      <c r="H2186" s="3">
        <f t="shared" si="34"/>
        <v>-4.3797106474602332E-3</v>
      </c>
      <c r="J2186" s="3">
        <v>6.6722201300426498E-3</v>
      </c>
      <c r="K2186" s="3">
        <v>0.68689091480666453</v>
      </c>
    </row>
    <row r="2187" spans="1:11" x14ac:dyDescent="0.2">
      <c r="A2187" s="1">
        <v>44832</v>
      </c>
      <c r="B2187">
        <v>233.29910278320301</v>
      </c>
      <c r="C2187">
        <v>241.07000732421801</v>
      </c>
      <c r="D2187">
        <v>242.33000183105401</v>
      </c>
      <c r="E2187">
        <v>234.72999572753901</v>
      </c>
      <c r="F2187">
        <v>236.80999755859301</v>
      </c>
      <c r="G2187" s="2">
        <v>29029700</v>
      </c>
      <c r="H2187" s="3">
        <f t="shared" si="34"/>
        <v>1.9711228688976012E-2</v>
      </c>
      <c r="J2187" s="3">
        <v>6.6736778808280661E-3</v>
      </c>
      <c r="K2187" s="3">
        <v>0.68720528135806347</v>
      </c>
    </row>
    <row r="2188" spans="1:11" x14ac:dyDescent="0.2">
      <c r="A2188" s="1">
        <v>44833</v>
      </c>
      <c r="B2188">
        <v>229.84420776367099</v>
      </c>
      <c r="C2188">
        <v>237.5</v>
      </c>
      <c r="D2188">
        <v>239.94999694824199</v>
      </c>
      <c r="E2188">
        <v>234.41000366210901</v>
      </c>
      <c r="F2188">
        <v>238.88999938964801</v>
      </c>
      <c r="G2188" s="2">
        <v>27484200</v>
      </c>
      <c r="H2188" s="3">
        <f t="shared" si="34"/>
        <v>-1.4808865436325869E-2</v>
      </c>
      <c r="J2188" s="3">
        <v>6.6809726118126633E-3</v>
      </c>
      <c r="K2188" s="3">
        <v>0.68751964790946241</v>
      </c>
    </row>
    <row r="2189" spans="1:11" x14ac:dyDescent="0.2">
      <c r="A2189" s="1">
        <v>44834</v>
      </c>
      <c r="B2189">
        <v>225.39247131347599</v>
      </c>
      <c r="C2189">
        <v>232.89999389648401</v>
      </c>
      <c r="D2189">
        <v>240.53999328613199</v>
      </c>
      <c r="E2189">
        <v>232.72999572753901</v>
      </c>
      <c r="F2189">
        <v>238.28999328613199</v>
      </c>
      <c r="G2189" s="2">
        <v>35694800</v>
      </c>
      <c r="H2189" s="3">
        <f t="shared" si="34"/>
        <v>-1.9368495266899766E-2</v>
      </c>
      <c r="J2189" s="3">
        <v>6.6976689366180509E-3</v>
      </c>
      <c r="K2189" s="3">
        <v>0.68783401446086134</v>
      </c>
    </row>
    <row r="2190" spans="1:11" x14ac:dyDescent="0.2">
      <c r="A2190" s="1">
        <v>44837</v>
      </c>
      <c r="B2190">
        <v>232.97978210449199</v>
      </c>
      <c r="C2190">
        <v>240.74000549316401</v>
      </c>
      <c r="D2190">
        <v>241.61000061035099</v>
      </c>
      <c r="E2190">
        <v>234.66000366210901</v>
      </c>
      <c r="F2190">
        <v>235.41000366210901</v>
      </c>
      <c r="G2190" s="2">
        <v>28880400</v>
      </c>
      <c r="H2190" s="3">
        <f t="shared" si="34"/>
        <v>3.3662662939897281E-2</v>
      </c>
      <c r="J2190" s="3">
        <v>6.7070043045074357E-3</v>
      </c>
      <c r="K2190" s="3">
        <v>0.68814838101226028</v>
      </c>
    </row>
    <row r="2191" spans="1:11" x14ac:dyDescent="0.2">
      <c r="A2191" s="1">
        <v>44838</v>
      </c>
      <c r="B2191">
        <v>240.85734558105401</v>
      </c>
      <c r="C2191">
        <v>248.88000488281199</v>
      </c>
      <c r="D2191">
        <v>250.36000061035099</v>
      </c>
      <c r="E2191">
        <v>244.97999572753901</v>
      </c>
      <c r="F2191">
        <v>245.08999633789</v>
      </c>
      <c r="G2191" s="2">
        <v>34888400</v>
      </c>
      <c r="H2191" s="3">
        <f t="shared" si="34"/>
        <v>3.3812219263853915E-2</v>
      </c>
      <c r="J2191" s="3">
        <v>6.7142150593677563E-3</v>
      </c>
      <c r="K2191" s="3">
        <v>0.68846274756365922</v>
      </c>
    </row>
    <row r="2192" spans="1:11" x14ac:dyDescent="0.2">
      <c r="A2192" s="1">
        <v>44839</v>
      </c>
      <c r="B2192">
        <v>241.16700744628901</v>
      </c>
      <c r="C2192">
        <v>249.19999694824199</v>
      </c>
      <c r="D2192">
        <v>250.58000183105401</v>
      </c>
      <c r="E2192">
        <v>244.100006103515</v>
      </c>
      <c r="F2192">
        <v>245.99000549316401</v>
      </c>
      <c r="G2192" s="2">
        <v>20347100</v>
      </c>
      <c r="H2192" s="3">
        <f t="shared" si="34"/>
        <v>1.2856650250294699E-3</v>
      </c>
      <c r="J2192" s="3">
        <v>6.7276423148785458E-3</v>
      </c>
      <c r="K2192" s="3">
        <v>0.68877711411505815</v>
      </c>
    </row>
    <row r="2193" spans="1:11" x14ac:dyDescent="0.2">
      <c r="A2193" s="1">
        <v>44840</v>
      </c>
      <c r="B2193">
        <v>238.83473205566401</v>
      </c>
      <c r="C2193">
        <v>246.78999328613199</v>
      </c>
      <c r="D2193">
        <v>250.33999633789</v>
      </c>
      <c r="E2193">
        <v>246.08000183105401</v>
      </c>
      <c r="F2193">
        <v>247.92999267578099</v>
      </c>
      <c r="G2193" s="2">
        <v>20239900</v>
      </c>
      <c r="H2193" s="3">
        <f t="shared" si="34"/>
        <v>-9.6707896130627802E-3</v>
      </c>
      <c r="J2193" s="3">
        <v>6.7373223681668204E-3</v>
      </c>
      <c r="K2193" s="3">
        <v>0.68909148066645709</v>
      </c>
    </row>
    <row r="2194" spans="1:11" x14ac:dyDescent="0.2">
      <c r="A2194" s="1">
        <v>44841</v>
      </c>
      <c r="B2194">
        <v>226.68931579589801</v>
      </c>
      <c r="C2194">
        <v>234.24000549316401</v>
      </c>
      <c r="D2194">
        <v>241.32000732421801</v>
      </c>
      <c r="E2194">
        <v>233.169998168945</v>
      </c>
      <c r="F2194">
        <v>240.89999389648401</v>
      </c>
      <c r="G2194" s="2">
        <v>37769600</v>
      </c>
      <c r="H2194" s="3">
        <f t="shared" si="34"/>
        <v>-5.0852805851266725E-2</v>
      </c>
      <c r="J2194" s="3">
        <v>6.7383987682070323E-3</v>
      </c>
      <c r="K2194" s="3">
        <v>0.68940584721785603</v>
      </c>
    </row>
    <row r="2195" spans="1:11" x14ac:dyDescent="0.2">
      <c r="A2195" s="1">
        <v>44844</v>
      </c>
      <c r="B2195">
        <v>221.86012268066401</v>
      </c>
      <c r="C2195">
        <v>229.25</v>
      </c>
      <c r="D2195">
        <v>234.55999755859301</v>
      </c>
      <c r="E2195">
        <v>226.72999572753901</v>
      </c>
      <c r="F2195">
        <v>233.05000305175699</v>
      </c>
      <c r="G2195" s="2">
        <v>29743600</v>
      </c>
      <c r="H2195" s="3">
        <f t="shared" si="34"/>
        <v>-2.1303135078417301E-2</v>
      </c>
      <c r="J2195" s="3">
        <v>6.7637727459146646E-3</v>
      </c>
      <c r="K2195" s="3">
        <v>0.68972021376925496</v>
      </c>
    </row>
    <row r="2196" spans="1:11" x14ac:dyDescent="0.2">
      <c r="A2196" s="1">
        <v>44845</v>
      </c>
      <c r="B2196">
        <v>218.14392089843699</v>
      </c>
      <c r="C2196">
        <v>225.41000366210901</v>
      </c>
      <c r="D2196">
        <v>229.05999755859301</v>
      </c>
      <c r="E2196">
        <v>224.11000061035099</v>
      </c>
      <c r="F2196">
        <v>227.61999511718699</v>
      </c>
      <c r="G2196" s="2">
        <v>30474000</v>
      </c>
      <c r="H2196" s="3">
        <f t="shared" si="34"/>
        <v>-1.6750201601465675E-2</v>
      </c>
      <c r="J2196" s="3">
        <v>6.7737303760462275E-3</v>
      </c>
      <c r="K2196" s="3">
        <v>0.6900345803206539</v>
      </c>
    </row>
    <row r="2197" spans="1:11" x14ac:dyDescent="0.2">
      <c r="A2197" s="1">
        <v>44846</v>
      </c>
      <c r="B2197">
        <v>218.47294616699199</v>
      </c>
      <c r="C2197">
        <v>225.75</v>
      </c>
      <c r="D2197">
        <v>227.86000061035099</v>
      </c>
      <c r="E2197">
        <v>223.96000671386699</v>
      </c>
      <c r="F2197">
        <v>225.39999389648401</v>
      </c>
      <c r="G2197" s="2">
        <v>21903900</v>
      </c>
      <c r="H2197" s="3">
        <f t="shared" si="34"/>
        <v>1.5082944654147834E-3</v>
      </c>
      <c r="J2197" s="3">
        <v>6.7948861543118966E-3</v>
      </c>
      <c r="K2197" s="3">
        <v>0.69034894687205284</v>
      </c>
    </row>
    <row r="2198" spans="1:11" x14ac:dyDescent="0.2">
      <c r="A2198" s="1">
        <v>44847</v>
      </c>
      <c r="B2198">
        <v>226.68931579589801</v>
      </c>
      <c r="C2198">
        <v>234.24000549316401</v>
      </c>
      <c r="D2198">
        <v>236.100006103515</v>
      </c>
      <c r="E2198">
        <v>219.13000488281199</v>
      </c>
      <c r="F2198">
        <v>219.850006103515</v>
      </c>
      <c r="G2198" s="2">
        <v>42551800</v>
      </c>
      <c r="H2198" s="3">
        <f t="shared" si="34"/>
        <v>3.7608178829729111E-2</v>
      </c>
      <c r="J2198" s="3">
        <v>6.8086192472571749E-3</v>
      </c>
      <c r="K2198" s="3">
        <v>0.69066331342345177</v>
      </c>
    </row>
    <row r="2199" spans="1:11" x14ac:dyDescent="0.2">
      <c r="A2199" s="1">
        <v>44848</v>
      </c>
      <c r="B2199">
        <v>221.19235229492099</v>
      </c>
      <c r="C2199">
        <v>228.55999755859301</v>
      </c>
      <c r="D2199">
        <v>237.24000549316401</v>
      </c>
      <c r="E2199">
        <v>228.33999633789</v>
      </c>
      <c r="F2199">
        <v>235.53999328613199</v>
      </c>
      <c r="G2199" s="2">
        <v>30198600</v>
      </c>
      <c r="H2199" s="3">
        <f t="shared" si="34"/>
        <v>-2.4248886550640392E-2</v>
      </c>
      <c r="J2199" s="3">
        <v>6.8210023573571643E-3</v>
      </c>
      <c r="K2199" s="3">
        <v>0.69097767997485071</v>
      </c>
    </row>
    <row r="2200" spans="1:11" x14ac:dyDescent="0.2">
      <c r="A2200" s="1">
        <v>44851</v>
      </c>
      <c r="B2200">
        <v>229.87321472167901</v>
      </c>
      <c r="C2200">
        <v>237.52999877929599</v>
      </c>
      <c r="D2200">
        <v>238.96000671386699</v>
      </c>
      <c r="E2200">
        <v>235.13999938964801</v>
      </c>
      <c r="F2200">
        <v>235.82000732421801</v>
      </c>
      <c r="G2200" s="2">
        <v>28142300</v>
      </c>
      <c r="H2200" s="3">
        <f t="shared" si="34"/>
        <v>3.9245762055930555E-2</v>
      </c>
      <c r="J2200" s="3">
        <v>6.8503060274773819E-3</v>
      </c>
      <c r="K2200" s="3">
        <v>0.69129204652624965</v>
      </c>
    </row>
    <row r="2201" spans="1:11" x14ac:dyDescent="0.2">
      <c r="A2201" s="1">
        <v>44852</v>
      </c>
      <c r="B2201">
        <v>230.81195068359301</v>
      </c>
      <c r="C2201">
        <v>238.5</v>
      </c>
      <c r="D2201">
        <v>243.92999267578099</v>
      </c>
      <c r="E2201">
        <v>235.36999511718699</v>
      </c>
      <c r="F2201">
        <v>243.24000549316401</v>
      </c>
      <c r="G2201" s="2">
        <v>26329600</v>
      </c>
      <c r="H2201" s="3">
        <f t="shared" si="34"/>
        <v>4.0837118106631376E-3</v>
      </c>
      <c r="J2201" s="3">
        <v>6.8646660779025925E-3</v>
      </c>
      <c r="K2201" s="3">
        <v>0.69160641307764859</v>
      </c>
    </row>
    <row r="2202" spans="1:11" x14ac:dyDescent="0.2">
      <c r="A2202" s="1">
        <v>44853</v>
      </c>
      <c r="B2202">
        <v>228.85710144042901</v>
      </c>
      <c r="C2202">
        <v>236.47999572753901</v>
      </c>
      <c r="D2202">
        <v>239.61000061035099</v>
      </c>
      <c r="E2202">
        <v>234.28999328613199</v>
      </c>
      <c r="F2202">
        <v>237.03999328613199</v>
      </c>
      <c r="G2202" s="2">
        <v>19985700</v>
      </c>
      <c r="H2202" s="3">
        <f t="shared" si="34"/>
        <v>-8.4694455264311408E-3</v>
      </c>
      <c r="J2202" s="3">
        <v>6.8779260233307049E-3</v>
      </c>
      <c r="K2202" s="3">
        <v>0.69192077962904752</v>
      </c>
    </row>
    <row r="2203" spans="1:11" x14ac:dyDescent="0.2">
      <c r="A2203" s="1">
        <v>44854</v>
      </c>
      <c r="B2203">
        <v>228.53771972656199</v>
      </c>
      <c r="C2203">
        <v>236.14999389648401</v>
      </c>
      <c r="D2203">
        <v>241.30999755859301</v>
      </c>
      <c r="E2203">
        <v>234.86999511718699</v>
      </c>
      <c r="F2203">
        <v>235.77000427246</v>
      </c>
      <c r="G2203" s="2">
        <v>21811000</v>
      </c>
      <c r="H2203" s="3">
        <f t="shared" si="34"/>
        <v>-1.3955508125237381E-3</v>
      </c>
      <c r="J2203" s="3">
        <v>6.8838861510518434E-3</v>
      </c>
      <c r="K2203" s="3">
        <v>0.69223514618044635</v>
      </c>
    </row>
    <row r="2204" spans="1:11" x14ac:dyDescent="0.2">
      <c r="A2204" s="1">
        <v>44855</v>
      </c>
      <c r="B2204">
        <v>234.31524658203099</v>
      </c>
      <c r="C2204">
        <v>242.11999511718699</v>
      </c>
      <c r="D2204">
        <v>243</v>
      </c>
      <c r="E2204">
        <v>234.5</v>
      </c>
      <c r="F2204">
        <v>234.74000549316401</v>
      </c>
      <c r="G2204" s="2">
        <v>26299700</v>
      </c>
      <c r="H2204" s="3">
        <f t="shared" si="34"/>
        <v>2.5280408251126429E-2</v>
      </c>
      <c r="J2204" s="3">
        <v>6.8927385276955633E-3</v>
      </c>
      <c r="K2204" s="3">
        <v>0.69254951273184528</v>
      </c>
    </row>
    <row r="2205" spans="1:11" x14ac:dyDescent="0.2">
      <c r="A2205" s="1">
        <v>44858</v>
      </c>
      <c r="B2205">
        <v>239.27989196777301</v>
      </c>
      <c r="C2205">
        <v>247.25</v>
      </c>
      <c r="D2205">
        <v>247.83999633789</v>
      </c>
      <c r="E2205">
        <v>241.30000305175699</v>
      </c>
      <c r="F2205">
        <v>243.759994506835</v>
      </c>
      <c r="G2205" s="2">
        <v>24911200</v>
      </c>
      <c r="H2205" s="3">
        <f t="shared" si="34"/>
        <v>2.1187888787270737E-2</v>
      </c>
      <c r="J2205" s="3">
        <v>6.9000396723148949E-3</v>
      </c>
      <c r="K2205" s="3">
        <v>0.69286387928324422</v>
      </c>
    </row>
    <row r="2206" spans="1:11" x14ac:dyDescent="0.2">
      <c r="A2206" s="1">
        <v>44859</v>
      </c>
      <c r="B2206">
        <v>242.57997131347599</v>
      </c>
      <c r="C2206">
        <v>250.66000366210901</v>
      </c>
      <c r="D2206">
        <v>251.03999328613199</v>
      </c>
      <c r="E2206">
        <v>245.83000183105401</v>
      </c>
      <c r="F2206">
        <v>247.259994506835</v>
      </c>
      <c r="G2206" s="2">
        <v>34775500</v>
      </c>
      <c r="H2206" s="3">
        <f t="shared" si="34"/>
        <v>1.3791711951071317E-2</v>
      </c>
      <c r="J2206" s="3">
        <v>6.9041744571256558E-3</v>
      </c>
      <c r="K2206" s="3">
        <v>0.69317824583464316</v>
      </c>
    </row>
    <row r="2207" spans="1:11" x14ac:dyDescent="0.2">
      <c r="A2207" s="1">
        <v>44860</v>
      </c>
      <c r="B2207">
        <v>223.86341857910099</v>
      </c>
      <c r="C2207">
        <v>231.32000732421801</v>
      </c>
      <c r="D2207">
        <v>238.30000305175699</v>
      </c>
      <c r="E2207">
        <v>230.05999755859301</v>
      </c>
      <c r="F2207">
        <v>231.169998168945</v>
      </c>
      <c r="G2207" s="2">
        <v>82543200</v>
      </c>
      <c r="H2207" s="3">
        <f t="shared" si="34"/>
        <v>-7.7156216290372837E-2</v>
      </c>
      <c r="J2207" s="3">
        <v>6.9173546166167998E-3</v>
      </c>
      <c r="K2207" s="3">
        <v>0.6934926123860421</v>
      </c>
    </row>
    <row r="2208" spans="1:11" x14ac:dyDescent="0.2">
      <c r="A2208" s="1">
        <v>44861</v>
      </c>
      <c r="B2208">
        <v>219.44073486328099</v>
      </c>
      <c r="C2208">
        <v>226.75</v>
      </c>
      <c r="D2208">
        <v>233.69000244140599</v>
      </c>
      <c r="E2208">
        <v>225.77999877929599</v>
      </c>
      <c r="F2208">
        <v>231.03999328613199</v>
      </c>
      <c r="G2208" s="2">
        <v>40424600</v>
      </c>
      <c r="H2208" s="3">
        <f t="shared" si="34"/>
        <v>-1.9756169828422765E-2</v>
      </c>
      <c r="J2208" s="3">
        <v>6.9360984690862715E-3</v>
      </c>
      <c r="K2208" s="3">
        <v>0.69380697893744103</v>
      </c>
    </row>
    <row r="2209" spans="1:11" x14ac:dyDescent="0.2">
      <c r="A2209" s="1">
        <v>44862</v>
      </c>
      <c r="B2209">
        <v>228.26670837402301</v>
      </c>
      <c r="C2209">
        <v>235.86999511718699</v>
      </c>
      <c r="D2209">
        <v>236.600006103515</v>
      </c>
      <c r="E2209">
        <v>226.05000305175699</v>
      </c>
      <c r="F2209">
        <v>226.24000549316401</v>
      </c>
      <c r="G2209" s="2">
        <v>40647700</v>
      </c>
      <c r="H2209" s="3">
        <f t="shared" si="34"/>
        <v>4.0220306025865682E-2</v>
      </c>
      <c r="J2209" s="3">
        <v>6.9878855985261445E-3</v>
      </c>
      <c r="K2209" s="3">
        <v>0.69412134548883997</v>
      </c>
    </row>
    <row r="2210" spans="1:11" x14ac:dyDescent="0.2">
      <c r="A2210" s="1">
        <v>44865</v>
      </c>
      <c r="B2210">
        <v>224.64730834960901</v>
      </c>
      <c r="C2210">
        <v>232.13000488281199</v>
      </c>
      <c r="D2210">
        <v>234.919998168945</v>
      </c>
      <c r="E2210">
        <v>231.14999389648401</v>
      </c>
      <c r="F2210">
        <v>233.759994506835</v>
      </c>
      <c r="G2210" s="2">
        <v>28357300</v>
      </c>
      <c r="H2210" s="3">
        <f t="shared" si="34"/>
        <v>-1.5856013564989446E-2</v>
      </c>
      <c r="J2210" s="3">
        <v>7.0010449952520037E-3</v>
      </c>
      <c r="K2210" s="3">
        <v>0.69443571204023891</v>
      </c>
    </row>
    <row r="2211" spans="1:11" x14ac:dyDescent="0.2">
      <c r="A2211" s="1">
        <v>44866</v>
      </c>
      <c r="B2211">
        <v>220.81492614746</v>
      </c>
      <c r="C2211">
        <v>228.169998168945</v>
      </c>
      <c r="D2211">
        <v>235.74000549316401</v>
      </c>
      <c r="E2211">
        <v>227.33000183105401</v>
      </c>
      <c r="F2211">
        <v>234.600006103515</v>
      </c>
      <c r="G2211" s="2">
        <v>30592300</v>
      </c>
      <c r="H2211" s="3">
        <f t="shared" si="34"/>
        <v>-1.7059550948123725E-2</v>
      </c>
      <c r="J2211" s="3">
        <v>7.0014890683631759E-3</v>
      </c>
      <c r="K2211" s="3">
        <v>0.69475007859163784</v>
      </c>
    </row>
    <row r="2212" spans="1:11" x14ac:dyDescent="0.2">
      <c r="A2212" s="1">
        <v>44867</v>
      </c>
      <c r="B2212">
        <v>213.00509643554599</v>
      </c>
      <c r="C2212">
        <v>220.100006103515</v>
      </c>
      <c r="D2212">
        <v>231.30000305175699</v>
      </c>
      <c r="E2212">
        <v>220.03999328613199</v>
      </c>
      <c r="F2212">
        <v>229.46000671386699</v>
      </c>
      <c r="G2212" s="2">
        <v>38407000</v>
      </c>
      <c r="H2212" s="3">
        <f t="shared" si="34"/>
        <v>-3.5368214677202636E-2</v>
      </c>
      <c r="J2212" s="3">
        <v>7.0073635961298564E-3</v>
      </c>
      <c r="K2212" s="3">
        <v>0.69506444514303678</v>
      </c>
    </row>
    <row r="2213" spans="1:11" x14ac:dyDescent="0.2">
      <c r="A2213" s="1">
        <v>44868</v>
      </c>
      <c r="B2213">
        <v>207.34367370605401</v>
      </c>
      <c r="C2213">
        <v>214.25</v>
      </c>
      <c r="D2213">
        <v>220.41000366210901</v>
      </c>
      <c r="E2213">
        <v>213.97999572753901</v>
      </c>
      <c r="F2213">
        <v>220.08999633789</v>
      </c>
      <c r="G2213" s="2">
        <v>36633900</v>
      </c>
      <c r="H2213" s="3">
        <f t="shared" si="34"/>
        <v>-2.6578813484892883E-2</v>
      </c>
      <c r="J2213" s="3">
        <v>7.0126973705899598E-3</v>
      </c>
      <c r="K2213" s="3">
        <v>0.69537881169443572</v>
      </c>
    </row>
    <row r="2214" spans="1:11" x14ac:dyDescent="0.2">
      <c r="A2214" s="1">
        <v>44869</v>
      </c>
      <c r="B2214">
        <v>214.25350952148401</v>
      </c>
      <c r="C2214">
        <v>221.38999938964801</v>
      </c>
      <c r="D2214">
        <v>221.58999633789</v>
      </c>
      <c r="E2214">
        <v>213.42999267578099</v>
      </c>
      <c r="F2214">
        <v>217.55000305175699</v>
      </c>
      <c r="G2214" s="2">
        <v>36789100</v>
      </c>
      <c r="H2214" s="3">
        <f t="shared" si="34"/>
        <v>3.3325520339848369E-2</v>
      </c>
      <c r="J2214" s="3">
        <v>7.0225695749019934E-3</v>
      </c>
      <c r="K2214" s="3">
        <v>0.69569317824583465</v>
      </c>
    </row>
    <row r="2215" spans="1:11" x14ac:dyDescent="0.2">
      <c r="A2215" s="1">
        <v>44872</v>
      </c>
      <c r="B2215">
        <v>220.52461242675699</v>
      </c>
      <c r="C2215">
        <v>227.86999511718699</v>
      </c>
      <c r="D2215">
        <v>228.41000366210901</v>
      </c>
      <c r="E2215">
        <v>221.27999877929599</v>
      </c>
      <c r="F2215">
        <v>221.99000549316401</v>
      </c>
      <c r="G2215" s="2">
        <v>33498000</v>
      </c>
      <c r="H2215" s="3">
        <f t="shared" si="34"/>
        <v>2.9269545779105011E-2</v>
      </c>
      <c r="J2215" s="3">
        <v>7.0365737916748827E-3</v>
      </c>
      <c r="K2215" s="3">
        <v>0.69600754479723359</v>
      </c>
    </row>
    <row r="2216" spans="1:11" x14ac:dyDescent="0.2">
      <c r="A2216" s="1">
        <v>44873</v>
      </c>
      <c r="B2216">
        <v>221.49238586425699</v>
      </c>
      <c r="C2216">
        <v>228.86999511718699</v>
      </c>
      <c r="D2216">
        <v>231.64999389648401</v>
      </c>
      <c r="E2216">
        <v>225.83999633789</v>
      </c>
      <c r="F2216">
        <v>228.69999694824199</v>
      </c>
      <c r="G2216" s="2">
        <v>28192500</v>
      </c>
      <c r="H2216" s="3">
        <f t="shared" si="34"/>
        <v>4.3885053321266465E-3</v>
      </c>
      <c r="J2216" s="3">
        <v>7.0624601451938496E-3</v>
      </c>
      <c r="K2216" s="3">
        <v>0.69632191134863253</v>
      </c>
    </row>
    <row r="2217" spans="1:11" x14ac:dyDescent="0.2">
      <c r="A2217" s="1">
        <v>44874</v>
      </c>
      <c r="B2217">
        <v>217.27294921875</v>
      </c>
      <c r="C2217">
        <v>224.509994506835</v>
      </c>
      <c r="D2217">
        <v>228.63000488281199</v>
      </c>
      <c r="E2217">
        <v>224.33000183105401</v>
      </c>
      <c r="F2217">
        <v>227.36999511718699</v>
      </c>
      <c r="G2217" s="2">
        <v>27852900</v>
      </c>
      <c r="H2217" s="3">
        <f t="shared" si="34"/>
        <v>-1.9050030225837622E-2</v>
      </c>
      <c r="J2217" s="3">
        <v>7.0634439466448207E-3</v>
      </c>
      <c r="K2217" s="3">
        <v>0.69663627790003146</v>
      </c>
    </row>
    <row r="2218" spans="1:11" x14ac:dyDescent="0.2">
      <c r="A2218" s="1">
        <v>44875</v>
      </c>
      <c r="B2218">
        <v>235.147537231445</v>
      </c>
      <c r="C2218">
        <v>242.97999572753901</v>
      </c>
      <c r="D2218">
        <v>243.33000183105401</v>
      </c>
      <c r="E2218">
        <v>235</v>
      </c>
      <c r="F2218">
        <v>235.42999267578099</v>
      </c>
      <c r="G2218" s="2">
        <v>46268000</v>
      </c>
      <c r="H2218" s="3">
        <f t="shared" si="34"/>
        <v>8.2267894263721164E-2</v>
      </c>
      <c r="J2218" s="3">
        <v>7.0695557981199642E-3</v>
      </c>
      <c r="K2218" s="3">
        <v>0.6969506444514304</v>
      </c>
    </row>
    <row r="2219" spans="1:11" x14ac:dyDescent="0.2">
      <c r="A2219" s="1">
        <v>44876</v>
      </c>
      <c r="B2219">
        <v>239.14442443847599</v>
      </c>
      <c r="C2219">
        <v>247.11000061035099</v>
      </c>
      <c r="D2219">
        <v>247.99000549316401</v>
      </c>
      <c r="E2219">
        <v>241.92999267578099</v>
      </c>
      <c r="F2219">
        <v>242.99000549316401</v>
      </c>
      <c r="G2219" s="2">
        <v>34620200</v>
      </c>
      <c r="H2219" s="3">
        <f t="shared" si="34"/>
        <v>1.6997359419916203E-2</v>
      </c>
      <c r="J2219" s="3">
        <v>7.0726009458350614E-3</v>
      </c>
      <c r="K2219" s="3">
        <v>0.69726501100282934</v>
      </c>
    </row>
    <row r="2220" spans="1:11" x14ac:dyDescent="0.2">
      <c r="A2220" s="1">
        <v>44879</v>
      </c>
      <c r="B2220">
        <v>233.76365661621</v>
      </c>
      <c r="C2220">
        <v>241.55000305175699</v>
      </c>
      <c r="D2220">
        <v>243.91000366210901</v>
      </c>
      <c r="E2220">
        <v>239.21000671386699</v>
      </c>
      <c r="F2220">
        <v>241.99000549316401</v>
      </c>
      <c r="G2220" s="2">
        <v>31123300</v>
      </c>
      <c r="H2220" s="3">
        <f t="shared" si="34"/>
        <v>-2.2500076407385716E-2</v>
      </c>
      <c r="J2220" s="3">
        <v>7.0808504794039884E-3</v>
      </c>
      <c r="K2220" s="3">
        <v>0.69757937755422827</v>
      </c>
    </row>
    <row r="2221" spans="1:11" x14ac:dyDescent="0.2">
      <c r="A2221" s="1">
        <v>44880</v>
      </c>
      <c r="B2221">
        <v>234.17010498046801</v>
      </c>
      <c r="C2221">
        <v>241.97000122070301</v>
      </c>
      <c r="D2221">
        <v>247</v>
      </c>
      <c r="E2221">
        <v>240.02999877929599</v>
      </c>
      <c r="F2221">
        <v>245.66000366210901</v>
      </c>
      <c r="G2221" s="2">
        <v>31390100</v>
      </c>
      <c r="H2221" s="3">
        <f t="shared" si="34"/>
        <v>1.738714948856801E-3</v>
      </c>
      <c r="J2221" s="3">
        <v>7.0968819712955433E-3</v>
      </c>
      <c r="K2221" s="3">
        <v>0.69789374410562721</v>
      </c>
    </row>
    <row r="2222" spans="1:11" x14ac:dyDescent="0.2">
      <c r="A2222" s="1">
        <v>44881</v>
      </c>
      <c r="B2222">
        <v>234.59712219238199</v>
      </c>
      <c r="C2222">
        <v>241.72999572753901</v>
      </c>
      <c r="D2222">
        <v>243.80000305175699</v>
      </c>
      <c r="E2222">
        <v>240.419998168945</v>
      </c>
      <c r="F2222">
        <v>242.78999328613199</v>
      </c>
      <c r="G2222" s="2">
        <v>24093300</v>
      </c>
      <c r="H2222" s="3">
        <f t="shared" si="34"/>
        <v>1.8235342720180903E-3</v>
      </c>
      <c r="J2222" s="3">
        <v>7.1083770644346789E-3</v>
      </c>
      <c r="K2222" s="3">
        <v>0.69820811065702604</v>
      </c>
    </row>
    <row r="2223" spans="1:11" x14ac:dyDescent="0.2">
      <c r="A2223" s="1">
        <v>44882</v>
      </c>
      <c r="B2223">
        <v>234.54859924316401</v>
      </c>
      <c r="C2223">
        <v>241.67999267578099</v>
      </c>
      <c r="D2223">
        <v>243.25</v>
      </c>
      <c r="E2223">
        <v>237.63000488281199</v>
      </c>
      <c r="F2223">
        <v>237.77999877929599</v>
      </c>
      <c r="G2223" s="2">
        <v>23123500</v>
      </c>
      <c r="H2223" s="3">
        <f t="shared" si="34"/>
        <v>-2.0683522783448982E-4</v>
      </c>
      <c r="J2223" s="3">
        <v>7.1102837335670355E-3</v>
      </c>
      <c r="K2223" s="3">
        <v>0.69852247720842497</v>
      </c>
    </row>
    <row r="2224" spans="1:11" x14ac:dyDescent="0.2">
      <c r="A2224" s="1">
        <v>44883</v>
      </c>
      <c r="B2224">
        <v>234.10215759277301</v>
      </c>
      <c r="C2224">
        <v>241.22000122070301</v>
      </c>
      <c r="D2224">
        <v>243.74000549316401</v>
      </c>
      <c r="E2224">
        <v>239.02999877929599</v>
      </c>
      <c r="F2224">
        <v>243.509994506835</v>
      </c>
      <c r="G2224" s="2">
        <v>27613500</v>
      </c>
      <c r="H2224" s="3">
        <f t="shared" si="34"/>
        <v>-1.903407872959173E-3</v>
      </c>
      <c r="J2224" s="3">
        <v>7.1445029194103782E-3</v>
      </c>
      <c r="K2224" s="3">
        <v>0.69883684375982391</v>
      </c>
    </row>
    <row r="2225" spans="1:11" x14ac:dyDescent="0.2">
      <c r="A2225" s="1">
        <v>44886</v>
      </c>
      <c r="B2225">
        <v>234.90768432617099</v>
      </c>
      <c r="C2225">
        <v>242.05000305175699</v>
      </c>
      <c r="D2225">
        <v>244.669998168945</v>
      </c>
      <c r="E2225">
        <v>241.19000244140599</v>
      </c>
      <c r="F2225">
        <v>241.42999267578099</v>
      </c>
      <c r="G2225" s="2">
        <v>26394700</v>
      </c>
      <c r="H2225" s="3">
        <f t="shared" si="34"/>
        <v>3.4409197321418894E-3</v>
      </c>
      <c r="J2225" s="3">
        <v>7.1683504099224749E-3</v>
      </c>
      <c r="K2225" s="3">
        <v>0.69915121031122285</v>
      </c>
    </row>
    <row r="2226" spans="1:11" x14ac:dyDescent="0.2">
      <c r="A2226" s="1">
        <v>44887</v>
      </c>
      <c r="B2226">
        <v>237.79972839355401</v>
      </c>
      <c r="C2226">
        <v>245.02999877929599</v>
      </c>
      <c r="D2226">
        <v>245.30999755859301</v>
      </c>
      <c r="E2226">
        <v>240.71000671386699</v>
      </c>
      <c r="F2226">
        <v>243.58999633789</v>
      </c>
      <c r="G2226" s="2">
        <v>19665700</v>
      </c>
      <c r="H2226" s="3">
        <f t="shared" si="34"/>
        <v>1.2311406822125948E-2</v>
      </c>
      <c r="J2226" s="3">
        <v>7.2121036492431845E-3</v>
      </c>
      <c r="K2226" s="3">
        <v>0.69946557686262179</v>
      </c>
    </row>
    <row r="2227" spans="1:11" x14ac:dyDescent="0.2">
      <c r="A2227" s="1">
        <v>44888</v>
      </c>
      <c r="B2227">
        <v>240.27450561523401</v>
      </c>
      <c r="C2227">
        <v>247.58000183105401</v>
      </c>
      <c r="D2227">
        <v>248.27999877929599</v>
      </c>
      <c r="E2227">
        <v>244.27000427246</v>
      </c>
      <c r="F2227">
        <v>245.11000061035099</v>
      </c>
      <c r="G2227" s="2">
        <v>19508500</v>
      </c>
      <c r="H2227" s="3">
        <f t="shared" si="34"/>
        <v>1.0406980859054116E-2</v>
      </c>
      <c r="J2227" s="3">
        <v>7.2222055779207484E-3</v>
      </c>
      <c r="K2227" s="3">
        <v>0.69977994341402072</v>
      </c>
    </row>
    <row r="2228" spans="1:11" x14ac:dyDescent="0.2">
      <c r="A2228" s="1">
        <v>44890</v>
      </c>
      <c r="B2228">
        <v>240.18714904785099</v>
      </c>
      <c r="C2228">
        <v>247.49000549316401</v>
      </c>
      <c r="D2228">
        <v>248.69999694824199</v>
      </c>
      <c r="E2228">
        <v>246.72999572753901</v>
      </c>
      <c r="F2228">
        <v>247.30999755859301</v>
      </c>
      <c r="G2228" s="2">
        <v>9200800</v>
      </c>
      <c r="H2228" s="3">
        <f t="shared" si="34"/>
        <v>-3.6356985590013657E-4</v>
      </c>
      <c r="J2228" s="3">
        <v>7.2464730567471936E-3</v>
      </c>
      <c r="K2228" s="3">
        <v>0.70009430996541966</v>
      </c>
    </row>
    <row r="2229" spans="1:11" x14ac:dyDescent="0.2">
      <c r="A2229" s="1">
        <v>44893</v>
      </c>
      <c r="B2229">
        <v>234.626220703125</v>
      </c>
      <c r="C2229">
        <v>241.759994506835</v>
      </c>
      <c r="D2229">
        <v>246.64999389648401</v>
      </c>
      <c r="E2229">
        <v>240.80000305175699</v>
      </c>
      <c r="F2229">
        <v>246.08000183105401</v>
      </c>
      <c r="G2229" s="2">
        <v>24778200</v>
      </c>
      <c r="H2229" s="3">
        <f t="shared" si="34"/>
        <v>-2.3152480749992654E-2</v>
      </c>
      <c r="J2229" s="3">
        <v>7.2469769969703002E-3</v>
      </c>
      <c r="K2229" s="3">
        <v>0.7004086765168186</v>
      </c>
    </row>
    <row r="2230" spans="1:11" x14ac:dyDescent="0.2">
      <c r="A2230" s="1">
        <v>44894</v>
      </c>
      <c r="B2230">
        <v>233.23843383789</v>
      </c>
      <c r="C2230">
        <v>240.33000183105401</v>
      </c>
      <c r="D2230">
        <v>242.78999328613199</v>
      </c>
      <c r="E2230">
        <v>238.21000671386699</v>
      </c>
      <c r="F2230">
        <v>241.39999389648401</v>
      </c>
      <c r="G2230" s="2">
        <v>17956300</v>
      </c>
      <c r="H2230" s="3">
        <f t="shared" si="34"/>
        <v>-5.9148839421105937E-3</v>
      </c>
      <c r="J2230" s="3">
        <v>7.2507709788420804E-3</v>
      </c>
      <c r="K2230" s="3">
        <v>0.70072304306821753</v>
      </c>
    </row>
    <row r="2231" spans="1:11" x14ac:dyDescent="0.2">
      <c r="A2231" s="1">
        <v>44895</v>
      </c>
      <c r="B2231">
        <v>247.61141967773401</v>
      </c>
      <c r="C2231">
        <v>255.13999938964801</v>
      </c>
      <c r="D2231">
        <v>255.33000183105401</v>
      </c>
      <c r="E2231">
        <v>239.86000061035099</v>
      </c>
      <c r="F2231">
        <v>240.57000732421801</v>
      </c>
      <c r="G2231" s="2">
        <v>47594200</v>
      </c>
      <c r="H2231" s="3">
        <f t="shared" si="34"/>
        <v>6.1623573796734554E-2</v>
      </c>
      <c r="J2231" s="3">
        <v>7.2760526340611698E-3</v>
      </c>
      <c r="K2231" s="3">
        <v>0.70103740961961647</v>
      </c>
    </row>
    <row r="2232" spans="1:11" x14ac:dyDescent="0.2">
      <c r="A2232" s="1">
        <v>44896</v>
      </c>
      <c r="B2232">
        <v>247.174713134765</v>
      </c>
      <c r="C2232">
        <v>254.69000244140599</v>
      </c>
      <c r="D2232">
        <v>256.11999511718699</v>
      </c>
      <c r="E2232">
        <v>250.919998168945</v>
      </c>
      <c r="F2232">
        <v>253.86999511718699</v>
      </c>
      <c r="G2232" s="2">
        <v>26041500</v>
      </c>
      <c r="H2232" s="3">
        <f t="shared" si="34"/>
        <v>-1.763676907702294E-3</v>
      </c>
      <c r="J2232" s="3">
        <v>7.2902346218688407E-3</v>
      </c>
      <c r="K2232" s="3">
        <v>0.70135177617101541</v>
      </c>
    </row>
    <row r="2233" spans="1:11" x14ac:dyDescent="0.2">
      <c r="A2233" s="1">
        <v>44897</v>
      </c>
      <c r="B2233">
        <v>247.49499511718699</v>
      </c>
      <c r="C2233">
        <v>255.02000427246</v>
      </c>
      <c r="D2233">
        <v>256.05999755859301</v>
      </c>
      <c r="E2233">
        <v>249.69000244140599</v>
      </c>
      <c r="F2233">
        <v>249.82000732421801</v>
      </c>
      <c r="G2233" s="2">
        <v>21528500</v>
      </c>
      <c r="H2233" s="3">
        <f t="shared" si="34"/>
        <v>1.295771636022236E-3</v>
      </c>
      <c r="J2233" s="3">
        <v>7.3052978142003067E-3</v>
      </c>
      <c r="K2233" s="3">
        <v>0.70166614272241434</v>
      </c>
    </row>
    <row r="2234" spans="1:11" x14ac:dyDescent="0.2">
      <c r="A2234" s="1">
        <v>44900</v>
      </c>
      <c r="B2234">
        <v>242.81718444824199</v>
      </c>
      <c r="C2234">
        <v>250.19999694824199</v>
      </c>
      <c r="D2234">
        <v>253.82000732421801</v>
      </c>
      <c r="E2234">
        <v>248.05999755859301</v>
      </c>
      <c r="F2234">
        <v>252.009994506835</v>
      </c>
      <c r="G2234" s="2">
        <v>23435300</v>
      </c>
      <c r="H2234" s="3">
        <f t="shared" si="34"/>
        <v>-1.8900627330787456E-2</v>
      </c>
      <c r="J2234" s="3">
        <v>7.3123706263917843E-3</v>
      </c>
      <c r="K2234" s="3">
        <v>0.70198050927381328</v>
      </c>
    </row>
    <row r="2235" spans="1:11" x14ac:dyDescent="0.2">
      <c r="A2235" s="1">
        <v>44901</v>
      </c>
      <c r="B2235">
        <v>237.88708496093699</v>
      </c>
      <c r="C2235">
        <v>245.11999511718699</v>
      </c>
      <c r="D2235">
        <v>251.86000061035099</v>
      </c>
      <c r="E2235">
        <v>243.77999877929599</v>
      </c>
      <c r="F2235">
        <v>250.82000732421801</v>
      </c>
      <c r="G2235" s="2">
        <v>22463700</v>
      </c>
      <c r="H2235" s="3">
        <f t="shared" si="34"/>
        <v>-2.0303750323552139E-2</v>
      </c>
      <c r="J2235" s="3">
        <v>7.3263419043783085E-3</v>
      </c>
      <c r="K2235" s="3">
        <v>0.70229487582521222</v>
      </c>
    </row>
    <row r="2236" spans="1:11" x14ac:dyDescent="0.2">
      <c r="A2236" s="1">
        <v>44902</v>
      </c>
      <c r="B2236">
        <v>237.15921020507801</v>
      </c>
      <c r="C2236">
        <v>244.36999511718699</v>
      </c>
      <c r="D2236">
        <v>246.16000366210901</v>
      </c>
      <c r="E2236">
        <v>242.21000671386699</v>
      </c>
      <c r="F2236">
        <v>244.83000183105401</v>
      </c>
      <c r="G2236" s="2">
        <v>20481500</v>
      </c>
      <c r="H2236" s="3">
        <f t="shared" si="34"/>
        <v>-3.0597489392015786E-3</v>
      </c>
      <c r="J2236" s="3">
        <v>7.3268095451295423E-3</v>
      </c>
      <c r="K2236" s="3">
        <v>0.70260924237661115</v>
      </c>
    </row>
    <row r="2237" spans="1:11" x14ac:dyDescent="0.2">
      <c r="A2237" s="1">
        <v>44903</v>
      </c>
      <c r="B2237">
        <v>240.09980773925699</v>
      </c>
      <c r="C2237">
        <v>247.39999389648401</v>
      </c>
      <c r="D2237">
        <v>248.74000549316401</v>
      </c>
      <c r="E2237">
        <v>243.05999755859301</v>
      </c>
      <c r="F2237">
        <v>244.83999633789</v>
      </c>
      <c r="G2237" s="2">
        <v>22611800</v>
      </c>
      <c r="H2237" s="3">
        <f t="shared" si="34"/>
        <v>1.2399255047426339E-2</v>
      </c>
      <c r="J2237" s="3">
        <v>7.3370834113568595E-3</v>
      </c>
      <c r="K2237" s="3">
        <v>0.70292360892801009</v>
      </c>
    </row>
    <row r="2238" spans="1:11" x14ac:dyDescent="0.2">
      <c r="A2238" s="1">
        <v>44904</v>
      </c>
      <c r="B2238">
        <v>238.17820739746</v>
      </c>
      <c r="C2238">
        <v>245.419998168945</v>
      </c>
      <c r="D2238">
        <v>248.30999755859301</v>
      </c>
      <c r="E2238">
        <v>244.16000366210901</v>
      </c>
      <c r="F2238">
        <v>244.69999694824199</v>
      </c>
      <c r="G2238" s="2">
        <v>20609700</v>
      </c>
      <c r="H2238" s="3">
        <f t="shared" si="34"/>
        <v>-8.0033397772805159E-3</v>
      </c>
      <c r="J2238" s="3">
        <v>7.3428903635626153E-3</v>
      </c>
      <c r="K2238" s="3">
        <v>0.70323797547940903</v>
      </c>
    </row>
    <row r="2239" spans="1:11" x14ac:dyDescent="0.2">
      <c r="A2239" s="1">
        <v>44907</v>
      </c>
      <c r="B2239">
        <v>245.05902099609301</v>
      </c>
      <c r="C2239">
        <v>252.509994506835</v>
      </c>
      <c r="D2239">
        <v>252.53999328613199</v>
      </c>
      <c r="E2239">
        <v>247.169998168945</v>
      </c>
      <c r="F2239">
        <v>247.44999694824199</v>
      </c>
      <c r="G2239" s="2">
        <v>30665100</v>
      </c>
      <c r="H2239" s="3">
        <f t="shared" si="34"/>
        <v>2.8889350011567894E-2</v>
      </c>
      <c r="J2239" s="3">
        <v>7.3446419442442235E-3</v>
      </c>
      <c r="K2239" s="3">
        <v>0.70355234203080796</v>
      </c>
    </row>
    <row r="2240" spans="1:11" x14ac:dyDescent="0.2">
      <c r="A2240" s="1">
        <v>44908</v>
      </c>
      <c r="B2240">
        <v>249.33889770507801</v>
      </c>
      <c r="C2240">
        <v>256.92001342773398</v>
      </c>
      <c r="D2240">
        <v>263.92001342773398</v>
      </c>
      <c r="E2240">
        <v>253.07000732421801</v>
      </c>
      <c r="F2240">
        <v>261.69000244140602</v>
      </c>
      <c r="G2240" s="2">
        <v>42196900</v>
      </c>
      <c r="H2240" s="3">
        <f t="shared" si="34"/>
        <v>1.7464677250356164E-2</v>
      </c>
      <c r="J2240" s="3">
        <v>7.3460662498543439E-3</v>
      </c>
      <c r="K2240" s="3">
        <v>0.7038667085822069</v>
      </c>
    </row>
    <row r="2241" spans="1:11" x14ac:dyDescent="0.2">
      <c r="A2241" s="1">
        <v>44909</v>
      </c>
      <c r="B2241">
        <v>249.63005065917901</v>
      </c>
      <c r="C2241">
        <v>257.22000122070301</v>
      </c>
      <c r="D2241">
        <v>262.58999633789</v>
      </c>
      <c r="E2241">
        <v>254.30999755859301</v>
      </c>
      <c r="F2241">
        <v>257.13000488281199</v>
      </c>
      <c r="G2241" s="2">
        <v>35410900</v>
      </c>
      <c r="H2241" s="3">
        <f t="shared" si="34"/>
        <v>1.1676996921892169E-3</v>
      </c>
      <c r="J2241" s="3">
        <v>7.3528080256899386E-3</v>
      </c>
      <c r="K2241" s="3">
        <v>0.70418107513360584</v>
      </c>
    </row>
    <row r="2242" spans="1:11" x14ac:dyDescent="0.2">
      <c r="A2242" s="1">
        <v>44910</v>
      </c>
      <c r="B2242">
        <v>241.66230773925699</v>
      </c>
      <c r="C2242">
        <v>249.009994506835</v>
      </c>
      <c r="D2242">
        <v>254.19999694824199</v>
      </c>
      <c r="E2242">
        <v>247.33999633789</v>
      </c>
      <c r="F2242">
        <v>253.72000122070301</v>
      </c>
      <c r="G2242" s="2">
        <v>35560400</v>
      </c>
      <c r="H2242" s="3">
        <f t="shared" ref="H2242:H2305" si="35">B2242/B2241-1</f>
        <v>-3.1918204154036012E-2</v>
      </c>
      <c r="J2242" s="3">
        <v>7.3564646375023912E-3</v>
      </c>
      <c r="K2242" s="3">
        <v>0.70449544168500466</v>
      </c>
    </row>
    <row r="2243" spans="1:11" x14ac:dyDescent="0.2">
      <c r="A2243" s="1">
        <v>44911</v>
      </c>
      <c r="B2243">
        <v>237.46978759765599</v>
      </c>
      <c r="C2243">
        <v>244.69000244140599</v>
      </c>
      <c r="D2243">
        <v>249.83999633789</v>
      </c>
      <c r="E2243">
        <v>243.509994506835</v>
      </c>
      <c r="F2243">
        <v>248.55000305175699</v>
      </c>
      <c r="G2243" s="2">
        <v>86102000</v>
      </c>
      <c r="H2243" s="3">
        <f t="shared" si="35"/>
        <v>-1.7348672123600473E-2</v>
      </c>
      <c r="J2243" s="3">
        <v>7.3626483179822788E-3</v>
      </c>
      <c r="K2243" s="3">
        <v>0.7048098082364036</v>
      </c>
    </row>
    <row r="2244" spans="1:11" x14ac:dyDescent="0.2">
      <c r="A2244" s="1">
        <v>44914</v>
      </c>
      <c r="B2244">
        <v>233.35485839843699</v>
      </c>
      <c r="C2244">
        <v>240.44999694824199</v>
      </c>
      <c r="D2244">
        <v>245.21000671386699</v>
      </c>
      <c r="E2244">
        <v>238.71000671386699</v>
      </c>
      <c r="F2244">
        <v>244.86000061035099</v>
      </c>
      <c r="G2244" s="2">
        <v>29696400</v>
      </c>
      <c r="H2244" s="3">
        <f t="shared" si="35"/>
        <v>-1.7328222006038563E-2</v>
      </c>
      <c r="J2244" s="3">
        <v>7.3678664527858651E-3</v>
      </c>
      <c r="K2244" s="3">
        <v>0.70512417478780254</v>
      </c>
    </row>
    <row r="2245" spans="1:11" x14ac:dyDescent="0.2">
      <c r="A2245" s="1">
        <v>44915</v>
      </c>
      <c r="B2245">
        <v>234.6650390625</v>
      </c>
      <c r="C2245">
        <v>241.80000305175699</v>
      </c>
      <c r="D2245">
        <v>242.91000366210901</v>
      </c>
      <c r="E2245">
        <v>238.419998168945</v>
      </c>
      <c r="F2245">
        <v>239.39999389648401</v>
      </c>
      <c r="G2245" s="2">
        <v>25150800</v>
      </c>
      <c r="H2245" s="3">
        <f t="shared" si="35"/>
        <v>5.6145420457711648E-3</v>
      </c>
      <c r="J2245" s="3">
        <v>7.372601925857758E-3</v>
      </c>
      <c r="K2245" s="3">
        <v>0.70543854133920147</v>
      </c>
    </row>
    <row r="2246" spans="1:11" x14ac:dyDescent="0.2">
      <c r="A2246" s="1">
        <v>44916</v>
      </c>
      <c r="B2246">
        <v>237.21742248535099</v>
      </c>
      <c r="C2246">
        <v>244.42999267578099</v>
      </c>
      <c r="D2246">
        <v>245.61999511718699</v>
      </c>
      <c r="E2246">
        <v>240.11000061035099</v>
      </c>
      <c r="F2246">
        <v>241.69000244140599</v>
      </c>
      <c r="G2246" s="2">
        <v>23690600</v>
      </c>
      <c r="H2246" s="3">
        <f t="shared" si="35"/>
        <v>1.0876709343018875E-2</v>
      </c>
      <c r="J2246" s="3">
        <v>7.4004544581456333E-3</v>
      </c>
      <c r="K2246" s="3">
        <v>0.70575290789060041</v>
      </c>
    </row>
    <row r="2247" spans="1:11" x14ac:dyDescent="0.2">
      <c r="A2247" s="1">
        <v>44917</v>
      </c>
      <c r="B2247">
        <v>231.16157531738199</v>
      </c>
      <c r="C2247">
        <v>238.19000244140599</v>
      </c>
      <c r="D2247">
        <v>241.99000549316401</v>
      </c>
      <c r="E2247">
        <v>233.86999511718699</v>
      </c>
      <c r="F2247">
        <v>241.259994506835</v>
      </c>
      <c r="G2247" s="2">
        <v>28651700</v>
      </c>
      <c r="H2247" s="3">
        <f t="shared" si="35"/>
        <v>-2.5528677887658002E-2</v>
      </c>
      <c r="J2247" s="3">
        <v>7.4057383557004641E-3</v>
      </c>
      <c r="K2247" s="3">
        <v>0.70606727444199935</v>
      </c>
    </row>
    <row r="2248" spans="1:11" x14ac:dyDescent="0.2">
      <c r="A2248" s="1">
        <v>44918</v>
      </c>
      <c r="B2248">
        <v>231.685623168945</v>
      </c>
      <c r="C2248">
        <v>238.72999572753901</v>
      </c>
      <c r="D2248">
        <v>238.86999511718699</v>
      </c>
      <c r="E2248">
        <v>233.94000244140599</v>
      </c>
      <c r="F2248">
        <v>236.11000061035099</v>
      </c>
      <c r="G2248" s="2">
        <v>21207000</v>
      </c>
      <c r="H2248" s="3">
        <f t="shared" si="35"/>
        <v>2.2670197278398252E-3</v>
      </c>
      <c r="J2248" s="3">
        <v>7.4075645789390965E-3</v>
      </c>
      <c r="K2248" s="3">
        <v>0.70638164099339829</v>
      </c>
    </row>
    <row r="2249" spans="1:11" x14ac:dyDescent="0.2">
      <c r="A2249" s="1">
        <v>44922</v>
      </c>
      <c r="B2249">
        <v>229.96786499023401</v>
      </c>
      <c r="C2249">
        <v>236.96000671386699</v>
      </c>
      <c r="D2249">
        <v>238.92999267578099</v>
      </c>
      <c r="E2249">
        <v>235.83000183105401</v>
      </c>
      <c r="F2249">
        <v>238.69999694824199</v>
      </c>
      <c r="G2249" s="2">
        <v>16688600</v>
      </c>
      <c r="H2249" s="3">
        <f t="shared" si="35"/>
        <v>-7.4141768281340559E-3</v>
      </c>
      <c r="J2249" s="3">
        <v>7.4121457192839468E-3</v>
      </c>
      <c r="K2249" s="3">
        <v>0.70669600754479722</v>
      </c>
    </row>
    <row r="2250" spans="1:11" x14ac:dyDescent="0.2">
      <c r="A2250" s="1">
        <v>44923</v>
      </c>
      <c r="B2250">
        <v>227.60957336425699</v>
      </c>
      <c r="C2250">
        <v>234.52999877929599</v>
      </c>
      <c r="D2250">
        <v>239.72000122070301</v>
      </c>
      <c r="E2250">
        <v>234.169998168945</v>
      </c>
      <c r="F2250">
        <v>236.88999938964801</v>
      </c>
      <c r="G2250" s="2">
        <v>17457100</v>
      </c>
      <c r="H2250" s="3">
        <f t="shared" si="35"/>
        <v>-1.0254874636841826E-2</v>
      </c>
      <c r="J2250" s="3">
        <v>7.4226016164322672E-3</v>
      </c>
      <c r="K2250" s="3">
        <v>0.70701037409619616</v>
      </c>
    </row>
    <row r="2251" spans="1:11" x14ac:dyDescent="0.2">
      <c r="A2251" s="1">
        <v>44924</v>
      </c>
      <c r="B2251">
        <v>233.89830017089801</v>
      </c>
      <c r="C2251">
        <v>241.009994506835</v>
      </c>
      <c r="D2251">
        <v>241.919998168945</v>
      </c>
      <c r="E2251">
        <v>235.64999389648401</v>
      </c>
      <c r="F2251">
        <v>235.64999389648401</v>
      </c>
      <c r="G2251" s="2">
        <v>19770700</v>
      </c>
      <c r="H2251" s="3">
        <f t="shared" si="35"/>
        <v>2.7629447714735633E-2</v>
      </c>
      <c r="J2251" s="3">
        <v>7.4344143826154951E-3</v>
      </c>
      <c r="K2251" s="3">
        <v>0.7073247406475951</v>
      </c>
    </row>
    <row r="2252" spans="1:11" x14ac:dyDescent="0.2">
      <c r="A2252" s="1">
        <v>44925</v>
      </c>
      <c r="B2252">
        <v>232.74349975585901</v>
      </c>
      <c r="C2252">
        <v>239.82000732421801</v>
      </c>
      <c r="D2252">
        <v>239.96000671386699</v>
      </c>
      <c r="E2252">
        <v>236.66000366210901</v>
      </c>
      <c r="F2252">
        <v>238.21000671386699</v>
      </c>
      <c r="G2252" s="2">
        <v>21938500</v>
      </c>
      <c r="H2252" s="3">
        <f t="shared" si="35"/>
        <v>-4.9371902839621118E-3</v>
      </c>
      <c r="J2252" s="3">
        <v>7.4375445172771837E-3</v>
      </c>
      <c r="K2252" s="3">
        <v>0.70763910719899403</v>
      </c>
    </row>
    <row r="2253" spans="1:11" x14ac:dyDescent="0.2">
      <c r="A2253" s="1">
        <v>44929</v>
      </c>
      <c r="B2253">
        <v>232.51055908203099</v>
      </c>
      <c r="C2253">
        <v>239.58000183105401</v>
      </c>
      <c r="D2253">
        <v>245.75</v>
      </c>
      <c r="E2253">
        <v>237.39999389648401</v>
      </c>
      <c r="F2253">
        <v>243.08000183105401</v>
      </c>
      <c r="G2253" s="2">
        <v>25740000</v>
      </c>
      <c r="H2253" s="3">
        <f t="shared" si="35"/>
        <v>-1.0008471732716462E-3</v>
      </c>
      <c r="J2253" s="3">
        <v>7.4468212513105758E-3</v>
      </c>
      <c r="K2253" s="3">
        <v>0.70795347375039297</v>
      </c>
    </row>
    <row r="2254" spans="1:11" x14ac:dyDescent="0.2">
      <c r="A2254" s="1">
        <v>44930</v>
      </c>
      <c r="B2254">
        <v>222.33979797363199</v>
      </c>
      <c r="C2254">
        <v>229.100006103515</v>
      </c>
      <c r="D2254">
        <v>232.86999511718699</v>
      </c>
      <c r="E2254">
        <v>225.96000671386699</v>
      </c>
      <c r="F2254">
        <v>232.27999877929599</v>
      </c>
      <c r="G2254" s="2">
        <v>50623400</v>
      </c>
      <c r="H2254" s="3">
        <f t="shared" si="35"/>
        <v>-4.3743222452149788E-2</v>
      </c>
      <c r="J2254" s="3">
        <v>7.4868471230518097E-3</v>
      </c>
      <c r="K2254" s="3">
        <v>0.70826784030179191</v>
      </c>
    </row>
    <row r="2255" spans="1:11" x14ac:dyDescent="0.2">
      <c r="A2255" s="1">
        <v>44931</v>
      </c>
      <c r="B2255">
        <v>215.75012207031199</v>
      </c>
      <c r="C2255">
        <v>222.30999755859301</v>
      </c>
      <c r="D2255">
        <v>227.55000305175699</v>
      </c>
      <c r="E2255">
        <v>221.759994506835</v>
      </c>
      <c r="F2255">
        <v>227.19999694824199</v>
      </c>
      <c r="G2255" s="2">
        <v>39585600</v>
      </c>
      <c r="H2255" s="3">
        <f t="shared" si="35"/>
        <v>-2.9637860443236907E-2</v>
      </c>
      <c r="J2255" s="3">
        <v>7.5294088848172347E-3</v>
      </c>
      <c r="K2255" s="3">
        <v>0.70858220685319084</v>
      </c>
    </row>
    <row r="2256" spans="1:11" x14ac:dyDescent="0.2">
      <c r="A2256" s="1">
        <v>44932</v>
      </c>
      <c r="B2256">
        <v>218.29284667968699</v>
      </c>
      <c r="C2256">
        <v>224.92999267578099</v>
      </c>
      <c r="D2256">
        <v>225.759994506835</v>
      </c>
      <c r="E2256">
        <v>219.350006103515</v>
      </c>
      <c r="F2256">
        <v>223</v>
      </c>
      <c r="G2256" s="2">
        <v>43613600</v>
      </c>
      <c r="H2256" s="3">
        <f t="shared" si="35"/>
        <v>1.178550716437754E-2</v>
      </c>
      <c r="J2256" s="3">
        <v>7.6169253315740981E-3</v>
      </c>
      <c r="K2256" s="3">
        <v>0.70889657340458978</v>
      </c>
    </row>
    <row r="2257" spans="1:11" x14ac:dyDescent="0.2">
      <c r="A2257" s="1">
        <v>44935</v>
      </c>
      <c r="B2257">
        <v>220.41824340820301</v>
      </c>
      <c r="C2257">
        <v>227.11999511718699</v>
      </c>
      <c r="D2257">
        <v>231.24000549316401</v>
      </c>
      <c r="E2257">
        <v>226.41000366210901</v>
      </c>
      <c r="F2257">
        <v>226.44999694824199</v>
      </c>
      <c r="G2257" s="2">
        <v>27369800</v>
      </c>
      <c r="H2257" s="3">
        <f t="shared" si="35"/>
        <v>9.7364469832341705E-3</v>
      </c>
      <c r="J2257" s="3">
        <v>7.6208914506974423E-3</v>
      </c>
      <c r="K2257" s="3">
        <v>0.70921093995598872</v>
      </c>
    </row>
    <row r="2258" spans="1:11" x14ac:dyDescent="0.2">
      <c r="A2258" s="1">
        <v>44936</v>
      </c>
      <c r="B2258">
        <v>222.09715270996</v>
      </c>
      <c r="C2258">
        <v>228.850006103515</v>
      </c>
      <c r="D2258">
        <v>231.30999755859301</v>
      </c>
      <c r="E2258">
        <v>227.33000183105401</v>
      </c>
      <c r="F2258">
        <v>227.759994506835</v>
      </c>
      <c r="G2258" s="2">
        <v>27033900</v>
      </c>
      <c r="H2258" s="3">
        <f t="shared" si="35"/>
        <v>7.6169253315740981E-3</v>
      </c>
      <c r="J2258" s="3">
        <v>7.6291204837233284E-3</v>
      </c>
      <c r="K2258" s="3">
        <v>0.70952530650738765</v>
      </c>
    </row>
    <row r="2259" spans="1:11" x14ac:dyDescent="0.2">
      <c r="A2259" s="1">
        <v>44937</v>
      </c>
      <c r="B2259">
        <v>228.81298828125</v>
      </c>
      <c r="C2259">
        <v>235.77000427246</v>
      </c>
      <c r="D2259">
        <v>235.94999694824199</v>
      </c>
      <c r="E2259">
        <v>231.11000061035099</v>
      </c>
      <c r="F2259">
        <v>231.28999328613199</v>
      </c>
      <c r="G2259" s="2">
        <v>28669300</v>
      </c>
      <c r="H2259" s="3">
        <f t="shared" si="35"/>
        <v>3.0238278561185883E-2</v>
      </c>
      <c r="J2259" s="3">
        <v>7.6398814376561486E-3</v>
      </c>
      <c r="K2259" s="3">
        <v>0.70983967305878659</v>
      </c>
    </row>
    <row r="2260" spans="1:11" x14ac:dyDescent="0.2">
      <c r="A2260" s="1">
        <v>44938</v>
      </c>
      <c r="B2260">
        <v>231.47213745117099</v>
      </c>
      <c r="C2260">
        <v>238.509994506835</v>
      </c>
      <c r="D2260">
        <v>239.89999389648401</v>
      </c>
      <c r="E2260">
        <v>233.55999755859301</v>
      </c>
      <c r="F2260">
        <v>235.259994506835</v>
      </c>
      <c r="G2260" s="2">
        <v>27269500</v>
      </c>
      <c r="H2260" s="3">
        <f t="shared" si="35"/>
        <v>1.1621495745916421E-2</v>
      </c>
      <c r="J2260" s="3">
        <v>7.6451680222373586E-3</v>
      </c>
      <c r="K2260" s="3">
        <v>0.71015403961018553</v>
      </c>
    </row>
    <row r="2261" spans="1:11" x14ac:dyDescent="0.2">
      <c r="A2261" s="1">
        <v>44939</v>
      </c>
      <c r="B2261">
        <v>232.1708984375</v>
      </c>
      <c r="C2261">
        <v>239.22999572753901</v>
      </c>
      <c r="D2261">
        <v>239.36999511718699</v>
      </c>
      <c r="E2261">
        <v>234.919998168945</v>
      </c>
      <c r="F2261">
        <v>237</v>
      </c>
      <c r="G2261" s="2">
        <v>21333300</v>
      </c>
      <c r="H2261" s="3">
        <f t="shared" si="35"/>
        <v>3.0187693172203378E-3</v>
      </c>
      <c r="J2261" s="3">
        <v>7.6729222195173197E-3</v>
      </c>
      <c r="K2261" s="3">
        <v>0.71046840616158435</v>
      </c>
    </row>
    <row r="2262" spans="1:11" x14ac:dyDescent="0.2">
      <c r="A2262" s="1">
        <v>44943</v>
      </c>
      <c r="B2262">
        <v>233.25782775878901</v>
      </c>
      <c r="C2262">
        <v>240.350006103515</v>
      </c>
      <c r="D2262">
        <v>240.91000366210901</v>
      </c>
      <c r="E2262">
        <v>237.08999633789</v>
      </c>
      <c r="F2262">
        <v>237.97000122070301</v>
      </c>
      <c r="G2262" s="2">
        <v>29831300</v>
      </c>
      <c r="H2262" s="3">
        <f t="shared" si="35"/>
        <v>4.6815915715707757E-3</v>
      </c>
      <c r="J2262" s="3">
        <v>7.6896845669207625E-3</v>
      </c>
      <c r="K2262" s="3">
        <v>0.71078277271298329</v>
      </c>
    </row>
    <row r="2263" spans="1:11" x14ac:dyDescent="0.2">
      <c r="A2263" s="1">
        <v>44944</v>
      </c>
      <c r="B2263">
        <v>228.85177612304599</v>
      </c>
      <c r="C2263">
        <v>235.80999755859301</v>
      </c>
      <c r="D2263">
        <v>242.38000488281199</v>
      </c>
      <c r="E2263">
        <v>235.52000427246</v>
      </c>
      <c r="F2263">
        <v>241.57000732421801</v>
      </c>
      <c r="G2263" s="2">
        <v>30028700</v>
      </c>
      <c r="H2263" s="3">
        <f t="shared" si="35"/>
        <v>-1.8889190892660168E-2</v>
      </c>
      <c r="J2263" s="3">
        <v>7.6957688999028662E-3</v>
      </c>
      <c r="K2263" s="3">
        <v>0.71109713926438223</v>
      </c>
    </row>
    <row r="2264" spans="1:11" x14ac:dyDescent="0.2">
      <c r="A2264" s="1">
        <v>44945</v>
      </c>
      <c r="B2264">
        <v>225.08628845214801</v>
      </c>
      <c r="C2264">
        <v>231.92999267578099</v>
      </c>
      <c r="D2264">
        <v>235.52000427246</v>
      </c>
      <c r="E2264">
        <v>230.67999267578099</v>
      </c>
      <c r="F2264">
        <v>233.77999877929599</v>
      </c>
      <c r="G2264" s="2">
        <v>28623000</v>
      </c>
      <c r="H2264" s="3">
        <f t="shared" si="35"/>
        <v>-1.6453827602689874E-2</v>
      </c>
      <c r="J2264" s="3">
        <v>7.715220254359334E-3</v>
      </c>
      <c r="K2264" s="3">
        <v>0.71141150581578116</v>
      </c>
    </row>
    <row r="2265" spans="1:11" x14ac:dyDescent="0.2">
      <c r="A2265" s="1">
        <v>44946</v>
      </c>
      <c r="B2265">
        <v>233.13165283203099</v>
      </c>
      <c r="C2265">
        <v>240.22000122070301</v>
      </c>
      <c r="D2265">
        <v>240.74000549316401</v>
      </c>
      <c r="E2265">
        <v>234.509994506835</v>
      </c>
      <c r="F2265">
        <v>234.86000061035099</v>
      </c>
      <c r="G2265" s="2">
        <v>35389800</v>
      </c>
      <c r="H2265" s="3">
        <f t="shared" si="35"/>
        <v>3.574346725075328E-2</v>
      </c>
      <c r="J2265" s="3">
        <v>7.745096029831533E-3</v>
      </c>
      <c r="K2265" s="3">
        <v>0.7117258723671801</v>
      </c>
    </row>
    <row r="2266" spans="1:11" x14ac:dyDescent="0.2">
      <c r="A2266" s="1">
        <v>44949</v>
      </c>
      <c r="B2266">
        <v>235.42204284667901</v>
      </c>
      <c r="C2266">
        <v>242.58000183105401</v>
      </c>
      <c r="D2266">
        <v>245.169998168945</v>
      </c>
      <c r="E2266">
        <v>239.64999389648401</v>
      </c>
      <c r="F2266">
        <v>241.100006103515</v>
      </c>
      <c r="G2266" s="2">
        <v>31934000</v>
      </c>
      <c r="H2266" s="3">
        <f t="shared" si="35"/>
        <v>9.8244489189900364E-3</v>
      </c>
      <c r="J2266" s="3">
        <v>7.7526915294776622E-3</v>
      </c>
      <c r="K2266" s="3">
        <v>0.71204023891857904</v>
      </c>
    </row>
    <row r="2267" spans="1:11" x14ac:dyDescent="0.2">
      <c r="A2267" s="1">
        <v>44950</v>
      </c>
      <c r="B2267">
        <v>234.89796447753901</v>
      </c>
      <c r="C2267">
        <v>242.03999328613199</v>
      </c>
      <c r="D2267">
        <v>243.94999694824199</v>
      </c>
      <c r="E2267">
        <v>240.44000244140599</v>
      </c>
      <c r="F2267">
        <v>242.5</v>
      </c>
      <c r="G2267" s="2">
        <v>40234400</v>
      </c>
      <c r="H2267" s="3">
        <f t="shared" si="35"/>
        <v>-2.2261227657484062E-3</v>
      </c>
      <c r="J2267" s="3">
        <v>7.7552428481906244E-3</v>
      </c>
      <c r="K2267" s="3">
        <v>0.71235460546997798</v>
      </c>
    </row>
    <row r="2268" spans="1:11" x14ac:dyDescent="0.2">
      <c r="A2268" s="1">
        <v>44951</v>
      </c>
      <c r="B2268">
        <v>233.510162353515</v>
      </c>
      <c r="C2268">
        <v>240.61000061035099</v>
      </c>
      <c r="D2268">
        <v>243.30000305175699</v>
      </c>
      <c r="E2268">
        <v>230.89999389648401</v>
      </c>
      <c r="F2268">
        <v>234.47999572753901</v>
      </c>
      <c r="G2268" s="2">
        <v>66526600</v>
      </c>
      <c r="H2268" s="3">
        <f t="shared" si="35"/>
        <v>-5.9081062158659048E-3</v>
      </c>
      <c r="J2268" s="3">
        <v>7.7574535461002458E-3</v>
      </c>
      <c r="K2268" s="3">
        <v>0.71266897202137691</v>
      </c>
    </row>
    <row r="2269" spans="1:11" x14ac:dyDescent="0.2">
      <c r="A2269" s="1">
        <v>44952</v>
      </c>
      <c r="B2269">
        <v>240.68211364746</v>
      </c>
      <c r="C2269">
        <v>248</v>
      </c>
      <c r="D2269">
        <v>248.30999755859301</v>
      </c>
      <c r="E2269">
        <v>242</v>
      </c>
      <c r="F2269">
        <v>243.64999389648401</v>
      </c>
      <c r="G2269" s="2">
        <v>33454500</v>
      </c>
      <c r="H2269" s="3">
        <f t="shared" si="35"/>
        <v>3.0713658119458032E-2</v>
      </c>
      <c r="J2269" s="3">
        <v>7.7750560432807703E-3</v>
      </c>
      <c r="K2269" s="3">
        <v>0.71298333857277585</v>
      </c>
    </row>
    <row r="2270" spans="1:11" x14ac:dyDescent="0.2">
      <c r="A2270" s="1">
        <v>44953</v>
      </c>
      <c r="B2270">
        <v>240.83737182617099</v>
      </c>
      <c r="C2270">
        <v>248.16000366210901</v>
      </c>
      <c r="D2270">
        <v>249.83000183105401</v>
      </c>
      <c r="E2270">
        <v>246.83000183105401</v>
      </c>
      <c r="F2270">
        <v>248.99000549316401</v>
      </c>
      <c r="G2270" s="2">
        <v>26498900</v>
      </c>
      <c r="H2270" s="3">
        <f t="shared" si="35"/>
        <v>6.4507568243477031E-4</v>
      </c>
      <c r="J2270" s="3">
        <v>7.7876770081803937E-3</v>
      </c>
      <c r="K2270" s="3">
        <v>0.71329770512417479</v>
      </c>
    </row>
    <row r="2271" spans="1:11" x14ac:dyDescent="0.2">
      <c r="A2271" s="1">
        <v>44956</v>
      </c>
      <c r="B2271">
        <v>235.54818725585901</v>
      </c>
      <c r="C2271">
        <v>242.71000671386699</v>
      </c>
      <c r="D2271">
        <v>245.600006103515</v>
      </c>
      <c r="E2271">
        <v>242.19999694824199</v>
      </c>
      <c r="F2271">
        <v>244.509994506835</v>
      </c>
      <c r="G2271" s="2">
        <v>25867400</v>
      </c>
      <c r="H2271" s="3">
        <f t="shared" si="35"/>
        <v>-2.1961643785622931E-2</v>
      </c>
      <c r="J2271" s="3">
        <v>7.795194366050584E-3</v>
      </c>
      <c r="K2271" s="3">
        <v>0.71361207167557372</v>
      </c>
    </row>
    <row r="2272" spans="1:11" x14ac:dyDescent="0.2">
      <c r="A2272" s="1">
        <v>44957</v>
      </c>
      <c r="B2272">
        <v>240.49769592285099</v>
      </c>
      <c r="C2272">
        <v>247.80999755859301</v>
      </c>
      <c r="D2272">
        <v>247.94999694824199</v>
      </c>
      <c r="E2272">
        <v>242.94999694824199</v>
      </c>
      <c r="F2272">
        <v>243.44999694824199</v>
      </c>
      <c r="G2272" s="2">
        <v>26541100</v>
      </c>
      <c r="H2272" s="3">
        <f t="shared" si="35"/>
        <v>2.1012722384552651E-2</v>
      </c>
      <c r="J2272" s="3">
        <v>7.8094854553998339E-3</v>
      </c>
      <c r="K2272" s="3">
        <v>0.71392643822697266</v>
      </c>
    </row>
    <row r="2273" spans="1:11" x14ac:dyDescent="0.2">
      <c r="A2273" s="1">
        <v>44958</v>
      </c>
      <c r="B2273">
        <v>245.29191589355401</v>
      </c>
      <c r="C2273">
        <v>252.75</v>
      </c>
      <c r="D2273">
        <v>255.17999267578099</v>
      </c>
      <c r="E2273">
        <v>245.47000122070301</v>
      </c>
      <c r="F2273">
        <v>248</v>
      </c>
      <c r="G2273" s="2">
        <v>31259900</v>
      </c>
      <c r="H2273" s="3">
        <f t="shared" si="35"/>
        <v>1.9934577553046173E-2</v>
      </c>
      <c r="J2273" s="3">
        <v>7.8224022185418018E-3</v>
      </c>
      <c r="K2273" s="3">
        <v>0.7142408047783716</v>
      </c>
    </row>
    <row r="2274" spans="1:11" x14ac:dyDescent="0.2">
      <c r="A2274" s="1">
        <v>44959</v>
      </c>
      <c r="B2274">
        <v>256.79232788085898</v>
      </c>
      <c r="C2274">
        <v>264.600006103515</v>
      </c>
      <c r="D2274">
        <v>264.69000244140602</v>
      </c>
      <c r="E2274">
        <v>257.25</v>
      </c>
      <c r="F2274">
        <v>258.82000732421801</v>
      </c>
      <c r="G2274" s="2">
        <v>39940400</v>
      </c>
      <c r="H2274" s="3">
        <f t="shared" si="35"/>
        <v>4.6884594404226654E-2</v>
      </c>
      <c r="J2274" s="3">
        <v>7.8258029777260596E-3</v>
      </c>
      <c r="K2274" s="3">
        <v>0.71455517132977053</v>
      </c>
    </row>
    <row r="2275" spans="1:11" x14ac:dyDescent="0.2">
      <c r="A2275" s="1">
        <v>44960</v>
      </c>
      <c r="B2275">
        <v>250.72669982910099</v>
      </c>
      <c r="C2275">
        <v>258.350006103515</v>
      </c>
      <c r="D2275">
        <v>264.20001220703102</v>
      </c>
      <c r="E2275">
        <v>257.100006103515</v>
      </c>
      <c r="F2275">
        <v>259.54000854492102</v>
      </c>
      <c r="G2275" s="2">
        <v>29077300</v>
      </c>
      <c r="H2275" s="3">
        <f t="shared" si="35"/>
        <v>-2.3620752620663099E-2</v>
      </c>
      <c r="J2275" s="3">
        <v>7.8272594230761605E-3</v>
      </c>
      <c r="K2275" s="3">
        <v>0.71486953788116947</v>
      </c>
    </row>
    <row r="2276" spans="1:11" x14ac:dyDescent="0.2">
      <c r="A2276" s="1">
        <v>44963</v>
      </c>
      <c r="B2276">
        <v>249.19331359863199</v>
      </c>
      <c r="C2276">
        <v>256.76998901367102</v>
      </c>
      <c r="D2276">
        <v>258.29998779296801</v>
      </c>
      <c r="E2276">
        <v>254.77999877929599</v>
      </c>
      <c r="F2276">
        <v>257.44000244140602</v>
      </c>
      <c r="G2276" s="2">
        <v>22518000</v>
      </c>
      <c r="H2276" s="3">
        <f t="shared" si="35"/>
        <v>-6.1157676127600036E-3</v>
      </c>
      <c r="J2276" s="3">
        <v>7.8321480577525637E-3</v>
      </c>
      <c r="K2276" s="3">
        <v>0.71518390443256841</v>
      </c>
    </row>
    <row r="2277" spans="1:11" x14ac:dyDescent="0.2">
      <c r="A2277" s="1">
        <v>44964</v>
      </c>
      <c r="B2277">
        <v>259.66491699218699</v>
      </c>
      <c r="C2277">
        <v>267.55999755859301</v>
      </c>
      <c r="D2277">
        <v>268.76998901367102</v>
      </c>
      <c r="E2277">
        <v>260.079986572265</v>
      </c>
      <c r="F2277">
        <v>260.52999877929602</v>
      </c>
      <c r="G2277" s="2">
        <v>50841400</v>
      </c>
      <c r="H2277" s="3">
        <f t="shared" si="35"/>
        <v>4.2022007903555814E-2</v>
      </c>
      <c r="J2277" s="3">
        <v>7.8537733684265199E-3</v>
      </c>
      <c r="K2277" s="3">
        <v>0.71549827098396734</v>
      </c>
    </row>
    <row r="2278" spans="1:11" x14ac:dyDescent="0.2">
      <c r="A2278" s="1">
        <v>44965</v>
      </c>
      <c r="B2278">
        <v>258.85946655273398</v>
      </c>
      <c r="C2278">
        <v>266.73001098632801</v>
      </c>
      <c r="D2278">
        <v>276.760009765625</v>
      </c>
      <c r="E2278">
        <v>266.20999145507801</v>
      </c>
      <c r="F2278">
        <v>273.20001220703102</v>
      </c>
      <c r="G2278" s="2">
        <v>54686000</v>
      </c>
      <c r="H2278" s="3">
        <f t="shared" si="35"/>
        <v>-3.1018839540700727E-3</v>
      </c>
      <c r="J2278" s="3">
        <v>7.8558572088818224E-3</v>
      </c>
      <c r="K2278" s="3">
        <v>0.71581263753536628</v>
      </c>
    </row>
    <row r="2279" spans="1:11" x14ac:dyDescent="0.2">
      <c r="A2279" s="1">
        <v>44966</v>
      </c>
      <c r="B2279">
        <v>255.841217041015</v>
      </c>
      <c r="C2279">
        <v>263.61999511718699</v>
      </c>
      <c r="D2279">
        <v>273.98001098632801</v>
      </c>
      <c r="E2279">
        <v>262.79998779296801</v>
      </c>
      <c r="F2279">
        <v>273.79998779296801</v>
      </c>
      <c r="G2279" s="2">
        <v>42375100</v>
      </c>
      <c r="H2279" s="3">
        <f t="shared" si="35"/>
        <v>-1.1659799627625755E-2</v>
      </c>
      <c r="J2279" s="3">
        <v>7.8786419018399556E-3</v>
      </c>
      <c r="K2279" s="3">
        <v>0.71612700408676522</v>
      </c>
    </row>
    <row r="2280" spans="1:11" x14ac:dyDescent="0.2">
      <c r="A2280" s="1">
        <v>44967</v>
      </c>
      <c r="B2280">
        <v>255.33659362792901</v>
      </c>
      <c r="C2280">
        <v>263.100006103515</v>
      </c>
      <c r="D2280">
        <v>264.08999633789</v>
      </c>
      <c r="E2280">
        <v>260.66000366210898</v>
      </c>
      <c r="F2280">
        <v>261.52999877929602</v>
      </c>
      <c r="G2280" s="2">
        <v>25818500</v>
      </c>
      <c r="H2280" s="3">
        <f t="shared" si="35"/>
        <v>-1.9724085857717455E-3</v>
      </c>
      <c r="J2280" s="3">
        <v>7.891985342163732E-3</v>
      </c>
      <c r="K2280" s="3">
        <v>0.71644137063816415</v>
      </c>
    </row>
    <row r="2281" spans="1:11" x14ac:dyDescent="0.2">
      <c r="A2281" s="1">
        <v>44970</v>
      </c>
      <c r="B2281">
        <v>263.31399536132801</v>
      </c>
      <c r="C2281">
        <v>271.32000732421801</v>
      </c>
      <c r="D2281">
        <v>274.600006103515</v>
      </c>
      <c r="E2281">
        <v>267.14999389648398</v>
      </c>
      <c r="F2281">
        <v>267.64001464843699</v>
      </c>
      <c r="G2281" s="2">
        <v>44630900</v>
      </c>
      <c r="H2281" s="3">
        <f t="shared" si="35"/>
        <v>3.1242688797765927E-2</v>
      </c>
      <c r="J2281" s="3">
        <v>7.8957875132625865E-3</v>
      </c>
      <c r="K2281" s="3">
        <v>0.71675573718956298</v>
      </c>
    </row>
    <row r="2282" spans="1:11" x14ac:dyDescent="0.2">
      <c r="A2282" s="1">
        <v>44971</v>
      </c>
      <c r="B2282">
        <v>264.138916015625</v>
      </c>
      <c r="C2282">
        <v>272.17001342773398</v>
      </c>
      <c r="D2282">
        <v>274.97000122070301</v>
      </c>
      <c r="E2282">
        <v>269.27999877929602</v>
      </c>
      <c r="F2282">
        <v>272.67001342773398</v>
      </c>
      <c r="G2282" s="2">
        <v>37047900</v>
      </c>
      <c r="H2282" s="3">
        <f t="shared" si="35"/>
        <v>3.1328401407795248E-3</v>
      </c>
      <c r="J2282" s="3">
        <v>7.899093590391093E-3</v>
      </c>
      <c r="K2282" s="3">
        <v>0.71707010374096192</v>
      </c>
    </row>
    <row r="2283" spans="1:11" x14ac:dyDescent="0.2">
      <c r="A2283" s="1">
        <v>44972</v>
      </c>
      <c r="B2283">
        <v>262.02770996093699</v>
      </c>
      <c r="C2283">
        <v>269.32000732421801</v>
      </c>
      <c r="D2283">
        <v>270.73001098632801</v>
      </c>
      <c r="E2283">
        <v>266.17999267578102</v>
      </c>
      <c r="F2283">
        <v>268.32000732421801</v>
      </c>
      <c r="G2283" s="2">
        <v>28922400</v>
      </c>
      <c r="H2283" s="3">
        <f t="shared" si="35"/>
        <v>-7.992786850700706E-3</v>
      </c>
      <c r="J2283" s="3">
        <v>7.9079511218445031E-3</v>
      </c>
      <c r="K2283" s="3">
        <v>0.71738447029236085</v>
      </c>
    </row>
    <row r="2284" spans="1:11" x14ac:dyDescent="0.2">
      <c r="A2284" s="1">
        <v>44973</v>
      </c>
      <c r="B2284">
        <v>255.05177307128901</v>
      </c>
      <c r="C2284">
        <v>262.14999389648398</v>
      </c>
      <c r="D2284">
        <v>266.739990234375</v>
      </c>
      <c r="E2284">
        <v>261.89999389648398</v>
      </c>
      <c r="F2284">
        <v>264.01998901367102</v>
      </c>
      <c r="G2284" s="2">
        <v>29603600</v>
      </c>
      <c r="H2284" s="3">
        <f t="shared" si="35"/>
        <v>-2.6622897596166317E-2</v>
      </c>
      <c r="J2284" s="3">
        <v>7.9194171878937958E-3</v>
      </c>
      <c r="K2284" s="3">
        <v>0.71769883684375979</v>
      </c>
    </row>
    <row r="2285" spans="1:11" x14ac:dyDescent="0.2">
      <c r="A2285" s="1">
        <v>44974</v>
      </c>
      <c r="B2285">
        <v>251.07255554199199</v>
      </c>
      <c r="C2285">
        <v>258.05999755859301</v>
      </c>
      <c r="D2285">
        <v>260.08999633789</v>
      </c>
      <c r="E2285">
        <v>256</v>
      </c>
      <c r="F2285">
        <v>259.39001464843699</v>
      </c>
      <c r="G2285" s="2">
        <v>30000100</v>
      </c>
      <c r="H2285" s="3">
        <f t="shared" si="35"/>
        <v>-1.560160700464841E-2</v>
      </c>
      <c r="J2285" s="3">
        <v>7.9287892620132361E-3</v>
      </c>
      <c r="K2285" s="3">
        <v>0.71801320339515873</v>
      </c>
    </row>
    <row r="2286" spans="1:11" x14ac:dyDescent="0.2">
      <c r="A2286" s="1">
        <v>44978</v>
      </c>
      <c r="B2286">
        <v>245.82849121093699</v>
      </c>
      <c r="C2286">
        <v>252.669998168945</v>
      </c>
      <c r="D2286">
        <v>255.49000549316401</v>
      </c>
      <c r="E2286">
        <v>251.58999633789</v>
      </c>
      <c r="F2286">
        <v>254.47999572753901</v>
      </c>
      <c r="G2286" s="2">
        <v>28397400</v>
      </c>
      <c r="H2286" s="3">
        <f t="shared" si="35"/>
        <v>-2.0886648959837939E-2</v>
      </c>
      <c r="J2286" s="3">
        <v>7.9719454364253206E-3</v>
      </c>
      <c r="K2286" s="3">
        <v>0.71832756994655766</v>
      </c>
    </row>
    <row r="2287" spans="1:11" x14ac:dyDescent="0.2">
      <c r="A2287" s="1">
        <v>44979</v>
      </c>
      <c r="B2287">
        <v>244.69992065429599</v>
      </c>
      <c r="C2287">
        <v>251.509994506835</v>
      </c>
      <c r="D2287">
        <v>254.33999633789</v>
      </c>
      <c r="E2287">
        <v>250.33999633789</v>
      </c>
      <c r="F2287">
        <v>254.08999633789</v>
      </c>
      <c r="G2287" s="2">
        <v>22491100</v>
      </c>
      <c r="H2287" s="3">
        <f t="shared" si="35"/>
        <v>-4.5908859102609112E-3</v>
      </c>
      <c r="J2287" s="3">
        <v>8.0162585078911164E-3</v>
      </c>
      <c r="K2287" s="3">
        <v>0.7186419364979566</v>
      </c>
    </row>
    <row r="2288" spans="1:11" x14ac:dyDescent="0.2">
      <c r="A2288" s="1">
        <v>44980</v>
      </c>
      <c r="B2288">
        <v>247.87162780761699</v>
      </c>
      <c r="C2288">
        <v>254.77000427246</v>
      </c>
      <c r="D2288">
        <v>256.83999633789</v>
      </c>
      <c r="E2288">
        <v>250.47999572753901</v>
      </c>
      <c r="F2288">
        <v>255.55999755859301</v>
      </c>
      <c r="G2288" s="2">
        <v>29219100</v>
      </c>
      <c r="H2288" s="3">
        <f t="shared" si="35"/>
        <v>1.2961619050959383E-2</v>
      </c>
      <c r="J2288" s="3">
        <v>8.0261838425126353E-3</v>
      </c>
      <c r="K2288" s="3">
        <v>0.71895630304935554</v>
      </c>
    </row>
    <row r="2289" spans="1:11" x14ac:dyDescent="0.2">
      <c r="A2289" s="1">
        <v>44981</v>
      </c>
      <c r="B2289">
        <v>242.47193908691401</v>
      </c>
      <c r="C2289">
        <v>249.22000122070301</v>
      </c>
      <c r="D2289">
        <v>251</v>
      </c>
      <c r="E2289">
        <v>248.100006103515</v>
      </c>
      <c r="F2289">
        <v>249.96000671386699</v>
      </c>
      <c r="G2289" s="2">
        <v>24990900</v>
      </c>
      <c r="H2289" s="3">
        <f t="shared" si="35"/>
        <v>-2.1784214548725589E-2</v>
      </c>
      <c r="J2289" s="3">
        <v>8.0369435989593452E-3</v>
      </c>
      <c r="K2289" s="3">
        <v>0.71927066960075448</v>
      </c>
    </row>
    <row r="2290" spans="1:11" x14ac:dyDescent="0.2">
      <c r="A2290" s="1">
        <v>44984</v>
      </c>
      <c r="B2290">
        <v>243.386474609375</v>
      </c>
      <c r="C2290">
        <v>250.16000366210901</v>
      </c>
      <c r="D2290">
        <v>252.82000732421801</v>
      </c>
      <c r="E2290">
        <v>249.38999938964801</v>
      </c>
      <c r="F2290">
        <v>252.46000671386699</v>
      </c>
      <c r="G2290" s="2">
        <v>21190000</v>
      </c>
      <c r="H2290" s="3">
        <f t="shared" si="35"/>
        <v>3.771716949618531E-3</v>
      </c>
      <c r="J2290" s="3">
        <v>8.0522637717987955E-3</v>
      </c>
      <c r="K2290" s="3">
        <v>0.71958503615215341</v>
      </c>
    </row>
    <row r="2291" spans="1:11" x14ac:dyDescent="0.2">
      <c r="A2291" s="1">
        <v>44985</v>
      </c>
      <c r="B2291">
        <v>242.66650390625</v>
      </c>
      <c r="C2291">
        <v>249.419998168945</v>
      </c>
      <c r="D2291">
        <v>251.49000549316401</v>
      </c>
      <c r="E2291">
        <v>248.72999572753901</v>
      </c>
      <c r="F2291">
        <v>249.07000732421801</v>
      </c>
      <c r="G2291" s="2">
        <v>22491000</v>
      </c>
      <c r="H2291" s="3">
        <f t="shared" si="35"/>
        <v>-2.9581376873161203E-3</v>
      </c>
      <c r="J2291" s="3">
        <v>8.0537298589478112E-3</v>
      </c>
      <c r="K2291" s="3">
        <v>0.71989940270355235</v>
      </c>
    </row>
    <row r="2292" spans="1:11" x14ac:dyDescent="0.2">
      <c r="A2292" s="1">
        <v>44986</v>
      </c>
      <c r="B2292">
        <v>239.601791381835</v>
      </c>
      <c r="C2292">
        <v>246.27000427246</v>
      </c>
      <c r="D2292">
        <v>250.92999267578099</v>
      </c>
      <c r="E2292">
        <v>245.78999328613199</v>
      </c>
      <c r="F2292">
        <v>250.759994506835</v>
      </c>
      <c r="G2292" s="2">
        <v>27565300</v>
      </c>
      <c r="H2292" s="3">
        <f t="shared" si="35"/>
        <v>-1.2629318324044458E-2</v>
      </c>
      <c r="J2292" s="3">
        <v>8.0709840793555809E-3</v>
      </c>
      <c r="K2292" s="3">
        <v>0.72021376925495129</v>
      </c>
    </row>
    <row r="2293" spans="1:11" x14ac:dyDescent="0.2">
      <c r="A2293" s="1">
        <v>44987</v>
      </c>
      <c r="B2293">
        <v>244.31069946289</v>
      </c>
      <c r="C2293">
        <v>251.11000061035099</v>
      </c>
      <c r="D2293">
        <v>251.39999389648401</v>
      </c>
      <c r="E2293">
        <v>245.61000061035099</v>
      </c>
      <c r="F2293">
        <v>246.55000305175699</v>
      </c>
      <c r="G2293" s="2">
        <v>24808200</v>
      </c>
      <c r="H2293" s="3">
        <f t="shared" si="35"/>
        <v>1.9653058743416274E-2</v>
      </c>
      <c r="J2293" s="3">
        <v>8.0732906040790198E-3</v>
      </c>
      <c r="K2293" s="3">
        <v>0.72052813580635022</v>
      </c>
    </row>
    <row r="2294" spans="1:11" x14ac:dyDescent="0.2">
      <c r="A2294" s="1">
        <v>44988</v>
      </c>
      <c r="B2294">
        <v>248.377517700195</v>
      </c>
      <c r="C2294">
        <v>255.28999328613199</v>
      </c>
      <c r="D2294">
        <v>255.61999511718699</v>
      </c>
      <c r="E2294">
        <v>251.38999938964801</v>
      </c>
      <c r="F2294">
        <v>252.19000244140599</v>
      </c>
      <c r="G2294" s="2">
        <v>30760100</v>
      </c>
      <c r="H2294" s="3">
        <f t="shared" si="35"/>
        <v>1.6646091416568254E-2</v>
      </c>
      <c r="J2294" s="3">
        <v>8.0750541219123395E-3</v>
      </c>
      <c r="K2294" s="3">
        <v>0.72084250235774916</v>
      </c>
    </row>
    <row r="2295" spans="1:11" x14ac:dyDescent="0.2">
      <c r="A2295" s="1">
        <v>44991</v>
      </c>
      <c r="B2295">
        <v>249.91476440429599</v>
      </c>
      <c r="C2295">
        <v>256.86999511718699</v>
      </c>
      <c r="D2295">
        <v>260.11999511718699</v>
      </c>
      <c r="E2295">
        <v>255.97999572753901</v>
      </c>
      <c r="F2295">
        <v>256.42999267578102</v>
      </c>
      <c r="G2295" s="2">
        <v>24109800</v>
      </c>
      <c r="H2295" s="3">
        <f t="shared" si="35"/>
        <v>6.1891539875864598E-3</v>
      </c>
      <c r="J2295" s="3">
        <v>8.1121691332959323E-3</v>
      </c>
      <c r="K2295" s="3">
        <v>0.7211568689091481</v>
      </c>
    </row>
    <row r="2296" spans="1:11" x14ac:dyDescent="0.2">
      <c r="A2296" s="1">
        <v>44992</v>
      </c>
      <c r="B2296">
        <v>247.26840209960901</v>
      </c>
      <c r="C2296">
        <v>254.14999389648401</v>
      </c>
      <c r="D2296">
        <v>257.69000244140602</v>
      </c>
      <c r="E2296">
        <v>253.38999938964801</v>
      </c>
      <c r="F2296">
        <v>256.29998779296801</v>
      </c>
      <c r="G2296" s="2">
        <v>21473200</v>
      </c>
      <c r="H2296" s="3">
        <f t="shared" si="35"/>
        <v>-1.0589059477918106E-2</v>
      </c>
      <c r="J2296" s="3">
        <v>8.141267165499011E-3</v>
      </c>
      <c r="K2296" s="3">
        <v>0.72147123546054703</v>
      </c>
    </row>
    <row r="2297" spans="1:11" x14ac:dyDescent="0.2">
      <c r="A2297" s="1">
        <v>44993</v>
      </c>
      <c r="B2297">
        <v>246.83058166503901</v>
      </c>
      <c r="C2297">
        <v>253.69999694824199</v>
      </c>
      <c r="D2297">
        <v>254.53999328613199</v>
      </c>
      <c r="E2297">
        <v>250.80999755859301</v>
      </c>
      <c r="F2297">
        <v>254.03999328613199</v>
      </c>
      <c r="G2297" s="2">
        <v>17340200</v>
      </c>
      <c r="H2297" s="3">
        <f t="shared" si="35"/>
        <v>-1.770628316648537E-3</v>
      </c>
      <c r="J2297" s="3">
        <v>8.1605593513440766E-3</v>
      </c>
      <c r="K2297" s="3">
        <v>0.72178560201194597</v>
      </c>
    </row>
    <row r="2298" spans="1:11" x14ac:dyDescent="0.2">
      <c r="A2298" s="1">
        <v>44994</v>
      </c>
      <c r="B2298">
        <v>245.48797607421801</v>
      </c>
      <c r="C2298">
        <v>252.32000732421801</v>
      </c>
      <c r="D2298">
        <v>259.55999755859301</v>
      </c>
      <c r="E2298">
        <v>251.58000183105401</v>
      </c>
      <c r="F2298">
        <v>255.82000732421801</v>
      </c>
      <c r="G2298" s="2">
        <v>26653400</v>
      </c>
      <c r="H2298" s="3">
        <f t="shared" si="35"/>
        <v>-5.4393810595275705E-3</v>
      </c>
      <c r="J2298" s="3">
        <v>8.1758882493598861E-3</v>
      </c>
      <c r="K2298" s="3">
        <v>0.72209996856334491</v>
      </c>
    </row>
    <row r="2299" spans="1:11" x14ac:dyDescent="0.2">
      <c r="A2299" s="1">
        <v>44995</v>
      </c>
      <c r="B2299">
        <v>241.85894775390599</v>
      </c>
      <c r="C2299">
        <v>248.58999633789</v>
      </c>
      <c r="D2299">
        <v>252.78999328613199</v>
      </c>
      <c r="E2299">
        <v>247.600006103515</v>
      </c>
      <c r="F2299">
        <v>251.08000183105401</v>
      </c>
      <c r="G2299" s="2">
        <v>28333900</v>
      </c>
      <c r="H2299" s="3">
        <f t="shared" si="35"/>
        <v>-1.4782916778029342E-2</v>
      </c>
      <c r="J2299" s="3">
        <v>8.1968771384008932E-3</v>
      </c>
      <c r="K2299" s="3">
        <v>0.72241433511474384</v>
      </c>
    </row>
    <row r="2300" spans="1:11" x14ac:dyDescent="0.2">
      <c r="A2300" s="1">
        <v>44998</v>
      </c>
      <c r="B2300">
        <v>247.04464721679599</v>
      </c>
      <c r="C2300">
        <v>253.919998168945</v>
      </c>
      <c r="D2300">
        <v>257.91000366210898</v>
      </c>
      <c r="E2300">
        <v>245.72999572753901</v>
      </c>
      <c r="F2300">
        <v>247.39999389648401</v>
      </c>
      <c r="G2300" s="2">
        <v>33339700</v>
      </c>
      <c r="H2300" s="3">
        <f t="shared" si="35"/>
        <v>2.1441007293914627E-2</v>
      </c>
      <c r="J2300" s="3">
        <v>8.2032070693045522E-3</v>
      </c>
      <c r="K2300" s="3">
        <v>0.72272870166614267</v>
      </c>
    </row>
    <row r="2301" spans="1:11" x14ac:dyDescent="0.2">
      <c r="A2301" s="1">
        <v>44999</v>
      </c>
      <c r="B2301">
        <v>253.72866821289</v>
      </c>
      <c r="C2301">
        <v>260.79000854492102</v>
      </c>
      <c r="D2301">
        <v>261.07000732421801</v>
      </c>
      <c r="E2301">
        <v>255.86000061035099</v>
      </c>
      <c r="F2301">
        <v>256.75</v>
      </c>
      <c r="G2301" s="2">
        <v>33620300</v>
      </c>
      <c r="H2301" s="3">
        <f t="shared" si="35"/>
        <v>2.7055923175815177E-2</v>
      </c>
      <c r="J2301" s="3">
        <v>8.2085143659769155E-3</v>
      </c>
      <c r="K2301" s="3">
        <v>0.72304306821754161</v>
      </c>
    </row>
    <row r="2302" spans="1:11" x14ac:dyDescent="0.2">
      <c r="A2302" s="1">
        <v>45000</v>
      </c>
      <c r="B2302">
        <v>258.25271606445301</v>
      </c>
      <c r="C2302">
        <v>265.44000244140602</v>
      </c>
      <c r="D2302">
        <v>266.48001098632801</v>
      </c>
      <c r="E2302">
        <v>259.20999145507801</v>
      </c>
      <c r="F2302">
        <v>259.98001098632801</v>
      </c>
      <c r="G2302" s="2">
        <v>46028000</v>
      </c>
      <c r="H2302" s="3">
        <f t="shared" si="35"/>
        <v>1.7830258927489906E-2</v>
      </c>
      <c r="J2302" s="3">
        <v>8.2134384457859255E-3</v>
      </c>
      <c r="K2302" s="3">
        <v>0.72335743476894054</v>
      </c>
    </row>
    <row r="2303" spans="1:11" x14ac:dyDescent="0.2">
      <c r="A2303" s="1">
        <v>45001</v>
      </c>
      <c r="B2303">
        <v>268.72134399414</v>
      </c>
      <c r="C2303">
        <v>276.20001220703102</v>
      </c>
      <c r="D2303">
        <v>276.55999755859301</v>
      </c>
      <c r="E2303">
        <v>263.27999877929602</v>
      </c>
      <c r="F2303">
        <v>265.20999145507801</v>
      </c>
      <c r="G2303" s="2">
        <v>54768800</v>
      </c>
      <c r="H2303" s="3">
        <f t="shared" si="35"/>
        <v>4.053637107566499E-2</v>
      </c>
      <c r="J2303" s="3">
        <v>8.2250860340407073E-3</v>
      </c>
      <c r="K2303" s="3">
        <v>0.72367180132033948</v>
      </c>
    </row>
    <row r="2304" spans="1:11" x14ac:dyDescent="0.2">
      <c r="A2304" s="1">
        <v>45002</v>
      </c>
      <c r="B2304">
        <v>271.86395263671801</v>
      </c>
      <c r="C2304">
        <v>279.42999267578102</v>
      </c>
      <c r="D2304">
        <v>283.329986572265</v>
      </c>
      <c r="E2304">
        <v>276.32000732421801</v>
      </c>
      <c r="F2304">
        <v>278.260009765625</v>
      </c>
      <c r="G2304" s="2">
        <v>69527400</v>
      </c>
      <c r="H2304" s="3">
        <f t="shared" si="35"/>
        <v>1.1694674475305256E-2</v>
      </c>
      <c r="J2304" s="3">
        <v>8.2265197088755571E-3</v>
      </c>
      <c r="K2304" s="3">
        <v>0.72398616787173842</v>
      </c>
    </row>
    <row r="2305" spans="1:11" x14ac:dyDescent="0.2">
      <c r="A2305" s="1">
        <v>45005</v>
      </c>
      <c r="B2305">
        <v>264.85891723632801</v>
      </c>
      <c r="C2305">
        <v>272.23001098632801</v>
      </c>
      <c r="D2305">
        <v>277.48001098632801</v>
      </c>
      <c r="E2305">
        <v>269.850006103515</v>
      </c>
      <c r="F2305">
        <v>276.98001098632801</v>
      </c>
      <c r="G2305" s="2">
        <v>43466600</v>
      </c>
      <c r="H2305" s="3">
        <f t="shared" si="35"/>
        <v>-2.5766694453054573E-2</v>
      </c>
      <c r="J2305" s="3">
        <v>8.2301915621922905E-3</v>
      </c>
      <c r="K2305" s="3">
        <v>0.72430053442313735</v>
      </c>
    </row>
    <row r="2306" spans="1:11" x14ac:dyDescent="0.2">
      <c r="A2306" s="1">
        <v>45006</v>
      </c>
      <c r="B2306">
        <v>266.36688232421801</v>
      </c>
      <c r="C2306">
        <v>273.77999877929602</v>
      </c>
      <c r="D2306">
        <v>275</v>
      </c>
      <c r="E2306">
        <v>269.51998901367102</v>
      </c>
      <c r="F2306">
        <v>274.88000488281199</v>
      </c>
      <c r="G2306" s="2">
        <v>34558700</v>
      </c>
      <c r="H2306" s="3">
        <f t="shared" ref="H2306:H2369" si="36">B2306/B2305-1</f>
        <v>5.6934654253852912E-3</v>
      </c>
      <c r="J2306" s="3">
        <v>8.2478971640644883E-3</v>
      </c>
      <c r="K2306" s="3">
        <v>0.72461490097453629</v>
      </c>
    </row>
    <row r="2307" spans="1:11" x14ac:dyDescent="0.2">
      <c r="A2307" s="1">
        <v>45007</v>
      </c>
      <c r="B2307">
        <v>264.917236328125</v>
      </c>
      <c r="C2307">
        <v>272.29000854492102</v>
      </c>
      <c r="D2307">
        <v>281.04000854492102</v>
      </c>
      <c r="E2307">
        <v>272.17999267578102</v>
      </c>
      <c r="F2307">
        <v>273.39999389648398</v>
      </c>
      <c r="G2307" s="2">
        <v>34873300</v>
      </c>
      <c r="H2307" s="3">
        <f t="shared" si="36"/>
        <v>-5.4422906610759325E-3</v>
      </c>
      <c r="J2307" s="3">
        <v>8.269369185183173E-3</v>
      </c>
      <c r="K2307" s="3">
        <v>0.72492926752593523</v>
      </c>
    </row>
    <row r="2308" spans="1:11" x14ac:dyDescent="0.2">
      <c r="A2308" s="1">
        <v>45008</v>
      </c>
      <c r="B2308">
        <v>270.14187622070301</v>
      </c>
      <c r="C2308">
        <v>277.66000366210898</v>
      </c>
      <c r="D2308">
        <v>281.05999755859301</v>
      </c>
      <c r="E2308">
        <v>275.20001220703102</v>
      </c>
      <c r="F2308">
        <v>277.94000244140602</v>
      </c>
      <c r="G2308" s="2">
        <v>36610900</v>
      </c>
      <c r="H2308" s="3">
        <f t="shared" si="36"/>
        <v>1.9721781659034043E-2</v>
      </c>
      <c r="J2308" s="3">
        <v>8.27598911516092E-3</v>
      </c>
      <c r="K2308" s="3">
        <v>0.72524363407733416</v>
      </c>
    </row>
    <row r="2309" spans="1:11" x14ac:dyDescent="0.2">
      <c r="A2309" s="1">
        <v>45009</v>
      </c>
      <c r="B2309">
        <v>272.973052978515</v>
      </c>
      <c r="C2309">
        <v>280.57000732421801</v>
      </c>
      <c r="D2309">
        <v>280.63000488281199</v>
      </c>
      <c r="E2309">
        <v>275.27999877929602</v>
      </c>
      <c r="F2309">
        <v>277.239990234375</v>
      </c>
      <c r="G2309" s="2">
        <v>28172000</v>
      </c>
      <c r="H2309" s="3">
        <f t="shared" si="36"/>
        <v>1.048033276965521E-2</v>
      </c>
      <c r="J2309" s="3">
        <v>8.2800379719984996E-3</v>
      </c>
      <c r="K2309" s="3">
        <v>0.7255580006287331</v>
      </c>
    </row>
    <row r="2310" spans="1:11" x14ac:dyDescent="0.2">
      <c r="A2310" s="1">
        <v>45012</v>
      </c>
      <c r="B2310">
        <v>268.89657592773398</v>
      </c>
      <c r="C2310">
        <v>276.38000488281199</v>
      </c>
      <c r="D2310">
        <v>281.45999145507801</v>
      </c>
      <c r="E2310">
        <v>275.51998901367102</v>
      </c>
      <c r="F2310">
        <v>280.5</v>
      </c>
      <c r="G2310" s="2">
        <v>26840200</v>
      </c>
      <c r="H2310" s="3">
        <f t="shared" si="36"/>
        <v>-1.4933624423000724E-2</v>
      </c>
      <c r="J2310" s="3">
        <v>8.2810045808832111E-3</v>
      </c>
      <c r="K2310" s="3">
        <v>0.72587236718013204</v>
      </c>
    </row>
    <row r="2311" spans="1:11" x14ac:dyDescent="0.2">
      <c r="A2311" s="1">
        <v>45013</v>
      </c>
      <c r="B2311">
        <v>267.77764892578102</v>
      </c>
      <c r="C2311">
        <v>275.23001098632801</v>
      </c>
      <c r="D2311">
        <v>276.14001464843699</v>
      </c>
      <c r="E2311">
        <v>272.04998779296801</v>
      </c>
      <c r="F2311">
        <v>275.79000854492102</v>
      </c>
      <c r="G2311" s="2">
        <v>21878600</v>
      </c>
      <c r="H2311" s="3">
        <f t="shared" si="36"/>
        <v>-4.1611798071153894E-3</v>
      </c>
      <c r="J2311" s="3">
        <v>8.2867290042258901E-3</v>
      </c>
      <c r="K2311" s="3">
        <v>0.72618673373153098</v>
      </c>
    </row>
    <row r="2312" spans="1:11" x14ac:dyDescent="0.2">
      <c r="A2312" s="1">
        <v>45014</v>
      </c>
      <c r="B2312">
        <v>272.91470336914</v>
      </c>
      <c r="C2312">
        <v>280.510009765625</v>
      </c>
      <c r="D2312">
        <v>281.14001464843699</v>
      </c>
      <c r="E2312">
        <v>278.41000366210898</v>
      </c>
      <c r="F2312">
        <v>278.95999145507801</v>
      </c>
      <c r="G2312" s="2">
        <v>25087000</v>
      </c>
      <c r="H2312" s="3">
        <f t="shared" si="36"/>
        <v>1.9184029973998262E-2</v>
      </c>
      <c r="J2312" s="3">
        <v>8.2950232546745717E-3</v>
      </c>
      <c r="K2312" s="3">
        <v>0.72650110028292991</v>
      </c>
    </row>
    <row r="2313" spans="1:11" x14ac:dyDescent="0.2">
      <c r="A2313" s="1">
        <v>45015</v>
      </c>
      <c r="B2313">
        <v>276.358795166015</v>
      </c>
      <c r="C2313">
        <v>284.04998779296801</v>
      </c>
      <c r="D2313">
        <v>284.45999145507801</v>
      </c>
      <c r="E2313">
        <v>281.48001098632801</v>
      </c>
      <c r="F2313">
        <v>284.23001098632801</v>
      </c>
      <c r="G2313" s="2">
        <v>25053400</v>
      </c>
      <c r="H2313" s="3">
        <f t="shared" si="36"/>
        <v>1.2619663779040113E-2</v>
      </c>
      <c r="J2313" s="3">
        <v>8.3386027288303577E-3</v>
      </c>
      <c r="K2313" s="3">
        <v>0.72681546683432885</v>
      </c>
    </row>
    <row r="2314" spans="1:11" x14ac:dyDescent="0.2">
      <c r="A2314" s="1">
        <v>45016</v>
      </c>
      <c r="B2314">
        <v>280.49371337890602</v>
      </c>
      <c r="C2314">
        <v>288.29998779296801</v>
      </c>
      <c r="D2314">
        <v>289.26998901367102</v>
      </c>
      <c r="E2314">
        <v>283</v>
      </c>
      <c r="F2314">
        <v>283.73001098632801</v>
      </c>
      <c r="G2314" s="2">
        <v>32766000</v>
      </c>
      <c r="H2314" s="3">
        <f t="shared" si="36"/>
        <v>1.4962137211544491E-2</v>
      </c>
      <c r="J2314" s="3">
        <v>8.3615986920182461E-3</v>
      </c>
      <c r="K2314" s="3">
        <v>0.72712983338572779</v>
      </c>
    </row>
    <row r="2315" spans="1:11" x14ac:dyDescent="0.2">
      <c r="A2315" s="1">
        <v>45019</v>
      </c>
      <c r="B2315">
        <v>279.45272827148398</v>
      </c>
      <c r="C2315">
        <v>287.23001098632801</v>
      </c>
      <c r="D2315">
        <v>288.26998901367102</v>
      </c>
      <c r="E2315">
        <v>283.95001220703102</v>
      </c>
      <c r="F2315">
        <v>286.51998901367102</v>
      </c>
      <c r="G2315" s="2">
        <v>24883300</v>
      </c>
      <c r="H2315" s="3">
        <f t="shared" si="36"/>
        <v>-3.7112600310432731E-3</v>
      </c>
      <c r="J2315" s="3">
        <v>8.3937121664532377E-3</v>
      </c>
      <c r="K2315" s="3">
        <v>0.72744419993712672</v>
      </c>
    </row>
    <row r="2316" spans="1:11" x14ac:dyDescent="0.2">
      <c r="A2316" s="1">
        <v>45020</v>
      </c>
      <c r="B2316">
        <v>279.404052734375</v>
      </c>
      <c r="C2316">
        <v>287.17999267578102</v>
      </c>
      <c r="D2316">
        <v>290.45001220703102</v>
      </c>
      <c r="E2316">
        <v>285.67001342773398</v>
      </c>
      <c r="F2316">
        <v>287.23001098632801</v>
      </c>
      <c r="G2316" s="2">
        <v>25824300</v>
      </c>
      <c r="H2316" s="3">
        <f t="shared" si="36"/>
        <v>-1.7418164929017266E-4</v>
      </c>
      <c r="J2316" s="3">
        <v>8.4075153348512899E-3</v>
      </c>
      <c r="K2316" s="3">
        <v>0.72775856648852566</v>
      </c>
    </row>
    <row r="2317" spans="1:11" x14ac:dyDescent="0.2">
      <c r="A2317" s="1">
        <v>45021</v>
      </c>
      <c r="B2317">
        <v>276.64099121093699</v>
      </c>
      <c r="C2317">
        <v>284.33999633789</v>
      </c>
      <c r="D2317">
        <v>287.14999389648398</v>
      </c>
      <c r="E2317">
        <v>282.92001342773398</v>
      </c>
      <c r="F2317">
        <v>285.850006103515</v>
      </c>
      <c r="G2317" s="2">
        <v>22064800</v>
      </c>
      <c r="H2317" s="3">
        <f t="shared" si="36"/>
        <v>-9.8891247152553818E-3</v>
      </c>
      <c r="J2317" s="3">
        <v>8.4179051614268197E-3</v>
      </c>
      <c r="K2317" s="3">
        <v>0.7280729330399246</v>
      </c>
    </row>
    <row r="2318" spans="1:11" x14ac:dyDescent="0.2">
      <c r="A2318" s="1">
        <v>45022</v>
      </c>
      <c r="B2318">
        <v>283.70437622070301</v>
      </c>
      <c r="C2318">
        <v>291.600006103515</v>
      </c>
      <c r="D2318">
        <v>292.079986572265</v>
      </c>
      <c r="E2318">
        <v>282.02999877929602</v>
      </c>
      <c r="F2318">
        <v>283.20999145507801</v>
      </c>
      <c r="G2318" s="2">
        <v>29770300</v>
      </c>
      <c r="H2318" s="3">
        <f t="shared" si="36"/>
        <v>2.5532676769438822E-2</v>
      </c>
      <c r="J2318" s="3">
        <v>8.4223313601261562E-3</v>
      </c>
      <c r="K2318" s="3">
        <v>0.72838729959132353</v>
      </c>
    </row>
    <row r="2319" spans="1:11" x14ac:dyDescent="0.2">
      <c r="A2319" s="1">
        <v>45026</v>
      </c>
      <c r="B2319">
        <v>281.55422973632801</v>
      </c>
      <c r="C2319">
        <v>289.39001464843699</v>
      </c>
      <c r="D2319">
        <v>289.600006103515</v>
      </c>
      <c r="E2319">
        <v>284.70999145507801</v>
      </c>
      <c r="F2319">
        <v>289.20999145507801</v>
      </c>
      <c r="G2319" s="2">
        <v>23103000</v>
      </c>
      <c r="H2319" s="3">
        <f t="shared" si="36"/>
        <v>-7.5788273449202137E-3</v>
      </c>
      <c r="J2319" s="3">
        <v>8.4509601644366938E-3</v>
      </c>
      <c r="K2319" s="3">
        <v>0.72870166614272236</v>
      </c>
    </row>
    <row r="2320" spans="1:11" x14ac:dyDescent="0.2">
      <c r="A2320" s="1">
        <v>45027</v>
      </c>
      <c r="B2320">
        <v>275.17184448242102</v>
      </c>
      <c r="C2320">
        <v>282.829986572265</v>
      </c>
      <c r="D2320">
        <v>285.98001098632801</v>
      </c>
      <c r="E2320">
        <v>281.64001464843699</v>
      </c>
      <c r="F2320">
        <v>285.75</v>
      </c>
      <c r="G2320" s="2">
        <v>27276600</v>
      </c>
      <c r="H2320" s="3">
        <f t="shared" si="36"/>
        <v>-2.266840480387744E-2</v>
      </c>
      <c r="J2320" s="3">
        <v>8.4567128443853168E-3</v>
      </c>
      <c r="K2320" s="3">
        <v>0.7290160326941213</v>
      </c>
    </row>
    <row r="2321" spans="1:11" x14ac:dyDescent="0.2">
      <c r="A2321" s="1">
        <v>45028</v>
      </c>
      <c r="B2321">
        <v>275.81393432617102</v>
      </c>
      <c r="C2321">
        <v>283.489990234375</v>
      </c>
      <c r="D2321">
        <v>287.010009765625</v>
      </c>
      <c r="E2321">
        <v>281.95999145507801</v>
      </c>
      <c r="F2321">
        <v>284.79000854492102</v>
      </c>
      <c r="G2321" s="2">
        <v>27403400</v>
      </c>
      <c r="H2321" s="3">
        <f t="shared" si="36"/>
        <v>2.3334140342654575E-3</v>
      </c>
      <c r="J2321" s="3">
        <v>8.4605699069253415E-3</v>
      </c>
      <c r="K2321" s="3">
        <v>0.72933039924552023</v>
      </c>
    </row>
    <row r="2322" spans="1:11" x14ac:dyDescent="0.2">
      <c r="A2322" s="1">
        <v>45029</v>
      </c>
      <c r="B2322">
        <v>281.99203491210898</v>
      </c>
      <c r="C2322">
        <v>289.83999633789</v>
      </c>
      <c r="D2322">
        <v>289.89999389648398</v>
      </c>
      <c r="E2322">
        <v>283.17001342773398</v>
      </c>
      <c r="F2322">
        <v>283.58999633789</v>
      </c>
      <c r="G2322" s="2">
        <v>24222700</v>
      </c>
      <c r="H2322" s="3">
        <f t="shared" si="36"/>
        <v>2.239952307352211E-2</v>
      </c>
      <c r="J2322" s="3">
        <v>8.4658048655483764E-3</v>
      </c>
      <c r="K2322" s="3">
        <v>0.72964476579691917</v>
      </c>
    </row>
    <row r="2323" spans="1:11" x14ac:dyDescent="0.2">
      <c r="A2323" s="1">
        <v>45030</v>
      </c>
      <c r="B2323">
        <v>278.39221191406199</v>
      </c>
      <c r="C2323">
        <v>286.14001464843699</v>
      </c>
      <c r="D2323">
        <v>288.48001098632801</v>
      </c>
      <c r="E2323">
        <v>283.69000244140602</v>
      </c>
      <c r="F2323">
        <v>287</v>
      </c>
      <c r="G2323" s="2">
        <v>20987900</v>
      </c>
      <c r="H2323" s="3">
        <f t="shared" si="36"/>
        <v>-1.2765690347136815E-2</v>
      </c>
      <c r="J2323" s="3">
        <v>8.4791405144171161E-3</v>
      </c>
      <c r="K2323" s="3">
        <v>0.72995913234831811</v>
      </c>
    </row>
    <row r="2324" spans="1:11" x14ac:dyDescent="0.2">
      <c r="A2324" s="1">
        <v>45033</v>
      </c>
      <c r="B2324">
        <v>280.98016357421801</v>
      </c>
      <c r="C2324">
        <v>288.79998779296801</v>
      </c>
      <c r="D2324">
        <v>291.600006103515</v>
      </c>
      <c r="E2324">
        <v>286.16000366210898</v>
      </c>
      <c r="F2324">
        <v>289.92999267578102</v>
      </c>
      <c r="G2324" s="2">
        <v>23836200</v>
      </c>
      <c r="H2324" s="3">
        <f t="shared" si="36"/>
        <v>9.2960634292273969E-3</v>
      </c>
      <c r="J2324" s="3">
        <v>8.4914324866496305E-3</v>
      </c>
      <c r="K2324" s="3">
        <v>0.73027349889971704</v>
      </c>
    </row>
    <row r="2325" spans="1:11" x14ac:dyDescent="0.2">
      <c r="A2325" s="1">
        <v>45034</v>
      </c>
      <c r="B2325">
        <v>280.56188964843699</v>
      </c>
      <c r="C2325">
        <v>288.36999511718699</v>
      </c>
      <c r="D2325">
        <v>291.760009765625</v>
      </c>
      <c r="E2325">
        <v>287.010009765625</v>
      </c>
      <c r="F2325">
        <v>291.57000732421801</v>
      </c>
      <c r="G2325" s="2">
        <v>20161800</v>
      </c>
      <c r="H2325" s="3">
        <f t="shared" si="36"/>
        <v>-1.4886243941933941E-3</v>
      </c>
      <c r="J2325" s="3">
        <v>8.4954615407313305E-3</v>
      </c>
      <c r="K2325" s="3">
        <v>0.73058786545111598</v>
      </c>
    </row>
    <row r="2326" spans="1:11" x14ac:dyDescent="0.2">
      <c r="A2326" s="1">
        <v>45035</v>
      </c>
      <c r="B2326">
        <v>280.6396484375</v>
      </c>
      <c r="C2326">
        <v>288.45001220703102</v>
      </c>
      <c r="D2326">
        <v>289.04998779296801</v>
      </c>
      <c r="E2326">
        <v>284.54000854492102</v>
      </c>
      <c r="F2326">
        <v>285.989990234375</v>
      </c>
      <c r="G2326" s="2">
        <v>17150300</v>
      </c>
      <c r="H2326" s="3">
        <f t="shared" si="36"/>
        <v>2.7715378293335924E-4</v>
      </c>
      <c r="J2326" s="3">
        <v>8.5252840979368472E-3</v>
      </c>
      <c r="K2326" s="3">
        <v>0.73090223200251492</v>
      </c>
    </row>
    <row r="2327" spans="1:11" x14ac:dyDescent="0.2">
      <c r="A2327" s="1">
        <v>45036</v>
      </c>
      <c r="B2327">
        <v>278.363037109375</v>
      </c>
      <c r="C2327">
        <v>286.10998535156199</v>
      </c>
      <c r="D2327">
        <v>289.02999877929602</v>
      </c>
      <c r="E2327">
        <v>285.079986572265</v>
      </c>
      <c r="F2327">
        <v>285.25</v>
      </c>
      <c r="G2327" s="2">
        <v>23244400</v>
      </c>
      <c r="H2327" s="3">
        <f t="shared" si="36"/>
        <v>-8.1122227055241414E-3</v>
      </c>
      <c r="J2327" s="3">
        <v>8.6376263214789084E-3</v>
      </c>
      <c r="K2327" s="3">
        <v>0.73121659855391385</v>
      </c>
    </row>
    <row r="2328" spans="1:11" x14ac:dyDescent="0.2">
      <c r="A2328" s="1">
        <v>45037</v>
      </c>
      <c r="B2328">
        <v>278.02252197265602</v>
      </c>
      <c r="C2328">
        <v>285.760009765625</v>
      </c>
      <c r="D2328">
        <v>286.26998901367102</v>
      </c>
      <c r="E2328">
        <v>283.05999755859301</v>
      </c>
      <c r="F2328">
        <v>285.010009765625</v>
      </c>
      <c r="G2328" s="2">
        <v>21676400</v>
      </c>
      <c r="H2328" s="3">
        <f t="shared" si="36"/>
        <v>-1.2232771285117794E-3</v>
      </c>
      <c r="J2328" s="3">
        <v>8.6677484114583425E-3</v>
      </c>
      <c r="K2328" s="3">
        <v>0.73153096510531279</v>
      </c>
    </row>
    <row r="2329" spans="1:11" x14ac:dyDescent="0.2">
      <c r="A2329" s="1">
        <v>45040</v>
      </c>
      <c r="B2329">
        <v>274.14059448242102</v>
      </c>
      <c r="C2329">
        <v>281.76998901367102</v>
      </c>
      <c r="D2329">
        <v>284.95001220703102</v>
      </c>
      <c r="E2329">
        <v>278.72000122070301</v>
      </c>
      <c r="F2329">
        <v>282.08999633789</v>
      </c>
      <c r="G2329" s="2">
        <v>26611000</v>
      </c>
      <c r="H2329" s="3">
        <f t="shared" si="36"/>
        <v>-1.3962636777378745E-2</v>
      </c>
      <c r="J2329" s="3">
        <v>8.680535002652201E-3</v>
      </c>
      <c r="K2329" s="3">
        <v>0.73184533165671173</v>
      </c>
    </row>
    <row r="2330" spans="1:11" x14ac:dyDescent="0.2">
      <c r="A2330" s="1">
        <v>45041</v>
      </c>
      <c r="B2330">
        <v>267.96252441406199</v>
      </c>
      <c r="C2330">
        <v>275.42001342773398</v>
      </c>
      <c r="D2330">
        <v>281.600006103515</v>
      </c>
      <c r="E2330">
        <v>275.36999511718699</v>
      </c>
      <c r="F2330">
        <v>279.510009765625</v>
      </c>
      <c r="G2330" s="2">
        <v>45772200</v>
      </c>
      <c r="H2330" s="3">
        <f t="shared" si="36"/>
        <v>-2.2536137269357215E-2</v>
      </c>
      <c r="J2330" s="3">
        <v>8.6988946056800742E-3</v>
      </c>
      <c r="K2330" s="3">
        <v>0.73215969820811067</v>
      </c>
    </row>
    <row r="2331" spans="1:11" x14ac:dyDescent="0.2">
      <c r="A2331" s="1">
        <v>45042</v>
      </c>
      <c r="B2331">
        <v>287.372314453125</v>
      </c>
      <c r="C2331">
        <v>295.36999511718699</v>
      </c>
      <c r="D2331">
        <v>299.57000732421801</v>
      </c>
      <c r="E2331">
        <v>292.73001098632801</v>
      </c>
      <c r="F2331">
        <v>296.70001220703102</v>
      </c>
      <c r="G2331" s="2">
        <v>64599200</v>
      </c>
      <c r="H2331" s="3">
        <f t="shared" si="36"/>
        <v>7.2434718554414523E-2</v>
      </c>
      <c r="J2331" s="3">
        <v>8.7143206006967677E-3</v>
      </c>
      <c r="K2331" s="3">
        <v>0.7324740647595096</v>
      </c>
    </row>
    <row r="2332" spans="1:11" x14ac:dyDescent="0.2">
      <c r="A2332" s="1">
        <v>45043</v>
      </c>
      <c r="B2332">
        <v>296.576080322265</v>
      </c>
      <c r="C2332">
        <v>304.829986572265</v>
      </c>
      <c r="D2332">
        <v>305.20001220703102</v>
      </c>
      <c r="E2332">
        <v>295.25</v>
      </c>
      <c r="F2332">
        <v>295.97000122070301</v>
      </c>
      <c r="G2332" s="2">
        <v>46462600</v>
      </c>
      <c r="H2332" s="3">
        <f t="shared" si="36"/>
        <v>3.2027322766477795E-2</v>
      </c>
      <c r="J2332" s="3">
        <v>8.7201519979753783E-3</v>
      </c>
      <c r="K2332" s="3">
        <v>0.73278843131090854</v>
      </c>
    </row>
    <row r="2333" spans="1:11" x14ac:dyDescent="0.2">
      <c r="A2333" s="1">
        <v>45044</v>
      </c>
      <c r="B2333">
        <v>298.94036865234301</v>
      </c>
      <c r="C2333">
        <v>307.260009765625</v>
      </c>
      <c r="D2333">
        <v>308.92999267578102</v>
      </c>
      <c r="E2333">
        <v>303.30999755859301</v>
      </c>
      <c r="F2333">
        <v>304.010009765625</v>
      </c>
      <c r="G2333" s="2">
        <v>36469600</v>
      </c>
      <c r="H2333" s="3">
        <f t="shared" si="36"/>
        <v>7.9719454364253206E-3</v>
      </c>
      <c r="J2333" s="3">
        <v>8.7258937188425811E-3</v>
      </c>
      <c r="K2333" s="3">
        <v>0.73310279786230748</v>
      </c>
    </row>
    <row r="2334" spans="1:11" x14ac:dyDescent="0.2">
      <c r="A2334" s="1">
        <v>45047</v>
      </c>
      <c r="B2334">
        <v>297.28643798828102</v>
      </c>
      <c r="C2334">
        <v>305.55999755859301</v>
      </c>
      <c r="D2334">
        <v>308.600006103515</v>
      </c>
      <c r="E2334">
        <v>305.14999389648398</v>
      </c>
      <c r="F2334">
        <v>306.97000122070301</v>
      </c>
      <c r="G2334" s="2">
        <v>21294100</v>
      </c>
      <c r="H2334" s="3">
        <f t="shared" si="36"/>
        <v>-5.5326440905859586E-3</v>
      </c>
      <c r="J2334" s="3">
        <v>8.731217195963481E-3</v>
      </c>
      <c r="K2334" s="3">
        <v>0.73341716441370641</v>
      </c>
    </row>
    <row r="2335" spans="1:11" x14ac:dyDescent="0.2">
      <c r="A2335" s="1">
        <v>45048</v>
      </c>
      <c r="B2335">
        <v>297.140533447265</v>
      </c>
      <c r="C2335">
        <v>305.41000366210898</v>
      </c>
      <c r="D2335">
        <v>309.17999267578102</v>
      </c>
      <c r="E2335">
        <v>303.91000366210898</v>
      </c>
      <c r="F2335">
        <v>307.760009765625</v>
      </c>
      <c r="G2335" s="2">
        <v>26404400</v>
      </c>
      <c r="H2335" s="3">
        <f t="shared" si="36"/>
        <v>-4.9078774667066227E-4</v>
      </c>
      <c r="J2335" s="3">
        <v>8.737116838221537E-3</v>
      </c>
      <c r="K2335" s="3">
        <v>0.73373153096510535</v>
      </c>
    </row>
    <row r="2336" spans="1:11" x14ac:dyDescent="0.2">
      <c r="A2336" s="1">
        <v>45049</v>
      </c>
      <c r="B2336">
        <v>296.15777587890602</v>
      </c>
      <c r="C2336">
        <v>304.39999389648398</v>
      </c>
      <c r="D2336">
        <v>308.60998535156199</v>
      </c>
      <c r="E2336">
        <v>304.08999633789</v>
      </c>
      <c r="F2336">
        <v>306.61999511718699</v>
      </c>
      <c r="G2336" s="2">
        <v>22360800</v>
      </c>
      <c r="H2336" s="3">
        <f t="shared" si="36"/>
        <v>-3.3073830653715941E-3</v>
      </c>
      <c r="J2336" s="3">
        <v>8.7762330386653709E-3</v>
      </c>
      <c r="K2336" s="3">
        <v>0.73404589751650429</v>
      </c>
    </row>
    <row r="2337" spans="1:11" x14ac:dyDescent="0.2">
      <c r="A2337" s="1">
        <v>45050</v>
      </c>
      <c r="B2337">
        <v>297.140533447265</v>
      </c>
      <c r="C2337">
        <v>305.41000366210898</v>
      </c>
      <c r="D2337">
        <v>307.760009765625</v>
      </c>
      <c r="E2337">
        <v>303.39999389648398</v>
      </c>
      <c r="F2337">
        <v>306.239990234375</v>
      </c>
      <c r="G2337" s="2">
        <v>22519900</v>
      </c>
      <c r="H2337" s="3">
        <f t="shared" si="36"/>
        <v>3.3183581469116152E-3</v>
      </c>
      <c r="J2337" s="3">
        <v>8.7843612120508396E-3</v>
      </c>
      <c r="K2337" s="3">
        <v>0.73436026406790322</v>
      </c>
    </row>
    <row r="2338" spans="1:11" x14ac:dyDescent="0.2">
      <c r="A2338" s="1">
        <v>45051</v>
      </c>
      <c r="B2338">
        <v>302.238525390625</v>
      </c>
      <c r="C2338">
        <v>310.64999389648398</v>
      </c>
      <c r="D2338">
        <v>311.97000122070301</v>
      </c>
      <c r="E2338">
        <v>304.26998901367102</v>
      </c>
      <c r="F2338">
        <v>305.72000122070301</v>
      </c>
      <c r="G2338" s="2">
        <v>28197100</v>
      </c>
      <c r="H2338" s="3">
        <f t="shared" si="36"/>
        <v>1.7156837824230387E-2</v>
      </c>
      <c r="J2338" s="3">
        <v>8.8007720125722333E-3</v>
      </c>
      <c r="K2338" s="3">
        <v>0.73467463061930216</v>
      </c>
    </row>
    <row r="2339" spans="1:11" x14ac:dyDescent="0.2">
      <c r="A2339" s="1">
        <v>45054</v>
      </c>
      <c r="B2339">
        <v>300.29275512695301</v>
      </c>
      <c r="C2339">
        <v>308.64999389648398</v>
      </c>
      <c r="D2339">
        <v>310.20001220703102</v>
      </c>
      <c r="E2339">
        <v>306.08999633789</v>
      </c>
      <c r="F2339">
        <v>310.13000488281199</v>
      </c>
      <c r="G2339" s="2">
        <v>21318600</v>
      </c>
      <c r="H2339" s="3">
        <f t="shared" si="36"/>
        <v>-6.4378631452003399E-3</v>
      </c>
      <c r="J2339" s="3">
        <v>8.8015277817259374E-3</v>
      </c>
      <c r="K2339" s="3">
        <v>0.73498899717070099</v>
      </c>
    </row>
    <row r="2340" spans="1:11" x14ac:dyDescent="0.2">
      <c r="A2340" s="1">
        <v>45055</v>
      </c>
      <c r="B2340">
        <v>298.68743896484301</v>
      </c>
      <c r="C2340">
        <v>307</v>
      </c>
      <c r="D2340">
        <v>310.04000854492102</v>
      </c>
      <c r="E2340">
        <v>306.30999755859301</v>
      </c>
      <c r="F2340">
        <v>308</v>
      </c>
      <c r="G2340" s="2">
        <v>21340800</v>
      </c>
      <c r="H2340" s="3">
        <f t="shared" si="36"/>
        <v>-5.3458371362683499E-3</v>
      </c>
      <c r="J2340" s="3">
        <v>8.8117658323203507E-3</v>
      </c>
      <c r="K2340" s="3">
        <v>0.73530336372209992</v>
      </c>
    </row>
    <row r="2341" spans="1:11" x14ac:dyDescent="0.2">
      <c r="A2341" s="1">
        <v>45056</v>
      </c>
      <c r="B2341">
        <v>303.85360717773398</v>
      </c>
      <c r="C2341">
        <v>312.30999755859301</v>
      </c>
      <c r="D2341">
        <v>313</v>
      </c>
      <c r="E2341">
        <v>307.67001342773398</v>
      </c>
      <c r="F2341">
        <v>308.61999511718699</v>
      </c>
      <c r="G2341" s="2">
        <v>30078000</v>
      </c>
      <c r="H2341" s="3">
        <f t="shared" si="36"/>
        <v>1.7296235257817649E-2</v>
      </c>
      <c r="J2341" s="3">
        <v>8.8234106987614691E-3</v>
      </c>
      <c r="K2341" s="3">
        <v>0.73561773027349886</v>
      </c>
    </row>
    <row r="2342" spans="1:11" x14ac:dyDescent="0.2">
      <c r="A2342" s="1">
        <v>45057</v>
      </c>
      <c r="B2342">
        <v>301.71322631835898</v>
      </c>
      <c r="C2342">
        <v>310.10998535156199</v>
      </c>
      <c r="D2342">
        <v>311.11999511718699</v>
      </c>
      <c r="E2342">
        <v>306.260009765625</v>
      </c>
      <c r="F2342">
        <v>310.100006103515</v>
      </c>
      <c r="G2342" s="2">
        <v>31680200</v>
      </c>
      <c r="H2342" s="3">
        <f t="shared" si="36"/>
        <v>-7.0441186440252102E-3</v>
      </c>
      <c r="J2342" s="3">
        <v>8.8328980751233299E-3</v>
      </c>
      <c r="K2342" s="3">
        <v>0.7359320968248978</v>
      </c>
    </row>
    <row r="2343" spans="1:11" x14ac:dyDescent="0.2">
      <c r="A2343" s="1">
        <v>45058</v>
      </c>
      <c r="B2343">
        <v>300.60409545898398</v>
      </c>
      <c r="C2343">
        <v>308.97000122070301</v>
      </c>
      <c r="D2343">
        <v>310.64999389648398</v>
      </c>
      <c r="E2343">
        <v>306.600006103515</v>
      </c>
      <c r="F2343">
        <v>310.54998779296801</v>
      </c>
      <c r="G2343" s="2">
        <v>19774700</v>
      </c>
      <c r="H2343" s="3">
        <f t="shared" si="36"/>
        <v>-3.6761095060667826E-3</v>
      </c>
      <c r="J2343" s="3">
        <v>8.842207189955209E-3</v>
      </c>
      <c r="K2343" s="3">
        <v>0.73624646337629673</v>
      </c>
    </row>
    <row r="2344" spans="1:11" x14ac:dyDescent="0.2">
      <c r="A2344" s="1">
        <v>45061</v>
      </c>
      <c r="B2344">
        <v>301.08074951171801</v>
      </c>
      <c r="C2344">
        <v>309.45999145507801</v>
      </c>
      <c r="D2344">
        <v>309.89999389648398</v>
      </c>
      <c r="E2344">
        <v>307.58999633789</v>
      </c>
      <c r="F2344">
        <v>309.100006103515</v>
      </c>
      <c r="G2344" s="2">
        <v>16336500</v>
      </c>
      <c r="H2344" s="3">
        <f t="shared" si="36"/>
        <v>1.5856538880691939E-3</v>
      </c>
      <c r="J2344" s="3">
        <v>8.8944838530351511E-3</v>
      </c>
      <c r="K2344" s="3">
        <v>0.73656082992769567</v>
      </c>
    </row>
    <row r="2345" spans="1:11" x14ac:dyDescent="0.2">
      <c r="A2345" s="1">
        <v>45062</v>
      </c>
      <c r="B2345">
        <v>303.299072265625</v>
      </c>
      <c r="C2345">
        <v>311.739990234375</v>
      </c>
      <c r="D2345">
        <v>313.70999145507801</v>
      </c>
      <c r="E2345">
        <v>309.829986572265</v>
      </c>
      <c r="F2345">
        <v>309.829986572265</v>
      </c>
      <c r="G2345" s="2">
        <v>26730300</v>
      </c>
      <c r="H2345" s="3">
        <f t="shared" si="36"/>
        <v>7.3678664527858651E-3</v>
      </c>
      <c r="J2345" s="3">
        <v>8.920957949013486E-3</v>
      </c>
      <c r="K2345" s="3">
        <v>0.73687519647909461</v>
      </c>
    </row>
    <row r="2346" spans="1:11" x14ac:dyDescent="0.2">
      <c r="A2346" s="1">
        <v>45063</v>
      </c>
      <c r="B2346">
        <v>306.16571044921801</v>
      </c>
      <c r="C2346">
        <v>314</v>
      </c>
      <c r="D2346">
        <v>314.42999267578102</v>
      </c>
      <c r="E2346">
        <v>310.739990234375</v>
      </c>
      <c r="F2346">
        <v>312.29000854492102</v>
      </c>
      <c r="G2346" s="2">
        <v>24315000</v>
      </c>
      <c r="H2346" s="3">
        <f t="shared" si="36"/>
        <v>9.4515230863694288E-3</v>
      </c>
      <c r="J2346" s="3">
        <v>8.9267321866524085E-3</v>
      </c>
      <c r="K2346" s="3">
        <v>0.73718956303049354</v>
      </c>
    </row>
    <row r="2347" spans="1:11" x14ac:dyDescent="0.2">
      <c r="A2347" s="1">
        <v>45064</v>
      </c>
      <c r="B2347">
        <v>310.57287597656199</v>
      </c>
      <c r="C2347">
        <v>318.51998901367102</v>
      </c>
      <c r="D2347">
        <v>319.04000854492102</v>
      </c>
      <c r="E2347">
        <v>313.72000122070301</v>
      </c>
      <c r="F2347">
        <v>314.52999877929602</v>
      </c>
      <c r="G2347" s="2">
        <v>27276000</v>
      </c>
      <c r="H2347" s="3">
        <f t="shared" si="36"/>
        <v>1.4394706451214434E-2</v>
      </c>
      <c r="J2347" s="3">
        <v>8.9273782617029784E-3</v>
      </c>
      <c r="K2347" s="3">
        <v>0.73750392958189248</v>
      </c>
    </row>
    <row r="2348" spans="1:11" x14ac:dyDescent="0.2">
      <c r="A2348" s="1">
        <v>45065</v>
      </c>
      <c r="B2348">
        <v>310.39749145507801</v>
      </c>
      <c r="C2348">
        <v>318.33999633789</v>
      </c>
      <c r="D2348">
        <v>318.75</v>
      </c>
      <c r="E2348">
        <v>316.36999511718699</v>
      </c>
      <c r="F2348">
        <v>316.739990234375</v>
      </c>
      <c r="G2348" s="2">
        <v>27546700</v>
      </c>
      <c r="H2348" s="3">
        <f t="shared" si="36"/>
        <v>-5.6471293873461281E-4</v>
      </c>
      <c r="J2348" s="3">
        <v>8.9828235184281624E-3</v>
      </c>
      <c r="K2348" s="3">
        <v>0.73781829613329142</v>
      </c>
    </row>
    <row r="2349" spans="1:11" x14ac:dyDescent="0.2">
      <c r="A2349" s="1">
        <v>45068</v>
      </c>
      <c r="B2349">
        <v>313.16653442382801</v>
      </c>
      <c r="C2349">
        <v>321.17999267578102</v>
      </c>
      <c r="D2349">
        <v>322.58999633789</v>
      </c>
      <c r="E2349">
        <v>318.010009765625</v>
      </c>
      <c r="F2349">
        <v>318.600006103515</v>
      </c>
      <c r="G2349" s="2">
        <v>24115700</v>
      </c>
      <c r="H2349" s="3">
        <f t="shared" si="36"/>
        <v>8.920957949013486E-3</v>
      </c>
      <c r="J2349" s="3">
        <v>9.0108380748792349E-3</v>
      </c>
      <c r="K2349" s="3">
        <v>0.73813266268469035</v>
      </c>
    </row>
    <row r="2350" spans="1:11" x14ac:dyDescent="0.2">
      <c r="A2350" s="1">
        <v>45069</v>
      </c>
      <c r="B2350">
        <v>307.39425659179602</v>
      </c>
      <c r="C2350">
        <v>315.260009765625</v>
      </c>
      <c r="D2350">
        <v>322.72000122070301</v>
      </c>
      <c r="E2350">
        <v>315.25</v>
      </c>
      <c r="F2350">
        <v>320.02999877929602</v>
      </c>
      <c r="G2350" s="2">
        <v>30797200</v>
      </c>
      <c r="H2350" s="3">
        <f t="shared" si="36"/>
        <v>-1.8431975315152949E-2</v>
      </c>
      <c r="J2350" s="3">
        <v>9.0111614244441363E-3</v>
      </c>
      <c r="K2350" s="3">
        <v>0.73844702923608929</v>
      </c>
    </row>
    <row r="2351" spans="1:11" x14ac:dyDescent="0.2">
      <c r="A2351" s="1">
        <v>45070</v>
      </c>
      <c r="B2351">
        <v>306.019439697265</v>
      </c>
      <c r="C2351">
        <v>313.850006103515</v>
      </c>
      <c r="D2351">
        <v>316.5</v>
      </c>
      <c r="E2351">
        <v>312.60998535156199</v>
      </c>
      <c r="F2351">
        <v>314.73001098632801</v>
      </c>
      <c r="G2351" s="2">
        <v>23384900</v>
      </c>
      <c r="H2351" s="3">
        <f t="shared" si="36"/>
        <v>-4.4724872539070315E-3</v>
      </c>
      <c r="J2351" s="3">
        <v>9.0291476032275941E-3</v>
      </c>
      <c r="K2351" s="3">
        <v>0.73876139578748823</v>
      </c>
    </row>
    <row r="2352" spans="1:11" x14ac:dyDescent="0.2">
      <c r="A2352" s="1">
        <v>45071</v>
      </c>
      <c r="B2352">
        <v>317.788330078125</v>
      </c>
      <c r="C2352">
        <v>325.92001342773398</v>
      </c>
      <c r="D2352">
        <v>326.89999389648398</v>
      </c>
      <c r="E2352">
        <v>320</v>
      </c>
      <c r="F2352">
        <v>323.239990234375</v>
      </c>
      <c r="G2352" s="2">
        <v>43301700</v>
      </c>
      <c r="H2352" s="3">
        <f t="shared" si="36"/>
        <v>3.8457982906257682E-2</v>
      </c>
      <c r="J2352" s="3">
        <v>9.0368415957975401E-3</v>
      </c>
      <c r="K2352" s="3">
        <v>0.73907576233888717</v>
      </c>
    </row>
    <row r="2353" spans="1:11" x14ac:dyDescent="0.2">
      <c r="A2353" s="1">
        <v>45072</v>
      </c>
      <c r="B2353">
        <v>324.584381103515</v>
      </c>
      <c r="C2353">
        <v>332.89001464843699</v>
      </c>
      <c r="D2353">
        <v>333.39999389648398</v>
      </c>
      <c r="E2353">
        <v>323.88000488281199</v>
      </c>
      <c r="F2353">
        <v>324.01998901367102</v>
      </c>
      <c r="G2353" s="2">
        <v>36630600</v>
      </c>
      <c r="H2353" s="3">
        <f t="shared" si="36"/>
        <v>2.1385464418153033E-2</v>
      </c>
      <c r="J2353" s="3">
        <v>9.0649561181728178E-3</v>
      </c>
      <c r="K2353" s="3">
        <v>0.7393901288902861</v>
      </c>
    </row>
    <row r="2354" spans="1:11" x14ac:dyDescent="0.2">
      <c r="A2354" s="1">
        <v>45076</v>
      </c>
      <c r="B2354">
        <v>322.9462890625</v>
      </c>
      <c r="C2354">
        <v>331.20999145507801</v>
      </c>
      <c r="D2354">
        <v>335.739990234375</v>
      </c>
      <c r="E2354">
        <v>330.51998901367102</v>
      </c>
      <c r="F2354">
        <v>335.23001098632801</v>
      </c>
      <c r="G2354" s="2">
        <v>29503100</v>
      </c>
      <c r="H2354" s="3">
        <f t="shared" si="36"/>
        <v>-5.0467371086860835E-3</v>
      </c>
      <c r="J2354" s="3">
        <v>9.0753674657111372E-3</v>
      </c>
      <c r="K2354" s="3">
        <v>0.73970449544168504</v>
      </c>
    </row>
    <row r="2355" spans="1:11" x14ac:dyDescent="0.2">
      <c r="A2355" s="1">
        <v>45077</v>
      </c>
      <c r="B2355">
        <v>320.19665527343699</v>
      </c>
      <c r="C2355">
        <v>328.39001464843699</v>
      </c>
      <c r="D2355">
        <v>335.94000244140602</v>
      </c>
      <c r="E2355">
        <v>327.329986572265</v>
      </c>
      <c r="F2355">
        <v>332.29000854492102</v>
      </c>
      <c r="G2355" s="2">
        <v>45950600</v>
      </c>
      <c r="H2355" s="3">
        <f t="shared" si="36"/>
        <v>-8.5142139178780996E-3</v>
      </c>
      <c r="J2355" s="3">
        <v>9.1027103495373574E-3</v>
      </c>
      <c r="K2355" s="3">
        <v>0.74001886199308398</v>
      </c>
    </row>
    <row r="2356" spans="1:11" x14ac:dyDescent="0.2">
      <c r="A2356" s="1">
        <v>45078</v>
      </c>
      <c r="B2356">
        <v>324.282135009765</v>
      </c>
      <c r="C2356">
        <v>332.579986572265</v>
      </c>
      <c r="D2356">
        <v>333.52999877929602</v>
      </c>
      <c r="E2356">
        <v>324.72000122070301</v>
      </c>
      <c r="F2356">
        <v>325.92999267578102</v>
      </c>
      <c r="G2356" s="2">
        <v>26773900</v>
      </c>
      <c r="H2356" s="3">
        <f t="shared" si="36"/>
        <v>1.2759282987635068E-2</v>
      </c>
      <c r="J2356" s="3">
        <v>9.1238299469169615E-3</v>
      </c>
      <c r="K2356" s="3">
        <v>0.74033322854448291</v>
      </c>
    </row>
    <row r="2357" spans="1:11" x14ac:dyDescent="0.2">
      <c r="A2357" s="1">
        <v>45079</v>
      </c>
      <c r="B2357">
        <v>327.03176879882801</v>
      </c>
      <c r="C2357">
        <v>335.39999389648398</v>
      </c>
      <c r="D2357">
        <v>337.5</v>
      </c>
      <c r="E2357">
        <v>332.54998779296801</v>
      </c>
      <c r="F2357">
        <v>334.25</v>
      </c>
      <c r="G2357" s="2">
        <v>25873800</v>
      </c>
      <c r="H2357" s="3">
        <f t="shared" si="36"/>
        <v>8.4791405144171161E-3</v>
      </c>
      <c r="J2357" s="3">
        <v>9.1325488098856766E-3</v>
      </c>
      <c r="K2357" s="3">
        <v>0.74064759509588185</v>
      </c>
    </row>
    <row r="2358" spans="1:11" x14ac:dyDescent="0.2">
      <c r="A2358" s="1">
        <v>45082</v>
      </c>
      <c r="B2358">
        <v>327.55831909179602</v>
      </c>
      <c r="C2358">
        <v>335.94000244140602</v>
      </c>
      <c r="D2358">
        <v>338.55999755859301</v>
      </c>
      <c r="E2358">
        <v>334.66000366210898</v>
      </c>
      <c r="F2358">
        <v>335.22000122070301</v>
      </c>
      <c r="G2358" s="2">
        <v>21307100</v>
      </c>
      <c r="H2358" s="3">
        <f t="shared" si="36"/>
        <v>1.6100891203996159E-3</v>
      </c>
      <c r="J2358" s="3">
        <v>9.133705070060838E-3</v>
      </c>
      <c r="K2358" s="3">
        <v>0.74096196164728068</v>
      </c>
    </row>
    <row r="2359" spans="1:11" x14ac:dyDescent="0.2">
      <c r="A2359" s="1">
        <v>45083</v>
      </c>
      <c r="B2359">
        <v>325.35470581054602</v>
      </c>
      <c r="C2359">
        <v>333.67999267578102</v>
      </c>
      <c r="D2359">
        <v>335.36999511718699</v>
      </c>
      <c r="E2359">
        <v>332.17001342773398</v>
      </c>
      <c r="F2359">
        <v>335.329986572265</v>
      </c>
      <c r="G2359" s="2">
        <v>20396200</v>
      </c>
      <c r="H2359" s="3">
        <f t="shared" si="36"/>
        <v>-6.7273922010585574E-3</v>
      </c>
      <c r="J2359" s="3">
        <v>9.1509612066194013E-3</v>
      </c>
      <c r="K2359" s="3">
        <v>0.74127632819867961</v>
      </c>
    </row>
    <row r="2360" spans="1:11" x14ac:dyDescent="0.2">
      <c r="A2360" s="1">
        <v>45084</v>
      </c>
      <c r="B2360">
        <v>315.31167602539</v>
      </c>
      <c r="C2360">
        <v>323.38000488281199</v>
      </c>
      <c r="D2360">
        <v>334.489990234375</v>
      </c>
      <c r="E2360">
        <v>322.5</v>
      </c>
      <c r="F2360">
        <v>331.64999389648398</v>
      </c>
      <c r="G2360" s="2">
        <v>40717100</v>
      </c>
      <c r="H2360" s="3">
        <f t="shared" si="36"/>
        <v>-3.0867940760641921E-2</v>
      </c>
      <c r="J2360" s="3">
        <v>9.1541020762124781E-3</v>
      </c>
      <c r="K2360" s="3">
        <v>0.74159069475007855</v>
      </c>
    </row>
    <row r="2361" spans="1:11" x14ac:dyDescent="0.2">
      <c r="A2361" s="1">
        <v>45085</v>
      </c>
      <c r="B2361">
        <v>317.14480590820301</v>
      </c>
      <c r="C2361">
        <v>325.260009765625</v>
      </c>
      <c r="D2361">
        <v>326.64001464843699</v>
      </c>
      <c r="E2361">
        <v>323.350006103515</v>
      </c>
      <c r="F2361">
        <v>323.94000244140602</v>
      </c>
      <c r="G2361" s="2">
        <v>23277700</v>
      </c>
      <c r="H2361" s="3">
        <f t="shared" si="36"/>
        <v>5.8137075858408771E-3</v>
      </c>
      <c r="J2361" s="3">
        <v>9.1563516278825308E-3</v>
      </c>
      <c r="K2361" s="3">
        <v>0.74190506130147749</v>
      </c>
    </row>
    <row r="2362" spans="1:11" x14ac:dyDescent="0.2">
      <c r="A2362" s="1">
        <v>45086</v>
      </c>
      <c r="B2362">
        <v>318.636627197265</v>
      </c>
      <c r="C2362">
        <v>326.79000854492102</v>
      </c>
      <c r="D2362">
        <v>329.989990234375</v>
      </c>
      <c r="E2362">
        <v>324.41000366210898</v>
      </c>
      <c r="F2362">
        <v>324.989990234375</v>
      </c>
      <c r="G2362" s="2">
        <v>22529000</v>
      </c>
      <c r="H2362" s="3">
        <f t="shared" si="36"/>
        <v>4.7039120971565929E-3</v>
      </c>
      <c r="J2362" s="3">
        <v>9.1569771167772096E-3</v>
      </c>
      <c r="K2362" s="3">
        <v>0.74221942785287642</v>
      </c>
    </row>
    <row r="2363" spans="1:11" x14ac:dyDescent="0.2">
      <c r="A2363" s="1">
        <v>45089</v>
      </c>
      <c r="B2363">
        <v>323.5703125</v>
      </c>
      <c r="C2363">
        <v>331.850006103515</v>
      </c>
      <c r="D2363">
        <v>332.100006103515</v>
      </c>
      <c r="E2363">
        <v>325.16000366210898</v>
      </c>
      <c r="F2363">
        <v>328.579986572265</v>
      </c>
      <c r="G2363" s="2">
        <v>24260300</v>
      </c>
      <c r="H2363" s="3">
        <f t="shared" si="36"/>
        <v>1.5483735646249386E-2</v>
      </c>
      <c r="J2363" s="3">
        <v>9.1598886593871054E-3</v>
      </c>
      <c r="K2363" s="3">
        <v>0.74253379440427536</v>
      </c>
    </row>
    <row r="2364" spans="1:11" x14ac:dyDescent="0.2">
      <c r="A2364" s="1">
        <v>45090</v>
      </c>
      <c r="B2364">
        <v>325.949462890625</v>
      </c>
      <c r="C2364">
        <v>334.29000854492102</v>
      </c>
      <c r="D2364">
        <v>336.98001098632801</v>
      </c>
      <c r="E2364">
        <v>330.39001464843699</v>
      </c>
      <c r="F2364">
        <v>334.47000122070301</v>
      </c>
      <c r="G2364" s="2">
        <v>22951300</v>
      </c>
      <c r="H2364" s="3">
        <f t="shared" si="36"/>
        <v>7.3528080256899386E-3</v>
      </c>
      <c r="J2364" s="3">
        <v>9.1615270397231718E-3</v>
      </c>
      <c r="K2364" s="3">
        <v>0.7428481609556743</v>
      </c>
    </row>
    <row r="2365" spans="1:11" x14ac:dyDescent="0.2">
      <c r="A2365" s="1">
        <v>45091</v>
      </c>
      <c r="B2365">
        <v>328.92337036132801</v>
      </c>
      <c r="C2365">
        <v>337.33999633789</v>
      </c>
      <c r="D2365">
        <v>339.04000854492102</v>
      </c>
      <c r="E2365">
        <v>332.80999755859301</v>
      </c>
      <c r="F2365">
        <v>334.33999633789</v>
      </c>
      <c r="G2365" s="2">
        <v>26003800</v>
      </c>
      <c r="H2365" s="3">
        <f t="shared" si="36"/>
        <v>9.1238299469169615E-3</v>
      </c>
      <c r="J2365" s="3">
        <v>9.1753857809566686E-3</v>
      </c>
      <c r="K2365" s="3">
        <v>0.74316252750707323</v>
      </c>
    </row>
    <row r="2366" spans="1:11" x14ac:dyDescent="0.2">
      <c r="A2366" s="1">
        <v>45092</v>
      </c>
      <c r="B2366">
        <v>339.414947509765</v>
      </c>
      <c r="C2366">
        <v>348.100006103515</v>
      </c>
      <c r="D2366">
        <v>349.83999633789</v>
      </c>
      <c r="E2366">
        <v>337.20001220703102</v>
      </c>
      <c r="F2366">
        <v>337.48001098632801</v>
      </c>
      <c r="G2366" s="2">
        <v>38899100</v>
      </c>
      <c r="H2366" s="3">
        <f t="shared" si="36"/>
        <v>3.1896721527910232E-2</v>
      </c>
      <c r="J2366" s="3">
        <v>9.1777612187644575E-3</v>
      </c>
      <c r="K2366" s="3">
        <v>0.74347689405847217</v>
      </c>
    </row>
    <row r="2367" spans="1:11" x14ac:dyDescent="0.2">
      <c r="A2367" s="1">
        <v>45093</v>
      </c>
      <c r="B2367">
        <v>333.78887939453102</v>
      </c>
      <c r="C2367">
        <v>342.329986572265</v>
      </c>
      <c r="D2367">
        <v>351.47000122070301</v>
      </c>
      <c r="E2367">
        <v>341.95001220703102</v>
      </c>
      <c r="F2367">
        <v>351.32000732421801</v>
      </c>
      <c r="G2367" s="2">
        <v>46552000</v>
      </c>
      <c r="H2367" s="3">
        <f t="shared" si="36"/>
        <v>-1.6575781816657087E-2</v>
      </c>
      <c r="J2367" s="3">
        <v>9.2050700411285824E-3</v>
      </c>
      <c r="K2367" s="3">
        <v>0.74379126060987111</v>
      </c>
    </row>
    <row r="2368" spans="1:11" x14ac:dyDescent="0.2">
      <c r="A2368" s="1">
        <v>45097</v>
      </c>
      <c r="B2368">
        <v>329.61566162109301</v>
      </c>
      <c r="C2368">
        <v>338.04998779296801</v>
      </c>
      <c r="D2368">
        <v>342.079986572265</v>
      </c>
      <c r="E2368">
        <v>335.85998535156199</v>
      </c>
      <c r="F2368">
        <v>339.30999755859301</v>
      </c>
      <c r="G2368" s="2">
        <v>26375400</v>
      </c>
      <c r="H2368" s="3">
        <f t="shared" si="36"/>
        <v>-1.2502566835084328E-2</v>
      </c>
      <c r="J2368" s="3">
        <v>9.2169658861043224E-3</v>
      </c>
      <c r="K2368" s="3">
        <v>0.74410562716127004</v>
      </c>
    </row>
    <row r="2369" spans="1:11" x14ac:dyDescent="0.2">
      <c r="A2369" s="1">
        <v>45098</v>
      </c>
      <c r="B2369">
        <v>325.237701416015</v>
      </c>
      <c r="C2369">
        <v>333.55999755859301</v>
      </c>
      <c r="D2369">
        <v>337.73001098632801</v>
      </c>
      <c r="E2369">
        <v>332.07000732421801</v>
      </c>
      <c r="F2369">
        <v>336.36999511718699</v>
      </c>
      <c r="G2369" s="2">
        <v>25117800</v>
      </c>
      <c r="H2369" s="3">
        <f t="shared" si="36"/>
        <v>-1.3282015131036662E-2</v>
      </c>
      <c r="J2369" s="3">
        <v>9.2266394373494709E-3</v>
      </c>
      <c r="K2369" s="3">
        <v>0.74441999371266898</v>
      </c>
    </row>
    <row r="2370" spans="1:11" x14ac:dyDescent="0.2">
      <c r="A2370" s="1">
        <v>45099</v>
      </c>
      <c r="B2370">
        <v>331.23425292968699</v>
      </c>
      <c r="C2370">
        <v>339.70999145507801</v>
      </c>
      <c r="D2370">
        <v>340.11999511718699</v>
      </c>
      <c r="E2370">
        <v>333.33999633789</v>
      </c>
      <c r="F2370">
        <v>334.11999511718699</v>
      </c>
      <c r="G2370" s="2">
        <v>23556800</v>
      </c>
      <c r="H2370" s="3">
        <f t="shared" ref="H2370:H2433" si="37">B2370/B2369-1</f>
        <v>1.843744279203885E-2</v>
      </c>
      <c r="J2370" s="3">
        <v>9.2331525582418639E-3</v>
      </c>
      <c r="K2370" s="3">
        <v>0.74473436026406792</v>
      </c>
    </row>
    <row r="2371" spans="1:11" x14ac:dyDescent="0.2">
      <c r="A2371" s="1">
        <v>45100</v>
      </c>
      <c r="B2371">
        <v>326.66122436523398</v>
      </c>
      <c r="C2371">
        <v>335.01998901367102</v>
      </c>
      <c r="D2371">
        <v>337.95999145507801</v>
      </c>
      <c r="E2371">
        <v>333.45001220703102</v>
      </c>
      <c r="F2371">
        <v>334.35998535156199</v>
      </c>
      <c r="G2371" s="2">
        <v>23146900</v>
      </c>
      <c r="H2371" s="3">
        <f t="shared" si="37"/>
        <v>-1.3806025566515778E-2</v>
      </c>
      <c r="J2371" s="3">
        <v>9.2648607530210203E-3</v>
      </c>
      <c r="K2371" s="3">
        <v>0.74504872681546686</v>
      </c>
    </row>
    <row r="2372" spans="1:11" x14ac:dyDescent="0.2">
      <c r="A2372" s="1">
        <v>45103</v>
      </c>
      <c r="B2372">
        <v>320.40145874023398</v>
      </c>
      <c r="C2372">
        <v>328.600006103515</v>
      </c>
      <c r="D2372">
        <v>336.10998535156199</v>
      </c>
      <c r="E2372">
        <v>328.489990234375</v>
      </c>
      <c r="F2372">
        <v>333.72000122070301</v>
      </c>
      <c r="G2372" s="2">
        <v>21520600</v>
      </c>
      <c r="H2372" s="3">
        <f t="shared" si="37"/>
        <v>-1.9162867087037738E-2</v>
      </c>
      <c r="J2372" s="3">
        <v>9.2840207717075351E-3</v>
      </c>
      <c r="K2372" s="3">
        <v>0.74536309336686579</v>
      </c>
    </row>
    <row r="2373" spans="1:11" x14ac:dyDescent="0.2">
      <c r="A2373" s="1">
        <v>45104</v>
      </c>
      <c r="B2373">
        <v>326.22253417968699</v>
      </c>
      <c r="C2373">
        <v>334.57000732421801</v>
      </c>
      <c r="D2373">
        <v>336.14999389648398</v>
      </c>
      <c r="E2373">
        <v>329.29998779296801</v>
      </c>
      <c r="F2373">
        <v>331.85998535156199</v>
      </c>
      <c r="G2373" s="2">
        <v>24354100</v>
      </c>
      <c r="H2373" s="3">
        <f t="shared" si="37"/>
        <v>1.8168067843200575E-2</v>
      </c>
      <c r="J2373" s="3">
        <v>9.2857390982863386E-3</v>
      </c>
      <c r="K2373" s="3">
        <v>0.74567745991826473</v>
      </c>
    </row>
    <row r="2374" spans="1:11" x14ac:dyDescent="0.2">
      <c r="A2374" s="1">
        <v>45105</v>
      </c>
      <c r="B2374">
        <v>327.470611572265</v>
      </c>
      <c r="C2374">
        <v>335.850006103515</v>
      </c>
      <c r="D2374">
        <v>337.98001098632801</v>
      </c>
      <c r="E2374">
        <v>333.80999755859301</v>
      </c>
      <c r="F2374">
        <v>334.66000366210898</v>
      </c>
      <c r="G2374" s="2">
        <v>20259500</v>
      </c>
      <c r="H2374" s="3">
        <f t="shared" si="37"/>
        <v>3.8258466592946405E-3</v>
      </c>
      <c r="J2374" s="3">
        <v>9.2927786166046022E-3</v>
      </c>
      <c r="K2374" s="3">
        <v>0.74599182646966367</v>
      </c>
    </row>
    <row r="2375" spans="1:11" x14ac:dyDescent="0.2">
      <c r="A2375" s="1">
        <v>45106</v>
      </c>
      <c r="B2375">
        <v>326.69049072265602</v>
      </c>
      <c r="C2375">
        <v>335.04998779296801</v>
      </c>
      <c r="D2375">
        <v>336.10998535156199</v>
      </c>
      <c r="E2375">
        <v>332.61999511718699</v>
      </c>
      <c r="F2375">
        <v>334.70999145507801</v>
      </c>
      <c r="G2375" s="2">
        <v>16997000</v>
      </c>
      <c r="H2375" s="3">
        <f t="shared" si="37"/>
        <v>-2.3822621696140134E-3</v>
      </c>
      <c r="J2375" s="3">
        <v>9.29462445568352E-3</v>
      </c>
      <c r="K2375" s="3">
        <v>0.7463061930210626</v>
      </c>
    </row>
    <row r="2376" spans="1:11" x14ac:dyDescent="0.2">
      <c r="A2376" s="1">
        <v>45107</v>
      </c>
      <c r="B2376">
        <v>332.04354858398398</v>
      </c>
      <c r="C2376">
        <v>340.54000854492102</v>
      </c>
      <c r="D2376">
        <v>342.73001098632801</v>
      </c>
      <c r="E2376">
        <v>337.20001220703102</v>
      </c>
      <c r="F2376">
        <v>337.75</v>
      </c>
      <c r="G2376" s="2">
        <v>26832800</v>
      </c>
      <c r="H2376" s="3">
        <f t="shared" si="37"/>
        <v>1.6385716797225225E-2</v>
      </c>
      <c r="J2376" s="3">
        <v>9.2960634292273969E-3</v>
      </c>
      <c r="K2376" s="3">
        <v>0.74662055957246154</v>
      </c>
    </row>
    <row r="2377" spans="1:11" x14ac:dyDescent="0.2">
      <c r="A2377" s="1">
        <v>45110</v>
      </c>
      <c r="B2377">
        <v>329.55709838867102</v>
      </c>
      <c r="C2377">
        <v>337.989990234375</v>
      </c>
      <c r="D2377">
        <v>340.89999389648398</v>
      </c>
      <c r="E2377">
        <v>336.57000732421801</v>
      </c>
      <c r="F2377">
        <v>339.19000244140602</v>
      </c>
      <c r="G2377" s="2">
        <v>12508700</v>
      </c>
      <c r="H2377" s="3">
        <f t="shared" si="37"/>
        <v>-7.4883255702951068E-3</v>
      </c>
      <c r="J2377" s="3">
        <v>9.3607931645958153E-3</v>
      </c>
      <c r="K2377" s="3">
        <v>0.74693492612386048</v>
      </c>
    </row>
    <row r="2378" spans="1:11" x14ac:dyDescent="0.2">
      <c r="A2378" s="1">
        <v>45112</v>
      </c>
      <c r="B2378">
        <v>329.71319580078102</v>
      </c>
      <c r="C2378">
        <v>338.14999389648398</v>
      </c>
      <c r="D2378">
        <v>341.64999389648398</v>
      </c>
      <c r="E2378">
        <v>334.73001098632801</v>
      </c>
      <c r="F2378">
        <v>335.08999633789</v>
      </c>
      <c r="G2378" s="2">
        <v>18172400</v>
      </c>
      <c r="H2378" s="3">
        <f t="shared" si="37"/>
        <v>4.736581699293918E-4</v>
      </c>
      <c r="J2378" s="3">
        <v>9.361816148085067E-3</v>
      </c>
      <c r="K2378" s="3">
        <v>0.7472492926752593</v>
      </c>
    </row>
    <row r="2379" spans="1:11" x14ac:dyDescent="0.2">
      <c r="A2379" s="1">
        <v>45113</v>
      </c>
      <c r="B2379">
        <v>332.75534057617102</v>
      </c>
      <c r="C2379">
        <v>341.26998901367102</v>
      </c>
      <c r="D2379">
        <v>342.989990234375</v>
      </c>
      <c r="E2379">
        <v>335.5</v>
      </c>
      <c r="F2379">
        <v>337.29998779296801</v>
      </c>
      <c r="G2379" s="2">
        <v>28161200</v>
      </c>
      <c r="H2379" s="3">
        <f t="shared" si="37"/>
        <v>9.2266394373494709E-3</v>
      </c>
      <c r="J2379" s="3">
        <v>9.3737249956988844E-3</v>
      </c>
      <c r="K2379" s="3">
        <v>0.74756365922665824</v>
      </c>
    </row>
    <row r="2380" spans="1:11" x14ac:dyDescent="0.2">
      <c r="A2380" s="1">
        <v>45114</v>
      </c>
      <c r="B2380">
        <v>328.80642700195301</v>
      </c>
      <c r="C2380">
        <v>337.22000122070301</v>
      </c>
      <c r="D2380">
        <v>341.79000854492102</v>
      </c>
      <c r="E2380">
        <v>337</v>
      </c>
      <c r="F2380">
        <v>339.32000732421801</v>
      </c>
      <c r="G2380" s="2">
        <v>21214800</v>
      </c>
      <c r="H2380" s="3">
        <f t="shared" si="37"/>
        <v>-1.1867318394891635E-2</v>
      </c>
      <c r="J2380" s="3">
        <v>9.407285199377613E-3</v>
      </c>
      <c r="K2380" s="3">
        <v>0.74787802577805718</v>
      </c>
    </row>
    <row r="2381" spans="1:11" x14ac:dyDescent="0.2">
      <c r="A2381" s="1">
        <v>45117</v>
      </c>
      <c r="B2381">
        <v>323.55087280273398</v>
      </c>
      <c r="C2381">
        <v>331.829986572265</v>
      </c>
      <c r="D2381">
        <v>335.23001098632801</v>
      </c>
      <c r="E2381">
        <v>327.58999633789</v>
      </c>
      <c r="F2381">
        <v>334.600006103515</v>
      </c>
      <c r="G2381" s="2">
        <v>32791400</v>
      </c>
      <c r="H2381" s="3">
        <f t="shared" si="37"/>
        <v>-1.5983733186540894E-2</v>
      </c>
      <c r="J2381" s="3">
        <v>9.4145691072609061E-3</v>
      </c>
      <c r="K2381" s="3">
        <v>0.74819239232945611</v>
      </c>
    </row>
    <row r="2382" spans="1:11" x14ac:dyDescent="0.2">
      <c r="A2382" s="1">
        <v>45118</v>
      </c>
      <c r="B2382">
        <v>324.17486572265602</v>
      </c>
      <c r="C2382">
        <v>332.47000122070301</v>
      </c>
      <c r="D2382">
        <v>332.85998535156199</v>
      </c>
      <c r="E2382">
        <v>327</v>
      </c>
      <c r="F2382">
        <v>331.05999755859301</v>
      </c>
      <c r="G2382" s="2">
        <v>26698200</v>
      </c>
      <c r="H2382" s="3">
        <f t="shared" si="37"/>
        <v>1.9285774583661652E-3</v>
      </c>
      <c r="J2382" s="3">
        <v>9.427672514909391E-3</v>
      </c>
      <c r="K2382" s="3">
        <v>0.74850675888085505</v>
      </c>
    </row>
    <row r="2383" spans="1:11" x14ac:dyDescent="0.2">
      <c r="A2383" s="1">
        <v>45119</v>
      </c>
      <c r="B2383">
        <v>328.786865234375</v>
      </c>
      <c r="C2383">
        <v>337.20001220703102</v>
      </c>
      <c r="D2383">
        <v>341.64999389648398</v>
      </c>
      <c r="E2383">
        <v>335.67001342773398</v>
      </c>
      <c r="F2383">
        <v>336.600006103515</v>
      </c>
      <c r="G2383" s="2">
        <v>29995300</v>
      </c>
      <c r="H2383" s="3">
        <f t="shared" si="37"/>
        <v>1.4226888014398753E-2</v>
      </c>
      <c r="J2383" s="3">
        <v>9.438969706388356E-3</v>
      </c>
      <c r="K2383" s="3">
        <v>0.74882112543225399</v>
      </c>
    </row>
    <row r="2384" spans="1:11" x14ac:dyDescent="0.2">
      <c r="A2384" s="1">
        <v>45120</v>
      </c>
      <c r="B2384">
        <v>334.11062622070301</v>
      </c>
      <c r="C2384">
        <v>342.66000366210898</v>
      </c>
      <c r="D2384">
        <v>343.739990234375</v>
      </c>
      <c r="E2384">
        <v>339.01998901367102</v>
      </c>
      <c r="F2384">
        <v>339.55999755859301</v>
      </c>
      <c r="G2384" s="2">
        <v>20567200</v>
      </c>
      <c r="H2384" s="3">
        <f t="shared" si="37"/>
        <v>1.619213402133024E-2</v>
      </c>
      <c r="J2384" s="3">
        <v>9.4390718156662778E-3</v>
      </c>
      <c r="K2384" s="3">
        <v>0.74913549198365292</v>
      </c>
    </row>
    <row r="2385" spans="1:11" x14ac:dyDescent="0.2">
      <c r="A2385" s="1">
        <v>45121</v>
      </c>
      <c r="B2385">
        <v>336.62628173828102</v>
      </c>
      <c r="C2385">
        <v>345.239990234375</v>
      </c>
      <c r="D2385">
        <v>351.42999267578102</v>
      </c>
      <c r="E2385">
        <v>344.30999755859301</v>
      </c>
      <c r="F2385">
        <v>347.58999633789</v>
      </c>
      <c r="G2385" s="2">
        <v>28352700</v>
      </c>
      <c r="H2385" s="3">
        <f t="shared" si="37"/>
        <v>7.5294088848172347E-3</v>
      </c>
      <c r="J2385" s="3">
        <v>9.4515230863694288E-3</v>
      </c>
      <c r="K2385" s="3">
        <v>0.74944985853505186</v>
      </c>
    </row>
    <row r="2386" spans="1:11" x14ac:dyDescent="0.2">
      <c r="A2386" s="1">
        <v>45124</v>
      </c>
      <c r="B2386">
        <v>337.10409545898398</v>
      </c>
      <c r="C2386">
        <v>345.73001098632801</v>
      </c>
      <c r="D2386">
        <v>346.989990234375</v>
      </c>
      <c r="E2386">
        <v>342.20001220703102</v>
      </c>
      <c r="F2386">
        <v>345.67999267578102</v>
      </c>
      <c r="G2386" s="2">
        <v>20363900</v>
      </c>
      <c r="H2386" s="3">
        <f t="shared" si="37"/>
        <v>1.4194189420850822E-3</v>
      </c>
      <c r="J2386" s="3">
        <v>9.4771384415415216E-3</v>
      </c>
      <c r="K2386" s="3">
        <v>0.7497642250864508</v>
      </c>
    </row>
    <row r="2387" spans="1:11" x14ac:dyDescent="0.2">
      <c r="A2387" s="1">
        <v>45125</v>
      </c>
      <c r="B2387">
        <v>350.52078247070301</v>
      </c>
      <c r="C2387">
        <v>359.489990234375</v>
      </c>
      <c r="D2387">
        <v>366.77999877929602</v>
      </c>
      <c r="E2387">
        <v>342.17001342773398</v>
      </c>
      <c r="F2387">
        <v>345.829986572265</v>
      </c>
      <c r="G2387" s="2">
        <v>64738600</v>
      </c>
      <c r="H2387" s="3">
        <f t="shared" si="37"/>
        <v>3.9799833916142502E-2</v>
      </c>
      <c r="J2387" s="3">
        <v>9.4838374718804186E-3</v>
      </c>
      <c r="K2387" s="3">
        <v>0.75007859163784973</v>
      </c>
    </row>
    <row r="2388" spans="1:11" x14ac:dyDescent="0.2">
      <c r="A2388" s="1">
        <v>45126</v>
      </c>
      <c r="B2388">
        <v>346.22079467773398</v>
      </c>
      <c r="C2388">
        <v>355.079986572265</v>
      </c>
      <c r="D2388">
        <v>362.45999145507801</v>
      </c>
      <c r="E2388">
        <v>352.44000244140602</v>
      </c>
      <c r="F2388">
        <v>361.75</v>
      </c>
      <c r="G2388" s="2">
        <v>39732900</v>
      </c>
      <c r="H2388" s="3">
        <f t="shared" si="37"/>
        <v>-1.2267426092854916E-2</v>
      </c>
      <c r="J2388" s="3">
        <v>9.4845227881041883E-3</v>
      </c>
      <c r="K2388" s="3">
        <v>0.75039295818924867</v>
      </c>
    </row>
    <row r="2389" spans="1:11" x14ac:dyDescent="0.2">
      <c r="A2389" s="1">
        <v>45127</v>
      </c>
      <c r="B2389">
        <v>338.21554565429602</v>
      </c>
      <c r="C2389">
        <v>346.86999511718699</v>
      </c>
      <c r="D2389">
        <v>357.97000122070301</v>
      </c>
      <c r="E2389">
        <v>345.36999511718699</v>
      </c>
      <c r="F2389">
        <v>353.57000732421801</v>
      </c>
      <c r="G2389" s="2">
        <v>33778400</v>
      </c>
      <c r="H2389" s="3">
        <f t="shared" si="37"/>
        <v>-2.312180304158018E-2</v>
      </c>
      <c r="J2389" s="3">
        <v>9.5415300401047176E-3</v>
      </c>
      <c r="K2389" s="3">
        <v>0.75070732474064761</v>
      </c>
    </row>
    <row r="2390" spans="1:11" x14ac:dyDescent="0.2">
      <c r="A2390" s="1">
        <v>45128</v>
      </c>
      <c r="B2390">
        <v>335.19296264648398</v>
      </c>
      <c r="C2390">
        <v>343.76998901367102</v>
      </c>
      <c r="D2390">
        <v>350.29998779296801</v>
      </c>
      <c r="E2390">
        <v>339.829986572265</v>
      </c>
      <c r="F2390">
        <v>349.14999389648398</v>
      </c>
      <c r="G2390" s="2">
        <v>69405400</v>
      </c>
      <c r="H2390" s="3">
        <f t="shared" si="37"/>
        <v>-8.9368541648926492E-3</v>
      </c>
      <c r="J2390" s="3">
        <v>9.5543829858015794E-3</v>
      </c>
      <c r="K2390" s="3">
        <v>0.75102169129204654</v>
      </c>
    </row>
    <row r="2391" spans="1:11" x14ac:dyDescent="0.2">
      <c r="A2391" s="1">
        <v>45131</v>
      </c>
      <c r="B2391">
        <v>336.49954223632801</v>
      </c>
      <c r="C2391">
        <v>345.10998535156199</v>
      </c>
      <c r="D2391">
        <v>346.92001342773398</v>
      </c>
      <c r="E2391">
        <v>342.30999755859301</v>
      </c>
      <c r="F2391">
        <v>345.850006103515</v>
      </c>
      <c r="G2391" s="2">
        <v>26678100</v>
      </c>
      <c r="H2391" s="3">
        <f t="shared" si="37"/>
        <v>3.8979923072610667E-3</v>
      </c>
      <c r="J2391" s="3">
        <v>9.5907604025118331E-3</v>
      </c>
      <c r="K2391" s="3">
        <v>0.75133605784344548</v>
      </c>
    </row>
    <row r="2392" spans="1:11" x14ac:dyDescent="0.2">
      <c r="A2392" s="1">
        <v>45132</v>
      </c>
      <c r="B2392">
        <v>342.223052978515</v>
      </c>
      <c r="C2392">
        <v>350.98001098632801</v>
      </c>
      <c r="D2392">
        <v>351.89001464843699</v>
      </c>
      <c r="E2392">
        <v>345.07000732421801</v>
      </c>
      <c r="F2392">
        <v>347.10998535156199</v>
      </c>
      <c r="G2392" s="2">
        <v>41637700</v>
      </c>
      <c r="H2392" s="3">
        <f t="shared" si="37"/>
        <v>1.7008970366346965E-2</v>
      </c>
      <c r="J2392" s="3">
        <v>9.5946127616135524E-3</v>
      </c>
      <c r="K2392" s="3">
        <v>0.75165042439484442</v>
      </c>
    </row>
    <row r="2393" spans="1:11" x14ac:dyDescent="0.2">
      <c r="A2393" s="1">
        <v>45133</v>
      </c>
      <c r="B2393">
        <v>329.34262084960898</v>
      </c>
      <c r="C2393">
        <v>337.76998901367102</v>
      </c>
      <c r="D2393">
        <v>344.67001342773398</v>
      </c>
      <c r="E2393">
        <v>333.10998535156199</v>
      </c>
      <c r="F2393">
        <v>341.44000244140602</v>
      </c>
      <c r="G2393" s="2">
        <v>58383700</v>
      </c>
      <c r="H2393" s="3">
        <f t="shared" si="37"/>
        <v>-3.763753498428013E-2</v>
      </c>
      <c r="J2393" s="3">
        <v>9.6585753948887909E-3</v>
      </c>
      <c r="K2393" s="3">
        <v>0.75196479094624336</v>
      </c>
    </row>
    <row r="2394" spans="1:11" x14ac:dyDescent="0.2">
      <c r="A2394" s="1">
        <v>45134</v>
      </c>
      <c r="B2394">
        <v>322.468505859375</v>
      </c>
      <c r="C2394">
        <v>330.72000122070301</v>
      </c>
      <c r="D2394">
        <v>341.329986572265</v>
      </c>
      <c r="E2394">
        <v>329.04998779296801</v>
      </c>
      <c r="F2394">
        <v>340.48001098632801</v>
      </c>
      <c r="G2394" s="2">
        <v>39635300</v>
      </c>
      <c r="H2394" s="3">
        <f t="shared" si="37"/>
        <v>-2.0872230179321272E-2</v>
      </c>
      <c r="J2394" s="3">
        <v>9.6652391831404394E-3</v>
      </c>
      <c r="K2394" s="3">
        <v>0.75227915749764229</v>
      </c>
    </row>
    <row r="2395" spans="1:11" x14ac:dyDescent="0.2">
      <c r="A2395" s="1">
        <v>45135</v>
      </c>
      <c r="B2395">
        <v>329.92776489257801</v>
      </c>
      <c r="C2395">
        <v>338.36999511718699</v>
      </c>
      <c r="D2395">
        <v>340.010009765625</v>
      </c>
      <c r="E2395">
        <v>333.17001342773398</v>
      </c>
      <c r="F2395">
        <v>333.67001342773398</v>
      </c>
      <c r="G2395" s="2">
        <v>28484900</v>
      </c>
      <c r="H2395" s="3">
        <f t="shared" si="37"/>
        <v>2.3131744333680482E-2</v>
      </c>
      <c r="J2395" s="3">
        <v>9.7307662263672601E-3</v>
      </c>
      <c r="K2395" s="3">
        <v>0.75259352404904123</v>
      </c>
    </row>
    <row r="2396" spans="1:11" x14ac:dyDescent="0.2">
      <c r="A2396" s="1">
        <v>45138</v>
      </c>
      <c r="B2396">
        <v>327.53875732421801</v>
      </c>
      <c r="C2396">
        <v>335.92001342773398</v>
      </c>
      <c r="D2396">
        <v>337.70001220703102</v>
      </c>
      <c r="E2396">
        <v>333.35998535156199</v>
      </c>
      <c r="F2396">
        <v>336.92001342773398</v>
      </c>
      <c r="G2396" s="2">
        <v>25446000</v>
      </c>
      <c r="H2396" s="3">
        <f t="shared" si="37"/>
        <v>-7.2410018876035709E-3</v>
      </c>
      <c r="J2396" s="3">
        <v>9.7356473170919777E-3</v>
      </c>
      <c r="K2396" s="3">
        <v>0.75290789060044017</v>
      </c>
    </row>
    <row r="2397" spans="1:11" x14ac:dyDescent="0.2">
      <c r="A2397" s="1">
        <v>45139</v>
      </c>
      <c r="B2397">
        <v>327.94830322265602</v>
      </c>
      <c r="C2397">
        <v>336.33999633789</v>
      </c>
      <c r="D2397">
        <v>338.54000854492102</v>
      </c>
      <c r="E2397">
        <v>333.70001220703102</v>
      </c>
      <c r="F2397">
        <v>335.19000244140602</v>
      </c>
      <c r="G2397" s="2">
        <v>18311900</v>
      </c>
      <c r="H2397" s="3">
        <f t="shared" si="37"/>
        <v>1.2503738543301335E-3</v>
      </c>
      <c r="J2397" s="3">
        <v>9.7364469832341705E-3</v>
      </c>
      <c r="K2397" s="3">
        <v>0.75322225715183899</v>
      </c>
    </row>
    <row r="2398" spans="1:11" x14ac:dyDescent="0.2">
      <c r="A2398" s="1">
        <v>45140</v>
      </c>
      <c r="B2398">
        <v>319.32891845703102</v>
      </c>
      <c r="C2398">
        <v>327.5</v>
      </c>
      <c r="D2398">
        <v>333.63000488281199</v>
      </c>
      <c r="E2398">
        <v>326.35998535156199</v>
      </c>
      <c r="F2398">
        <v>333.63000488281199</v>
      </c>
      <c r="G2398" s="2">
        <v>27761300</v>
      </c>
      <c r="H2398" s="3">
        <f t="shared" si="37"/>
        <v>-2.6282754571146483E-2</v>
      </c>
      <c r="J2398" s="3">
        <v>9.7464907632700548E-3</v>
      </c>
      <c r="K2398" s="3">
        <v>0.75353662370323793</v>
      </c>
    </row>
    <row r="2399" spans="1:11" x14ac:dyDescent="0.2">
      <c r="A2399" s="1">
        <v>45141</v>
      </c>
      <c r="B2399">
        <v>318.50982666015602</v>
      </c>
      <c r="C2399">
        <v>326.66000366210898</v>
      </c>
      <c r="D2399">
        <v>329.88000488281199</v>
      </c>
      <c r="E2399">
        <v>325.95001220703102</v>
      </c>
      <c r="F2399">
        <v>326</v>
      </c>
      <c r="G2399" s="2">
        <v>18253700</v>
      </c>
      <c r="H2399" s="3">
        <f t="shared" si="37"/>
        <v>-2.5650410893970355E-3</v>
      </c>
      <c r="J2399" s="3">
        <v>9.7904746102579487E-3</v>
      </c>
      <c r="K2399" s="3">
        <v>0.75385099025463687</v>
      </c>
    </row>
    <row r="2400" spans="1:11" x14ac:dyDescent="0.2">
      <c r="A2400" s="1">
        <v>45142</v>
      </c>
      <c r="B2400">
        <v>319.60186767578102</v>
      </c>
      <c r="C2400">
        <v>327.77999877929602</v>
      </c>
      <c r="D2400">
        <v>335.14001464843699</v>
      </c>
      <c r="E2400">
        <v>327.239990234375</v>
      </c>
      <c r="F2400">
        <v>331.88000488281199</v>
      </c>
      <c r="G2400" s="2">
        <v>23741500</v>
      </c>
      <c r="H2400" s="3">
        <f t="shared" si="37"/>
        <v>3.4285944238392485E-3</v>
      </c>
      <c r="J2400" s="3">
        <v>9.7959615066218753E-3</v>
      </c>
      <c r="K2400" s="3">
        <v>0.7541653568060358</v>
      </c>
    </row>
    <row r="2401" spans="1:11" x14ac:dyDescent="0.2">
      <c r="A2401" s="1">
        <v>45145</v>
      </c>
      <c r="B2401">
        <v>321.87371826171801</v>
      </c>
      <c r="C2401">
        <v>330.10998535156199</v>
      </c>
      <c r="D2401">
        <v>331.10998535156199</v>
      </c>
      <c r="E2401">
        <v>327.51998901367102</v>
      </c>
      <c r="F2401">
        <v>328.36999511718699</v>
      </c>
      <c r="G2401" s="2">
        <v>17741500</v>
      </c>
      <c r="H2401" s="3">
        <f t="shared" si="37"/>
        <v>7.1083770644346789E-3</v>
      </c>
      <c r="J2401" s="3">
        <v>9.799484686632276E-3</v>
      </c>
      <c r="K2401" s="3">
        <v>0.75447972335743474</v>
      </c>
    </row>
    <row r="2402" spans="1:11" x14ac:dyDescent="0.2">
      <c r="A2402" s="1">
        <v>45146</v>
      </c>
      <c r="B2402">
        <v>317.91500854492102</v>
      </c>
      <c r="C2402">
        <v>326.04998779296801</v>
      </c>
      <c r="D2402">
        <v>328.75</v>
      </c>
      <c r="E2402">
        <v>323</v>
      </c>
      <c r="F2402">
        <v>326.95999145507801</v>
      </c>
      <c r="G2402" s="2">
        <v>22327600</v>
      </c>
      <c r="H2402" s="3">
        <f t="shared" si="37"/>
        <v>-1.2298952950169473E-2</v>
      </c>
      <c r="J2402" s="3">
        <v>9.8006011331583931E-3</v>
      </c>
      <c r="K2402" s="3">
        <v>0.75479408990883368</v>
      </c>
    </row>
    <row r="2403" spans="1:11" x14ac:dyDescent="0.2">
      <c r="A2403" s="1">
        <v>45147</v>
      </c>
      <c r="B2403">
        <v>314.190338134765</v>
      </c>
      <c r="C2403">
        <v>322.23001098632801</v>
      </c>
      <c r="D2403">
        <v>327.10998535156199</v>
      </c>
      <c r="E2403">
        <v>321.04998779296801</v>
      </c>
      <c r="F2403">
        <v>326.47000122070301</v>
      </c>
      <c r="G2403" s="2">
        <v>22373300</v>
      </c>
      <c r="H2403" s="3">
        <f t="shared" si="37"/>
        <v>-1.1715931333986518E-2</v>
      </c>
      <c r="J2403" s="3">
        <v>9.8244489189900364E-3</v>
      </c>
      <c r="K2403" s="3">
        <v>0.75510845646023261</v>
      </c>
    </row>
    <row r="2404" spans="1:11" x14ac:dyDescent="0.2">
      <c r="A2404" s="1">
        <v>45148</v>
      </c>
      <c r="B2404">
        <v>314.87292480468699</v>
      </c>
      <c r="C2404">
        <v>322.92999267578102</v>
      </c>
      <c r="D2404">
        <v>328.260009765625</v>
      </c>
      <c r="E2404">
        <v>321.17999267578102</v>
      </c>
      <c r="F2404">
        <v>326.01998901367102</v>
      </c>
      <c r="G2404" s="2">
        <v>20113700</v>
      </c>
      <c r="H2404" s="3">
        <f t="shared" si="37"/>
        <v>2.1725259725497992E-3</v>
      </c>
      <c r="J2404" s="3">
        <v>9.8447288737071315E-3</v>
      </c>
      <c r="K2404" s="3">
        <v>0.75542282301163155</v>
      </c>
    </row>
    <row r="2405" spans="1:11" x14ac:dyDescent="0.2">
      <c r="A2405" s="1">
        <v>45149</v>
      </c>
      <c r="B2405">
        <v>313.00082397460898</v>
      </c>
      <c r="C2405">
        <v>321.010009765625</v>
      </c>
      <c r="D2405">
        <v>322.41000366210898</v>
      </c>
      <c r="E2405">
        <v>319.20999145507801</v>
      </c>
      <c r="F2405">
        <v>320.260009765625</v>
      </c>
      <c r="G2405" s="2">
        <v>24355500</v>
      </c>
      <c r="H2405" s="3">
        <f t="shared" si="37"/>
        <v>-5.9455757627915329E-3</v>
      </c>
      <c r="J2405" s="3">
        <v>9.8470196437185908E-3</v>
      </c>
      <c r="K2405" s="3">
        <v>0.75573718956303049</v>
      </c>
    </row>
    <row r="2406" spans="1:11" x14ac:dyDescent="0.2">
      <c r="A2406" s="1">
        <v>45152</v>
      </c>
      <c r="B2406">
        <v>315.95526123046801</v>
      </c>
      <c r="C2406">
        <v>324.04000854492102</v>
      </c>
      <c r="D2406">
        <v>324.05999755859301</v>
      </c>
      <c r="E2406">
        <v>320.079986572265</v>
      </c>
      <c r="F2406">
        <v>321.39001464843699</v>
      </c>
      <c r="G2406" s="2">
        <v>18836100</v>
      </c>
      <c r="H2406" s="3">
        <f t="shared" si="37"/>
        <v>9.4390718156662778E-3</v>
      </c>
      <c r="J2406" s="3">
        <v>9.8928854348341311E-3</v>
      </c>
      <c r="K2406" s="3">
        <v>0.75605155611442942</v>
      </c>
    </row>
    <row r="2407" spans="1:11" x14ac:dyDescent="0.2">
      <c r="A2407" s="1">
        <v>45153</v>
      </c>
      <c r="B2407">
        <v>313.82958984375</v>
      </c>
      <c r="C2407">
        <v>321.85998535156199</v>
      </c>
      <c r="D2407">
        <v>325.08999633789</v>
      </c>
      <c r="E2407">
        <v>320.89999389648398</v>
      </c>
      <c r="F2407">
        <v>323</v>
      </c>
      <c r="G2407" s="2">
        <v>16966300</v>
      </c>
      <c r="H2407" s="3">
        <f t="shared" si="37"/>
        <v>-6.7277606913070942E-3</v>
      </c>
      <c r="J2407" s="3">
        <v>9.9038070457990734E-3</v>
      </c>
      <c r="K2407" s="3">
        <v>0.75636592266582836</v>
      </c>
    </row>
    <row r="2408" spans="1:11" x14ac:dyDescent="0.2">
      <c r="A2408" s="1">
        <v>45154</v>
      </c>
      <c r="B2408">
        <v>313.06750488281199</v>
      </c>
      <c r="C2408">
        <v>320.39999389648398</v>
      </c>
      <c r="D2408">
        <v>324.42001342773398</v>
      </c>
      <c r="E2408">
        <v>319.79998779296801</v>
      </c>
      <c r="F2408">
        <v>320.79998779296801</v>
      </c>
      <c r="G2408" s="2">
        <v>20698900</v>
      </c>
      <c r="H2408" s="3">
        <f t="shared" si="37"/>
        <v>-2.4283400469581329E-3</v>
      </c>
      <c r="J2408" s="3">
        <v>9.9136082280255611E-3</v>
      </c>
      <c r="K2408" s="3">
        <v>0.7566802892172273</v>
      </c>
    </row>
    <row r="2409" spans="1:11" x14ac:dyDescent="0.2">
      <c r="A2409" s="1">
        <v>45155</v>
      </c>
      <c r="B2409">
        <v>309.62799072265602</v>
      </c>
      <c r="C2409">
        <v>316.88000488281199</v>
      </c>
      <c r="D2409">
        <v>321.86999511718699</v>
      </c>
      <c r="E2409">
        <v>316.20999145507801</v>
      </c>
      <c r="F2409">
        <v>320.54000854492102</v>
      </c>
      <c r="G2409" s="2">
        <v>21257200</v>
      </c>
      <c r="H2409" s="3">
        <f t="shared" si="37"/>
        <v>-1.0986493668333486E-2</v>
      </c>
      <c r="J2409" s="3">
        <v>9.9216226225757875E-3</v>
      </c>
      <c r="K2409" s="3">
        <v>0.75699465576862623</v>
      </c>
    </row>
    <row r="2410" spans="1:11" x14ac:dyDescent="0.2">
      <c r="A2410" s="1">
        <v>45156</v>
      </c>
      <c r="B2410">
        <v>309.23718261718699</v>
      </c>
      <c r="C2410">
        <v>316.48001098632801</v>
      </c>
      <c r="D2410">
        <v>318.38000488281199</v>
      </c>
      <c r="E2410">
        <v>311.54998779296801</v>
      </c>
      <c r="F2410">
        <v>314.489990234375</v>
      </c>
      <c r="G2410" s="2">
        <v>24755000</v>
      </c>
      <c r="H2410" s="3">
        <f t="shared" si="37"/>
        <v>-1.2621859689005976E-3</v>
      </c>
      <c r="J2410" s="3">
        <v>9.9302492216999383E-3</v>
      </c>
      <c r="K2410" s="3">
        <v>0.75730902232002517</v>
      </c>
    </row>
    <row r="2411" spans="1:11" x14ac:dyDescent="0.2">
      <c r="A2411" s="1">
        <v>45159</v>
      </c>
      <c r="B2411">
        <v>314.51364135742102</v>
      </c>
      <c r="C2411">
        <v>321.88000488281199</v>
      </c>
      <c r="D2411">
        <v>322.76998901367102</v>
      </c>
      <c r="E2411">
        <v>317.04000854492102</v>
      </c>
      <c r="F2411">
        <v>317.92999267578102</v>
      </c>
      <c r="G2411" s="2">
        <v>24040000</v>
      </c>
      <c r="H2411" s="3">
        <f t="shared" si="37"/>
        <v>1.7062821150993113E-2</v>
      </c>
      <c r="J2411" s="3">
        <v>9.9319618545286037E-3</v>
      </c>
      <c r="K2411" s="3">
        <v>0.75762338887142411</v>
      </c>
    </row>
    <row r="2412" spans="1:11" x14ac:dyDescent="0.2">
      <c r="A2412" s="1">
        <v>45160</v>
      </c>
      <c r="B2412">
        <v>315.08029174804602</v>
      </c>
      <c r="C2412">
        <v>322.45999145507801</v>
      </c>
      <c r="D2412">
        <v>326.079986572265</v>
      </c>
      <c r="E2412">
        <v>321.45999145507801</v>
      </c>
      <c r="F2412">
        <v>325.5</v>
      </c>
      <c r="G2412" s="2">
        <v>16084600</v>
      </c>
      <c r="H2412" s="3">
        <f t="shared" si="37"/>
        <v>1.8016719026219263E-3</v>
      </c>
      <c r="J2412" s="3">
        <v>9.954074784169098E-3</v>
      </c>
      <c r="K2412" s="3">
        <v>0.75793775542282305</v>
      </c>
    </row>
    <row r="2413" spans="1:11" x14ac:dyDescent="0.2">
      <c r="A2413" s="1">
        <v>45161</v>
      </c>
      <c r="B2413">
        <v>319.51638793945301</v>
      </c>
      <c r="C2413">
        <v>327</v>
      </c>
      <c r="D2413">
        <v>329.20001220703102</v>
      </c>
      <c r="E2413">
        <v>323.45999145507801</v>
      </c>
      <c r="F2413">
        <v>323.82000732421801</v>
      </c>
      <c r="G2413" s="2">
        <v>21166400</v>
      </c>
      <c r="H2413" s="3">
        <f t="shared" si="37"/>
        <v>1.4079256327953038E-2</v>
      </c>
      <c r="J2413" s="3">
        <v>9.9593151254238066E-3</v>
      </c>
      <c r="K2413" s="3">
        <v>0.75825212197422198</v>
      </c>
    </row>
    <row r="2414" spans="1:11" x14ac:dyDescent="0.2">
      <c r="A2414" s="1">
        <v>45162</v>
      </c>
      <c r="B2414">
        <v>312.64727783203102</v>
      </c>
      <c r="C2414">
        <v>319.97000122070301</v>
      </c>
      <c r="D2414">
        <v>332.98001098632801</v>
      </c>
      <c r="E2414">
        <v>319.95999145507801</v>
      </c>
      <c r="F2414">
        <v>332.850006103515</v>
      </c>
      <c r="G2414" s="2">
        <v>23281400</v>
      </c>
      <c r="H2414" s="3">
        <f t="shared" si="37"/>
        <v>-2.149845944278661E-2</v>
      </c>
      <c r="J2414" s="3">
        <v>9.9669596248801451E-3</v>
      </c>
      <c r="K2414" s="3">
        <v>0.75856648852562092</v>
      </c>
    </row>
    <row r="2415" spans="1:11" x14ac:dyDescent="0.2">
      <c r="A2415" s="1">
        <v>45163</v>
      </c>
      <c r="B2415">
        <v>315.58843994140602</v>
      </c>
      <c r="C2415">
        <v>322.98001098632801</v>
      </c>
      <c r="D2415">
        <v>325.35998535156199</v>
      </c>
      <c r="E2415">
        <v>318.79998779296801</v>
      </c>
      <c r="F2415">
        <v>321.47000122070301</v>
      </c>
      <c r="G2415" s="2">
        <v>21684100</v>
      </c>
      <c r="H2415" s="3">
        <f t="shared" si="37"/>
        <v>9.407285199377613E-3</v>
      </c>
      <c r="J2415" s="3">
        <v>9.9730255616952146E-3</v>
      </c>
      <c r="K2415" s="3">
        <v>0.75888085507701986</v>
      </c>
    </row>
    <row r="2416" spans="1:11" x14ac:dyDescent="0.2">
      <c r="A2416" s="1">
        <v>45166</v>
      </c>
      <c r="B2416">
        <v>316.29193115234301</v>
      </c>
      <c r="C2416">
        <v>323.70001220703102</v>
      </c>
      <c r="D2416">
        <v>326.14999389648398</v>
      </c>
      <c r="E2416">
        <v>321.72000122070301</v>
      </c>
      <c r="F2416">
        <v>325.66000366210898</v>
      </c>
      <c r="G2416" s="2">
        <v>14808500</v>
      </c>
      <c r="H2416" s="3">
        <f t="shared" si="37"/>
        <v>2.2291412545643041E-3</v>
      </c>
      <c r="J2416" s="3">
        <v>9.9835390486275877E-3</v>
      </c>
      <c r="K2416" s="3">
        <v>0.75919522162841868</v>
      </c>
    </row>
    <row r="2417" spans="1:11" x14ac:dyDescent="0.2">
      <c r="A2417" s="1">
        <v>45167</v>
      </c>
      <c r="B2417">
        <v>320.89419555664</v>
      </c>
      <c r="C2417">
        <v>328.41000366210898</v>
      </c>
      <c r="D2417">
        <v>328.98001098632801</v>
      </c>
      <c r="E2417">
        <v>321.88000488281199</v>
      </c>
      <c r="F2417">
        <v>321.88000488281199</v>
      </c>
      <c r="G2417" s="2">
        <v>19284600</v>
      </c>
      <c r="H2417" s="3">
        <f t="shared" si="37"/>
        <v>1.4550685461780954E-2</v>
      </c>
      <c r="J2417" s="3">
        <v>9.9966367140615908E-3</v>
      </c>
      <c r="K2417" s="3">
        <v>0.75950958817981762</v>
      </c>
    </row>
    <row r="2418" spans="1:11" x14ac:dyDescent="0.2">
      <c r="A2418" s="1">
        <v>45168</v>
      </c>
      <c r="B2418">
        <v>321.26544189453102</v>
      </c>
      <c r="C2418">
        <v>328.79000854492102</v>
      </c>
      <c r="D2418">
        <v>329.80999755859301</v>
      </c>
      <c r="E2418">
        <v>326.45001220703102</v>
      </c>
      <c r="F2418">
        <v>328.67001342773398</v>
      </c>
      <c r="G2418" s="2">
        <v>15222100</v>
      </c>
      <c r="H2418" s="3">
        <f t="shared" si="37"/>
        <v>1.1569119760705959E-3</v>
      </c>
      <c r="J2418" s="3">
        <v>1.0003079761323086E-2</v>
      </c>
      <c r="K2418" s="3">
        <v>0.75982395473121656</v>
      </c>
    </row>
    <row r="2419" spans="1:11" x14ac:dyDescent="0.2">
      <c r="A2419" s="1">
        <v>45169</v>
      </c>
      <c r="B2419">
        <v>320.259033203125</v>
      </c>
      <c r="C2419">
        <v>327.760009765625</v>
      </c>
      <c r="D2419">
        <v>330.91000366210898</v>
      </c>
      <c r="E2419">
        <v>326.77999877929602</v>
      </c>
      <c r="F2419">
        <v>329.20001220703102</v>
      </c>
      <c r="G2419" s="2">
        <v>26411000</v>
      </c>
      <c r="H2419" s="3">
        <f t="shared" si="37"/>
        <v>-3.1326391206945026E-3</v>
      </c>
      <c r="J2419" s="3">
        <v>1.0005898679508407E-2</v>
      </c>
      <c r="K2419" s="3">
        <v>0.76013832128261549</v>
      </c>
    </row>
    <row r="2420" spans="1:11" x14ac:dyDescent="0.2">
      <c r="A2420" s="1">
        <v>45170</v>
      </c>
      <c r="B2420">
        <v>321.138427734375</v>
      </c>
      <c r="C2420">
        <v>328.66000366210898</v>
      </c>
      <c r="D2420">
        <v>331.989990234375</v>
      </c>
      <c r="E2420">
        <v>326.77999877929602</v>
      </c>
      <c r="F2420">
        <v>331.30999755859301</v>
      </c>
      <c r="G2420" s="2">
        <v>14942000</v>
      </c>
      <c r="H2420" s="3">
        <f t="shared" si="37"/>
        <v>2.7458851744308621E-3</v>
      </c>
      <c r="J2420" s="3">
        <v>1.000748174612176E-2</v>
      </c>
      <c r="K2420" s="3">
        <v>0.76045268783401443</v>
      </c>
    </row>
    <row r="2421" spans="1:11" x14ac:dyDescent="0.2">
      <c r="A2421" s="1">
        <v>45174</v>
      </c>
      <c r="B2421">
        <v>325.91647338867102</v>
      </c>
      <c r="C2421">
        <v>333.54998779296801</v>
      </c>
      <c r="D2421">
        <v>334.850006103515</v>
      </c>
      <c r="E2421">
        <v>328.66000366210898</v>
      </c>
      <c r="F2421">
        <v>329</v>
      </c>
      <c r="G2421" s="2">
        <v>18553900</v>
      </c>
      <c r="H2421" s="3">
        <f t="shared" si="37"/>
        <v>1.4878461254248077E-2</v>
      </c>
      <c r="J2421" s="3">
        <v>1.0014180473926881E-2</v>
      </c>
      <c r="K2421" s="3">
        <v>0.76076705438541337</v>
      </c>
    </row>
    <row r="2422" spans="1:11" x14ac:dyDescent="0.2">
      <c r="A2422" s="1">
        <v>45175</v>
      </c>
      <c r="B2422">
        <v>325.26184082031199</v>
      </c>
      <c r="C2422">
        <v>332.88000488281199</v>
      </c>
      <c r="D2422">
        <v>334.45999145507801</v>
      </c>
      <c r="E2422">
        <v>330.17999267578102</v>
      </c>
      <c r="F2422">
        <v>333.38000488281199</v>
      </c>
      <c r="G2422" s="2">
        <v>17535800</v>
      </c>
      <c r="H2422" s="3">
        <f t="shared" si="37"/>
        <v>-2.0085899971626908E-3</v>
      </c>
      <c r="J2422" s="3">
        <v>1.003129526569535E-2</v>
      </c>
      <c r="K2422" s="3">
        <v>0.7610814209368123</v>
      </c>
    </row>
    <row r="2423" spans="1:11" x14ac:dyDescent="0.2">
      <c r="A2423" s="1">
        <v>45176</v>
      </c>
      <c r="B2423">
        <v>322.35986328125</v>
      </c>
      <c r="C2423">
        <v>329.91000366210898</v>
      </c>
      <c r="D2423">
        <v>333.079986572265</v>
      </c>
      <c r="E2423">
        <v>329.02999877929602</v>
      </c>
      <c r="F2423">
        <v>331.29000854492102</v>
      </c>
      <c r="G2423" s="2">
        <v>18381000</v>
      </c>
      <c r="H2423" s="3">
        <f t="shared" si="37"/>
        <v>-8.9219735452003013E-3</v>
      </c>
      <c r="J2423" s="3">
        <v>1.0032288032521874E-2</v>
      </c>
      <c r="K2423" s="3">
        <v>0.76139578748821124</v>
      </c>
    </row>
    <row r="2424" spans="1:11" x14ac:dyDescent="0.2">
      <c r="A2424" s="1">
        <v>45177</v>
      </c>
      <c r="B2424">
        <v>326.620025634765</v>
      </c>
      <c r="C2424">
        <v>334.26998901367102</v>
      </c>
      <c r="D2424">
        <v>336.16000366210898</v>
      </c>
      <c r="E2424">
        <v>329.45999145507801</v>
      </c>
      <c r="F2424">
        <v>330.08999633789</v>
      </c>
      <c r="G2424" s="2">
        <v>19530100</v>
      </c>
      <c r="H2424" s="3">
        <f t="shared" si="37"/>
        <v>1.321554833207661E-2</v>
      </c>
      <c r="J2424" s="3">
        <v>1.0050136689453648E-2</v>
      </c>
      <c r="K2424" s="3">
        <v>0.76171015403961018</v>
      </c>
    </row>
    <row r="2425" spans="1:11" x14ac:dyDescent="0.2">
      <c r="A2425" s="1">
        <v>45180</v>
      </c>
      <c r="B2425">
        <v>330.20611572265602</v>
      </c>
      <c r="C2425">
        <v>337.94000244140602</v>
      </c>
      <c r="D2425">
        <v>338.42001342773398</v>
      </c>
      <c r="E2425">
        <v>335.42999267578102</v>
      </c>
      <c r="F2425">
        <v>337.239990234375</v>
      </c>
      <c r="G2425" s="2">
        <v>16583300</v>
      </c>
      <c r="H2425" s="3">
        <f t="shared" si="37"/>
        <v>1.0979394422989452E-2</v>
      </c>
      <c r="J2425" s="3">
        <v>1.005464555076796E-2</v>
      </c>
      <c r="K2425" s="3">
        <v>0.76202452059100911</v>
      </c>
    </row>
    <row r="2426" spans="1:11" x14ac:dyDescent="0.2">
      <c r="A2426" s="1">
        <v>45181</v>
      </c>
      <c r="B2426">
        <v>324.17724609375</v>
      </c>
      <c r="C2426">
        <v>331.76998901367102</v>
      </c>
      <c r="D2426">
        <v>336.79000854492102</v>
      </c>
      <c r="E2426">
        <v>331.48001098632801</v>
      </c>
      <c r="F2426">
        <v>335.82000732421801</v>
      </c>
      <c r="G2426" s="2">
        <v>17565500</v>
      </c>
      <c r="H2426" s="3">
        <f t="shared" si="37"/>
        <v>-1.825789814859069E-2</v>
      </c>
      <c r="J2426" s="3">
        <v>1.0065399048824197E-2</v>
      </c>
      <c r="K2426" s="3">
        <v>0.76233888714240805</v>
      </c>
    </row>
    <row r="2427" spans="1:11" x14ac:dyDescent="0.2">
      <c r="A2427" s="1">
        <v>45182</v>
      </c>
      <c r="B2427">
        <v>328.369049072265</v>
      </c>
      <c r="C2427">
        <v>336.05999755859301</v>
      </c>
      <c r="D2427">
        <v>336.850006103515</v>
      </c>
      <c r="E2427">
        <v>331.17001342773398</v>
      </c>
      <c r="F2427">
        <v>331.30999755859301</v>
      </c>
      <c r="G2427" s="2">
        <v>16544400</v>
      </c>
      <c r="H2427" s="3">
        <f t="shared" si="37"/>
        <v>1.2930589759229338E-2</v>
      </c>
      <c r="J2427" s="3">
        <v>1.0081778124392926E-2</v>
      </c>
      <c r="K2427" s="3">
        <v>0.76265325369380699</v>
      </c>
    </row>
    <row r="2428" spans="1:11" x14ac:dyDescent="0.2">
      <c r="A2428" s="1">
        <v>45183</v>
      </c>
      <c r="B2428">
        <v>330.94866943359301</v>
      </c>
      <c r="C2428">
        <v>338.70001220703102</v>
      </c>
      <c r="D2428">
        <v>340.85998535156199</v>
      </c>
      <c r="E2428">
        <v>336.57000732421801</v>
      </c>
      <c r="F2428">
        <v>339.14999389648398</v>
      </c>
      <c r="G2428" s="2">
        <v>20267000</v>
      </c>
      <c r="H2428" s="3">
        <f t="shared" si="37"/>
        <v>7.8558572088818224E-3</v>
      </c>
      <c r="J2428" s="3">
        <v>1.009801208424399E-2</v>
      </c>
      <c r="K2428" s="3">
        <v>0.76296762024520592</v>
      </c>
    </row>
    <row r="2429" spans="1:11" x14ac:dyDescent="0.2">
      <c r="A2429" s="1">
        <v>45184</v>
      </c>
      <c r="B2429">
        <v>322.66271972656199</v>
      </c>
      <c r="C2429">
        <v>330.22000122070301</v>
      </c>
      <c r="D2429">
        <v>337.39999389648398</v>
      </c>
      <c r="E2429">
        <v>329.64999389648398</v>
      </c>
      <c r="F2429">
        <v>336.92001342773398</v>
      </c>
      <c r="G2429" s="2">
        <v>37679800</v>
      </c>
      <c r="H2429" s="3">
        <f t="shared" si="37"/>
        <v>-2.5036963349066022E-2</v>
      </c>
      <c r="J2429" s="3">
        <v>1.0124385093525756E-2</v>
      </c>
      <c r="K2429" s="3">
        <v>0.76328198679660486</v>
      </c>
    </row>
    <row r="2430" spans="1:11" x14ac:dyDescent="0.2">
      <c r="A2430" s="1">
        <v>45187</v>
      </c>
      <c r="B2430">
        <v>321.52926635742102</v>
      </c>
      <c r="C2430">
        <v>329.05999755859301</v>
      </c>
      <c r="D2430">
        <v>330.39999389648398</v>
      </c>
      <c r="E2430">
        <v>326.35998535156199</v>
      </c>
      <c r="F2430">
        <v>327.79998779296801</v>
      </c>
      <c r="G2430" s="2">
        <v>16834200</v>
      </c>
      <c r="H2430" s="3">
        <f t="shared" si="37"/>
        <v>-3.5128116756144578E-3</v>
      </c>
      <c r="J2430" s="3">
        <v>1.0126179339849495E-2</v>
      </c>
      <c r="K2430" s="3">
        <v>0.7635963533480038</v>
      </c>
    </row>
    <row r="2431" spans="1:11" x14ac:dyDescent="0.2">
      <c r="A2431" s="1">
        <v>45188</v>
      </c>
      <c r="B2431">
        <v>321.12863159179602</v>
      </c>
      <c r="C2431">
        <v>328.64999389648398</v>
      </c>
      <c r="D2431">
        <v>329.39001464843699</v>
      </c>
      <c r="E2431">
        <v>324.510009765625</v>
      </c>
      <c r="F2431">
        <v>326.17001342773398</v>
      </c>
      <c r="G2431" s="2">
        <v>16505900</v>
      </c>
      <c r="H2431" s="3">
        <f t="shared" si="37"/>
        <v>-1.2460289234749178E-3</v>
      </c>
      <c r="J2431" s="3">
        <v>1.012703477281951E-2</v>
      </c>
      <c r="K2431" s="3">
        <v>0.76391071989940273</v>
      </c>
    </row>
    <row r="2432" spans="1:11" x14ac:dyDescent="0.2">
      <c r="A2432" s="1">
        <v>45189</v>
      </c>
      <c r="B2432">
        <v>313.428955078125</v>
      </c>
      <c r="C2432">
        <v>320.76998901367102</v>
      </c>
      <c r="D2432">
        <v>329.58999633789</v>
      </c>
      <c r="E2432">
        <v>320.510009765625</v>
      </c>
      <c r="F2432">
        <v>329.510009765625</v>
      </c>
      <c r="G2432" s="2">
        <v>21436500</v>
      </c>
      <c r="H2432" s="3">
        <f t="shared" si="37"/>
        <v>-2.3976923127360661E-2</v>
      </c>
      <c r="J2432" s="3">
        <v>1.0142892231610467E-2</v>
      </c>
      <c r="K2432" s="3">
        <v>0.76422508645080167</v>
      </c>
    </row>
    <row r="2433" spans="1:11" x14ac:dyDescent="0.2">
      <c r="A2433" s="1">
        <v>45190</v>
      </c>
      <c r="B2433">
        <v>312.21734619140602</v>
      </c>
      <c r="C2433">
        <v>319.52999877929602</v>
      </c>
      <c r="D2433">
        <v>325.350006103515</v>
      </c>
      <c r="E2433">
        <v>315</v>
      </c>
      <c r="F2433">
        <v>319.260009765625</v>
      </c>
      <c r="G2433" s="2">
        <v>35560400</v>
      </c>
      <c r="H2433" s="3">
        <f t="shared" si="37"/>
        <v>-3.865657167561265E-3</v>
      </c>
      <c r="J2433" s="3">
        <v>1.0151752841530914E-2</v>
      </c>
      <c r="K2433" s="3">
        <v>0.76453945300220061</v>
      </c>
    </row>
    <row r="2434" spans="1:11" x14ac:dyDescent="0.2">
      <c r="A2434" s="1">
        <v>45191</v>
      </c>
      <c r="B2434">
        <v>309.75506591796801</v>
      </c>
      <c r="C2434">
        <v>317.010009765625</v>
      </c>
      <c r="D2434">
        <v>321.45001220703102</v>
      </c>
      <c r="E2434">
        <v>316.14999389648398</v>
      </c>
      <c r="F2434">
        <v>321.32000732421801</v>
      </c>
      <c r="G2434" s="2">
        <v>21447900</v>
      </c>
      <c r="H2434" s="3">
        <f t="shared" ref="H2434:H2497" si="38">B2434/B2433-1</f>
        <v>-7.8864300894048167E-3</v>
      </c>
      <c r="J2434" s="3">
        <v>1.0185831970013659E-2</v>
      </c>
      <c r="K2434" s="3">
        <v>0.76485381955359955</v>
      </c>
    </row>
    <row r="2435" spans="1:11" x14ac:dyDescent="0.2">
      <c r="A2435" s="1">
        <v>45194</v>
      </c>
      <c r="B2435">
        <v>310.272857666015</v>
      </c>
      <c r="C2435">
        <v>317.54000854492102</v>
      </c>
      <c r="D2435">
        <v>317.67001342773398</v>
      </c>
      <c r="E2435">
        <v>315</v>
      </c>
      <c r="F2435">
        <v>316.58999633789</v>
      </c>
      <c r="G2435" s="2">
        <v>17836000</v>
      </c>
      <c r="H2435" s="3">
        <f t="shared" si="38"/>
        <v>1.6716167224335443E-3</v>
      </c>
      <c r="J2435" s="3">
        <v>1.0190449306704652E-2</v>
      </c>
      <c r="K2435" s="3">
        <v>0.76516818610499848</v>
      </c>
    </row>
    <row r="2436" spans="1:11" x14ac:dyDescent="0.2">
      <c r="A2436" s="1">
        <v>45195</v>
      </c>
      <c r="B2436">
        <v>304.99652099609301</v>
      </c>
      <c r="C2436">
        <v>312.14001464843699</v>
      </c>
      <c r="D2436">
        <v>315.88000488281199</v>
      </c>
      <c r="E2436">
        <v>310.01998901367102</v>
      </c>
      <c r="F2436">
        <v>315.13000488281199</v>
      </c>
      <c r="G2436" s="2">
        <v>26297600</v>
      </c>
      <c r="H2436" s="3">
        <f t="shared" si="38"/>
        <v>-1.7005472891223894E-2</v>
      </c>
      <c r="J2436" s="3">
        <v>1.0198828704505614E-2</v>
      </c>
      <c r="K2436" s="3">
        <v>0.76548255265639731</v>
      </c>
    </row>
    <row r="2437" spans="1:11" x14ac:dyDescent="0.2">
      <c r="A2437" s="1">
        <v>45196</v>
      </c>
      <c r="B2437">
        <v>305.63162231445301</v>
      </c>
      <c r="C2437">
        <v>312.79000854492102</v>
      </c>
      <c r="D2437">
        <v>314.29998779296801</v>
      </c>
      <c r="E2437">
        <v>309.69000244140602</v>
      </c>
      <c r="F2437">
        <v>312.29998779296801</v>
      </c>
      <c r="G2437" s="2">
        <v>19410100</v>
      </c>
      <c r="H2437" s="3">
        <f t="shared" si="38"/>
        <v>2.0823231566242661E-3</v>
      </c>
      <c r="J2437" s="3">
        <v>1.0208576669334724E-2</v>
      </c>
      <c r="K2437" s="3">
        <v>0.76579691920779625</v>
      </c>
    </row>
    <row r="2438" spans="1:11" x14ac:dyDescent="0.2">
      <c r="A2438" s="1">
        <v>45197</v>
      </c>
      <c r="B2438">
        <v>306.46212768554602</v>
      </c>
      <c r="C2438">
        <v>313.64001464843699</v>
      </c>
      <c r="D2438">
        <v>315.48001098632801</v>
      </c>
      <c r="E2438">
        <v>309.45001220703102</v>
      </c>
      <c r="F2438">
        <v>310.989990234375</v>
      </c>
      <c r="G2438" s="2">
        <v>19683600</v>
      </c>
      <c r="H2438" s="3">
        <f t="shared" si="38"/>
        <v>2.7173411075851472E-3</v>
      </c>
      <c r="J2438" s="3">
        <v>1.0235837457010399E-2</v>
      </c>
      <c r="K2438" s="3">
        <v>0.76611128575919518</v>
      </c>
    </row>
    <row r="2439" spans="1:11" x14ac:dyDescent="0.2">
      <c r="A2439" s="1">
        <v>45198</v>
      </c>
      <c r="B2439">
        <v>308.52389526367102</v>
      </c>
      <c r="C2439">
        <v>315.75</v>
      </c>
      <c r="D2439">
        <v>319.47000122070301</v>
      </c>
      <c r="E2439">
        <v>314.98001098632801</v>
      </c>
      <c r="F2439">
        <v>317.75</v>
      </c>
      <c r="G2439" s="2">
        <v>24147300</v>
      </c>
      <c r="H2439" s="3">
        <f t="shared" si="38"/>
        <v>6.7276423148785458E-3</v>
      </c>
      <c r="J2439" s="3">
        <v>1.0259972745233492E-2</v>
      </c>
      <c r="K2439" s="3">
        <v>0.76642565231059412</v>
      </c>
    </row>
    <row r="2440" spans="1:11" x14ac:dyDescent="0.2">
      <c r="A2440" s="1">
        <v>45201</v>
      </c>
      <c r="B2440">
        <v>314.43539428710898</v>
      </c>
      <c r="C2440">
        <v>321.79998779296801</v>
      </c>
      <c r="D2440">
        <v>321.89001464843699</v>
      </c>
      <c r="E2440">
        <v>315.17999267578102</v>
      </c>
      <c r="F2440">
        <v>316.27999877929602</v>
      </c>
      <c r="G2440" s="2">
        <v>20570000</v>
      </c>
      <c r="H2440" s="3">
        <f t="shared" si="38"/>
        <v>1.9160587280884211E-2</v>
      </c>
      <c r="J2440" s="3">
        <v>1.0263853461603301E-2</v>
      </c>
      <c r="K2440" s="3">
        <v>0.76674001886199306</v>
      </c>
    </row>
    <row r="2441" spans="1:11" x14ac:dyDescent="0.2">
      <c r="A2441" s="1">
        <v>45202</v>
      </c>
      <c r="B2441">
        <v>306.21789550781199</v>
      </c>
      <c r="C2441">
        <v>313.39001464843699</v>
      </c>
      <c r="D2441">
        <v>321.39001464843699</v>
      </c>
      <c r="E2441">
        <v>311.20999145507801</v>
      </c>
      <c r="F2441">
        <v>320.829986572265</v>
      </c>
      <c r="G2441" s="2">
        <v>21033500</v>
      </c>
      <c r="H2441" s="3">
        <f t="shared" si="38"/>
        <v>-2.6134140521704929E-2</v>
      </c>
      <c r="J2441" s="3">
        <v>1.0266494011579086E-2</v>
      </c>
      <c r="K2441" s="3">
        <v>0.76705438541339199</v>
      </c>
    </row>
    <row r="2442" spans="1:11" x14ac:dyDescent="0.2">
      <c r="A2442" s="1">
        <v>45203</v>
      </c>
      <c r="B2442">
        <v>311.66043090820301</v>
      </c>
      <c r="C2442">
        <v>318.95999145507801</v>
      </c>
      <c r="D2442">
        <v>320.04000854492102</v>
      </c>
      <c r="E2442">
        <v>314</v>
      </c>
      <c r="F2442">
        <v>314.02999877929602</v>
      </c>
      <c r="G2442" s="2">
        <v>20720100</v>
      </c>
      <c r="H2442" s="3">
        <f t="shared" si="38"/>
        <v>1.7773407368519401E-2</v>
      </c>
      <c r="J2442" s="3">
        <v>1.0266667944392571E-2</v>
      </c>
      <c r="K2442" s="3">
        <v>0.76736875196479093</v>
      </c>
    </row>
    <row r="2443" spans="1:11" x14ac:dyDescent="0.2">
      <c r="A2443" s="1">
        <v>45204</v>
      </c>
      <c r="B2443">
        <v>312.05123901367102</v>
      </c>
      <c r="C2443">
        <v>319.35998535156199</v>
      </c>
      <c r="D2443">
        <v>319.98001098632801</v>
      </c>
      <c r="E2443">
        <v>314.89999389648398</v>
      </c>
      <c r="F2443">
        <v>319.08999633789</v>
      </c>
      <c r="G2443" s="2">
        <v>16965600</v>
      </c>
      <c r="H2443" s="3">
        <f t="shared" si="38"/>
        <v>1.2539548390186894E-3</v>
      </c>
      <c r="J2443" s="3">
        <v>1.0268579414367762E-2</v>
      </c>
      <c r="K2443" s="3">
        <v>0.76768311851618987</v>
      </c>
    </row>
    <row r="2444" spans="1:11" x14ac:dyDescent="0.2">
      <c r="A2444" s="1">
        <v>45205</v>
      </c>
      <c r="B2444">
        <v>319.77047729492102</v>
      </c>
      <c r="C2444">
        <v>327.260009765625</v>
      </c>
      <c r="D2444">
        <v>329.19000244140602</v>
      </c>
      <c r="E2444">
        <v>316.29998779296801</v>
      </c>
      <c r="F2444">
        <v>316.54998779296801</v>
      </c>
      <c r="G2444" s="2">
        <v>25673600</v>
      </c>
      <c r="H2444" s="3">
        <f t="shared" si="38"/>
        <v>2.4737085824907856E-2</v>
      </c>
      <c r="J2444" s="3">
        <v>1.0273077304645106E-2</v>
      </c>
      <c r="K2444" s="3">
        <v>0.7679974850675888</v>
      </c>
    </row>
    <row r="2445" spans="1:11" x14ac:dyDescent="0.2">
      <c r="A2445" s="1">
        <v>45208</v>
      </c>
      <c r="B2445">
        <v>322.27185058593699</v>
      </c>
      <c r="C2445">
        <v>329.82000732421801</v>
      </c>
      <c r="D2445">
        <v>330.29998779296801</v>
      </c>
      <c r="E2445">
        <v>323.17999267578102</v>
      </c>
      <c r="F2445">
        <v>324.75</v>
      </c>
      <c r="G2445" s="2">
        <v>19891200</v>
      </c>
      <c r="H2445" s="3">
        <f t="shared" si="38"/>
        <v>7.8224022185418018E-3</v>
      </c>
      <c r="J2445" s="3">
        <v>1.0283429874886396E-2</v>
      </c>
      <c r="K2445" s="3">
        <v>0.76831185161898774</v>
      </c>
    </row>
    <row r="2446" spans="1:11" x14ac:dyDescent="0.2">
      <c r="A2446" s="1">
        <v>45209</v>
      </c>
      <c r="B2446">
        <v>320.87457275390602</v>
      </c>
      <c r="C2446">
        <v>328.39001464843699</v>
      </c>
      <c r="D2446">
        <v>331.100006103515</v>
      </c>
      <c r="E2446">
        <v>327.67001342773398</v>
      </c>
      <c r="F2446">
        <v>330.95999145507801</v>
      </c>
      <c r="G2446" s="2">
        <v>20557100</v>
      </c>
      <c r="H2446" s="3">
        <f t="shared" si="38"/>
        <v>-4.3357116964777287E-3</v>
      </c>
      <c r="J2446" s="3">
        <v>1.0284617910155447E-2</v>
      </c>
      <c r="K2446" s="3">
        <v>0.76862621817038668</v>
      </c>
    </row>
    <row r="2447" spans="1:11" x14ac:dyDescent="0.2">
      <c r="A2447" s="1">
        <v>45210</v>
      </c>
      <c r="B2447">
        <v>324.812408447265</v>
      </c>
      <c r="C2447">
        <v>332.42001342773398</v>
      </c>
      <c r="D2447">
        <v>332.82000732421801</v>
      </c>
      <c r="E2447">
        <v>329.14001464843699</v>
      </c>
      <c r="F2447">
        <v>331.20999145507801</v>
      </c>
      <c r="G2447" s="2">
        <v>20063200</v>
      </c>
      <c r="H2447" s="3">
        <f t="shared" si="38"/>
        <v>1.2272196140574509E-2</v>
      </c>
      <c r="J2447" s="3">
        <v>1.0313835946727412E-2</v>
      </c>
      <c r="K2447" s="3">
        <v>0.76894058472178561</v>
      </c>
    </row>
    <row r="2448" spans="1:11" x14ac:dyDescent="0.2">
      <c r="A2448" s="1">
        <v>45211</v>
      </c>
      <c r="B2448">
        <v>323.58123779296801</v>
      </c>
      <c r="C2448">
        <v>331.16000366210898</v>
      </c>
      <c r="D2448">
        <v>333.63000488281199</v>
      </c>
      <c r="E2448">
        <v>328.72000122070301</v>
      </c>
      <c r="F2448">
        <v>330.57000732421801</v>
      </c>
      <c r="G2448" s="2">
        <v>19313100</v>
      </c>
      <c r="H2448" s="3">
        <f t="shared" si="38"/>
        <v>-3.790405237849348E-3</v>
      </c>
      <c r="J2448" s="3">
        <v>1.0365466381806243E-2</v>
      </c>
      <c r="K2448" s="3">
        <v>0.76925495127318455</v>
      </c>
    </row>
    <row r="2449" spans="1:11" x14ac:dyDescent="0.2">
      <c r="A2449" s="1">
        <v>45212</v>
      </c>
      <c r="B2449">
        <v>320.22970581054602</v>
      </c>
      <c r="C2449">
        <v>327.73001098632801</v>
      </c>
      <c r="D2449">
        <v>333.829986572265</v>
      </c>
      <c r="E2449">
        <v>326.35998535156199</v>
      </c>
      <c r="F2449">
        <v>332.38000488281199</v>
      </c>
      <c r="G2449" s="2">
        <v>21072400</v>
      </c>
      <c r="H2449" s="3">
        <f t="shared" si="38"/>
        <v>-1.0357621490298952E-2</v>
      </c>
      <c r="J2449" s="3">
        <v>1.0390538997123722E-2</v>
      </c>
      <c r="K2449" s="3">
        <v>0.76956931782458349</v>
      </c>
    </row>
    <row r="2450" spans="1:11" x14ac:dyDescent="0.2">
      <c r="A2450" s="1">
        <v>45215</v>
      </c>
      <c r="B2450">
        <v>325.02737426757801</v>
      </c>
      <c r="C2450">
        <v>332.64001464843699</v>
      </c>
      <c r="D2450">
        <v>336.14001464843699</v>
      </c>
      <c r="E2450">
        <v>330.600006103515</v>
      </c>
      <c r="F2450">
        <v>331.04998779296801</v>
      </c>
      <c r="G2450" s="2">
        <v>22158000</v>
      </c>
      <c r="H2450" s="3">
        <f t="shared" si="38"/>
        <v>1.4981959418438162E-2</v>
      </c>
      <c r="J2450" s="3">
        <v>1.0406980859054116E-2</v>
      </c>
      <c r="K2450" s="3">
        <v>0.76988368437598242</v>
      </c>
    </row>
    <row r="2451" spans="1:11" x14ac:dyDescent="0.2">
      <c r="A2451" s="1">
        <v>45216</v>
      </c>
      <c r="B2451">
        <v>324.46066284179602</v>
      </c>
      <c r="C2451">
        <v>332.05999755859301</v>
      </c>
      <c r="D2451">
        <v>333.45999145507801</v>
      </c>
      <c r="E2451">
        <v>327.41000366210898</v>
      </c>
      <c r="F2451">
        <v>329.58999633789</v>
      </c>
      <c r="G2451" s="2">
        <v>18338500</v>
      </c>
      <c r="H2451" s="3">
        <f t="shared" si="38"/>
        <v>-1.7435806047383373E-3</v>
      </c>
      <c r="J2451" s="3">
        <v>1.0408545491471521E-2</v>
      </c>
      <c r="K2451" s="3">
        <v>0.77019805092738136</v>
      </c>
    </row>
    <row r="2452" spans="1:11" x14ac:dyDescent="0.2">
      <c r="A2452" s="1">
        <v>45217</v>
      </c>
      <c r="B2452">
        <v>322.55520629882801</v>
      </c>
      <c r="C2452">
        <v>330.10998535156199</v>
      </c>
      <c r="D2452">
        <v>335.58999633789</v>
      </c>
      <c r="E2452">
        <v>328.29998779296801</v>
      </c>
      <c r="F2452">
        <v>332.489990234375</v>
      </c>
      <c r="G2452" s="2">
        <v>23153600</v>
      </c>
      <c r="H2452" s="3">
        <f t="shared" si="38"/>
        <v>-5.8726889302358476E-3</v>
      </c>
      <c r="J2452" s="3">
        <v>1.0414365037774154E-2</v>
      </c>
      <c r="K2452" s="3">
        <v>0.7705124174787803</v>
      </c>
    </row>
    <row r="2453" spans="1:11" x14ac:dyDescent="0.2">
      <c r="A2453" s="1">
        <v>45218</v>
      </c>
      <c r="B2453">
        <v>323.737548828125</v>
      </c>
      <c r="C2453">
        <v>331.32000732421801</v>
      </c>
      <c r="D2453">
        <v>336.88000488281199</v>
      </c>
      <c r="E2453">
        <v>330.91000366210898</v>
      </c>
      <c r="F2453">
        <v>332.14999389648398</v>
      </c>
      <c r="G2453" s="2">
        <v>25052100</v>
      </c>
      <c r="H2453" s="3">
        <f t="shared" si="38"/>
        <v>3.6655509079013271E-3</v>
      </c>
      <c r="J2453" s="3">
        <v>1.042792082725752E-2</v>
      </c>
      <c r="K2453" s="3">
        <v>0.77082678403017924</v>
      </c>
    </row>
    <row r="2454" spans="1:11" x14ac:dyDescent="0.2">
      <c r="A2454" s="1">
        <v>45219</v>
      </c>
      <c r="B2454">
        <v>319.19396972656199</v>
      </c>
      <c r="C2454">
        <v>326.67001342773398</v>
      </c>
      <c r="D2454">
        <v>331.92001342773398</v>
      </c>
      <c r="E2454">
        <v>325.45001220703102</v>
      </c>
      <c r="F2454">
        <v>331.72000122070301</v>
      </c>
      <c r="G2454" s="2">
        <v>25027700</v>
      </c>
      <c r="H2454" s="3">
        <f t="shared" si="38"/>
        <v>-1.4034760929061196E-2</v>
      </c>
      <c r="J2454" s="3">
        <v>1.0436856209095291E-2</v>
      </c>
      <c r="K2454" s="3">
        <v>0.77114115058157817</v>
      </c>
    </row>
    <row r="2455" spans="1:11" x14ac:dyDescent="0.2">
      <c r="A2455" s="1">
        <v>45222</v>
      </c>
      <c r="B2455">
        <v>321.78332519531199</v>
      </c>
      <c r="C2455">
        <v>329.32000732421801</v>
      </c>
      <c r="D2455">
        <v>332.73001098632801</v>
      </c>
      <c r="E2455">
        <v>324.39001464843699</v>
      </c>
      <c r="F2455">
        <v>325.47000122070301</v>
      </c>
      <c r="G2455" s="2">
        <v>24374700</v>
      </c>
      <c r="H2455" s="3">
        <f t="shared" si="38"/>
        <v>8.1121691332959323E-3</v>
      </c>
      <c r="J2455" s="3">
        <v>1.0445175801007345E-2</v>
      </c>
      <c r="K2455" s="3">
        <v>0.771455517132977</v>
      </c>
    </row>
    <row r="2456" spans="1:11" x14ac:dyDescent="0.2">
      <c r="A2456" s="1">
        <v>45223</v>
      </c>
      <c r="B2456">
        <v>322.965576171875</v>
      </c>
      <c r="C2456">
        <v>330.52999877929602</v>
      </c>
      <c r="D2456">
        <v>331.83999633789</v>
      </c>
      <c r="E2456">
        <v>327.600006103515</v>
      </c>
      <c r="F2456">
        <v>331.29998779296801</v>
      </c>
      <c r="G2456" s="2">
        <v>31153600</v>
      </c>
      <c r="H2456" s="3">
        <f t="shared" si="38"/>
        <v>3.6740591696149405E-3</v>
      </c>
      <c r="J2456" s="3">
        <v>1.0459068323401599E-2</v>
      </c>
      <c r="K2456" s="3">
        <v>0.77176988368437593</v>
      </c>
    </row>
    <row r="2457" spans="1:11" x14ac:dyDescent="0.2">
      <c r="A2457" s="1">
        <v>45224</v>
      </c>
      <c r="B2457">
        <v>332.87359619140602</v>
      </c>
      <c r="C2457">
        <v>340.67001342773398</v>
      </c>
      <c r="D2457">
        <v>346.20001220703102</v>
      </c>
      <c r="E2457">
        <v>337.61999511718699</v>
      </c>
      <c r="F2457">
        <v>345.01998901367102</v>
      </c>
      <c r="G2457" s="2">
        <v>55053800</v>
      </c>
      <c r="H2457" s="3">
        <f t="shared" si="38"/>
        <v>3.0678254125319437E-2</v>
      </c>
      <c r="J2457" s="3">
        <v>1.048033276965521E-2</v>
      </c>
      <c r="K2457" s="3">
        <v>0.77208425023577487</v>
      </c>
    </row>
    <row r="2458" spans="1:11" x14ac:dyDescent="0.2">
      <c r="A2458" s="1">
        <v>45225</v>
      </c>
      <c r="B2458">
        <v>320.38607788085898</v>
      </c>
      <c r="C2458">
        <v>327.89001464843699</v>
      </c>
      <c r="D2458">
        <v>341.63000488281199</v>
      </c>
      <c r="E2458">
        <v>326.94000244140602</v>
      </c>
      <c r="F2458">
        <v>340.54000854492102</v>
      </c>
      <c r="G2458" s="2">
        <v>37828500</v>
      </c>
      <c r="H2458" s="3">
        <f t="shared" si="38"/>
        <v>-3.7514295076040205E-2</v>
      </c>
      <c r="J2458" s="3">
        <v>1.0480998844917933E-2</v>
      </c>
      <c r="K2458" s="3">
        <v>0.77239861678717381</v>
      </c>
    </row>
    <row r="2459" spans="1:11" x14ac:dyDescent="0.2">
      <c r="A2459" s="1">
        <v>45226</v>
      </c>
      <c r="B2459">
        <v>322.26214599609301</v>
      </c>
      <c r="C2459">
        <v>329.80999755859301</v>
      </c>
      <c r="D2459">
        <v>336.72000122070301</v>
      </c>
      <c r="E2459">
        <v>328.39999389648398</v>
      </c>
      <c r="F2459">
        <v>330.42999267578102</v>
      </c>
      <c r="G2459" s="2">
        <v>29856500</v>
      </c>
      <c r="H2459" s="3">
        <f t="shared" si="38"/>
        <v>5.8556480595004512E-3</v>
      </c>
      <c r="J2459" s="3">
        <v>1.0489598895417007E-2</v>
      </c>
      <c r="K2459" s="3">
        <v>0.77271298333857275</v>
      </c>
    </row>
    <row r="2460" spans="1:11" x14ac:dyDescent="0.2">
      <c r="A2460" s="1">
        <v>45229</v>
      </c>
      <c r="B2460">
        <v>329.59045410156199</v>
      </c>
      <c r="C2460">
        <v>337.30999755859301</v>
      </c>
      <c r="D2460">
        <v>339.45001220703102</v>
      </c>
      <c r="E2460">
        <v>331.829986572265</v>
      </c>
      <c r="F2460">
        <v>333.41000366210898</v>
      </c>
      <c r="G2460" s="2">
        <v>22828100</v>
      </c>
      <c r="H2460" s="3">
        <f t="shared" si="38"/>
        <v>2.2740207612090613E-2</v>
      </c>
      <c r="J2460" s="3">
        <v>1.0489901843506511E-2</v>
      </c>
      <c r="K2460" s="3">
        <v>0.77302734988997168</v>
      </c>
    </row>
    <row r="2461" spans="1:11" x14ac:dyDescent="0.2">
      <c r="A2461" s="1">
        <v>45230</v>
      </c>
      <c r="B2461">
        <v>330.37216186523398</v>
      </c>
      <c r="C2461">
        <v>338.10998535156199</v>
      </c>
      <c r="D2461">
        <v>339</v>
      </c>
      <c r="E2461">
        <v>334.69000244140602</v>
      </c>
      <c r="F2461">
        <v>338.850006103515</v>
      </c>
      <c r="G2461" s="2">
        <v>20265300</v>
      </c>
      <c r="H2461" s="3">
        <f t="shared" si="38"/>
        <v>2.3717548671209343E-3</v>
      </c>
      <c r="J2461" s="3">
        <v>1.0496960501594987E-2</v>
      </c>
      <c r="K2461" s="3">
        <v>0.77334171644137062</v>
      </c>
    </row>
    <row r="2462" spans="1:11" x14ac:dyDescent="0.2">
      <c r="A2462" s="1">
        <v>45231</v>
      </c>
      <c r="B2462">
        <v>338.14999389648398</v>
      </c>
      <c r="C2462">
        <v>346.07000732421801</v>
      </c>
      <c r="D2462">
        <v>347.42001342773398</v>
      </c>
      <c r="E2462">
        <v>339.64999389648398</v>
      </c>
      <c r="F2462">
        <v>339.79000854492102</v>
      </c>
      <c r="G2462" s="2">
        <v>28158800</v>
      </c>
      <c r="H2462" s="3">
        <f t="shared" si="38"/>
        <v>2.354263745267593E-2</v>
      </c>
      <c r="J2462" s="3">
        <v>1.0503245085119906E-2</v>
      </c>
      <c r="K2462" s="3">
        <v>0.77365608299276956</v>
      </c>
    </row>
    <row r="2463" spans="1:11" x14ac:dyDescent="0.2">
      <c r="A2463" s="1">
        <v>45232</v>
      </c>
      <c r="B2463">
        <v>340.34848022460898</v>
      </c>
      <c r="C2463">
        <v>348.32000732421801</v>
      </c>
      <c r="D2463">
        <v>348.829986572265</v>
      </c>
      <c r="E2463">
        <v>344.76998901367102</v>
      </c>
      <c r="F2463">
        <v>347.239990234375</v>
      </c>
      <c r="G2463" s="2">
        <v>24348100</v>
      </c>
      <c r="H2463" s="3">
        <f t="shared" si="38"/>
        <v>6.5015122513887302E-3</v>
      </c>
      <c r="J2463" s="3">
        <v>1.0505782967664246E-2</v>
      </c>
      <c r="K2463" s="3">
        <v>0.77397044954416849</v>
      </c>
    </row>
    <row r="2464" spans="1:11" x14ac:dyDescent="0.2">
      <c r="A2464" s="1">
        <v>45233</v>
      </c>
      <c r="B2464">
        <v>344.72592163085898</v>
      </c>
      <c r="C2464">
        <v>352.79998779296801</v>
      </c>
      <c r="D2464">
        <v>354.39001464843699</v>
      </c>
      <c r="E2464">
        <v>347.329986572265</v>
      </c>
      <c r="F2464">
        <v>349.63000488281199</v>
      </c>
      <c r="G2464" s="2">
        <v>23637700</v>
      </c>
      <c r="H2464" s="3">
        <f t="shared" si="38"/>
        <v>1.2861645227154161E-2</v>
      </c>
      <c r="J2464" s="3">
        <v>1.0522694503971364E-2</v>
      </c>
      <c r="K2464" s="3">
        <v>0.77428481609556743</v>
      </c>
    </row>
    <row r="2465" spans="1:11" x14ac:dyDescent="0.2">
      <c r="A2465" s="1">
        <v>45236</v>
      </c>
      <c r="B2465">
        <v>348.37054443359301</v>
      </c>
      <c r="C2465">
        <v>356.52999877929602</v>
      </c>
      <c r="D2465">
        <v>357.54000854492102</v>
      </c>
      <c r="E2465">
        <v>353.350006103515</v>
      </c>
      <c r="F2465">
        <v>353.45001220703102</v>
      </c>
      <c r="G2465" s="2">
        <v>23828300</v>
      </c>
      <c r="H2465" s="3">
        <f t="shared" si="38"/>
        <v>1.0572523196084926E-2</v>
      </c>
      <c r="J2465" s="3">
        <v>1.0543332804101135E-2</v>
      </c>
      <c r="K2465" s="3">
        <v>0.77459918264696637</v>
      </c>
    </row>
    <row r="2466" spans="1:11" x14ac:dyDescent="0.2">
      <c r="A2466" s="1">
        <v>45237</v>
      </c>
      <c r="B2466">
        <v>352.27908325195301</v>
      </c>
      <c r="C2466">
        <v>360.52999877929602</v>
      </c>
      <c r="D2466">
        <v>362.45999145507801</v>
      </c>
      <c r="E2466">
        <v>357.63000488281199</v>
      </c>
      <c r="F2466">
        <v>359.39999389648398</v>
      </c>
      <c r="G2466" s="2">
        <v>25833900</v>
      </c>
      <c r="H2466" s="3">
        <f t="shared" si="38"/>
        <v>1.1219487068617751E-2</v>
      </c>
      <c r="J2466" s="3">
        <v>1.054908651034081E-2</v>
      </c>
      <c r="K2466" s="3">
        <v>0.7749135491983653</v>
      </c>
    </row>
    <row r="2467" spans="1:11" x14ac:dyDescent="0.2">
      <c r="A2467" s="1">
        <v>45238</v>
      </c>
      <c r="B2467">
        <v>354.88796997070301</v>
      </c>
      <c r="C2467">
        <v>363.20001220703102</v>
      </c>
      <c r="D2467">
        <v>363.86999511718699</v>
      </c>
      <c r="E2467">
        <v>360.54998779296801</v>
      </c>
      <c r="F2467">
        <v>361.67999267578102</v>
      </c>
      <c r="G2467" s="2">
        <v>26767800</v>
      </c>
      <c r="H2467" s="3">
        <f t="shared" si="38"/>
        <v>7.4057383557004641E-3</v>
      </c>
      <c r="J2467" s="3">
        <v>1.0557292158789977E-2</v>
      </c>
      <c r="K2467" s="3">
        <v>0.77522791574976424</v>
      </c>
    </row>
    <row r="2468" spans="1:11" x14ac:dyDescent="0.2">
      <c r="A2468" s="1">
        <v>45239</v>
      </c>
      <c r="B2468">
        <v>352.435455322265</v>
      </c>
      <c r="C2468">
        <v>360.69000244140602</v>
      </c>
      <c r="D2468">
        <v>364.79000854492102</v>
      </c>
      <c r="E2468">
        <v>360.35998535156199</v>
      </c>
      <c r="F2468">
        <v>362.29998779296801</v>
      </c>
      <c r="G2468" s="2">
        <v>24847300</v>
      </c>
      <c r="H2468" s="3">
        <f t="shared" si="38"/>
        <v>-6.9106728206100865E-3</v>
      </c>
      <c r="J2468" s="3">
        <v>1.0572523196084926E-2</v>
      </c>
      <c r="K2468" s="3">
        <v>0.77554228230116318</v>
      </c>
    </row>
    <row r="2469" spans="1:11" x14ac:dyDescent="0.2">
      <c r="A2469" s="1">
        <v>45240</v>
      </c>
      <c r="B2469">
        <v>361.209869384765</v>
      </c>
      <c r="C2469">
        <v>369.67001342773398</v>
      </c>
      <c r="D2469">
        <v>370.100006103515</v>
      </c>
      <c r="E2469">
        <v>361.07000732421801</v>
      </c>
      <c r="F2469">
        <v>361.489990234375</v>
      </c>
      <c r="G2469" s="2">
        <v>28042100</v>
      </c>
      <c r="H2469" s="3">
        <f t="shared" si="38"/>
        <v>2.4896513475004101E-2</v>
      </c>
      <c r="J2469" s="3">
        <v>1.0581411460949486E-2</v>
      </c>
      <c r="K2469" s="3">
        <v>0.77585664885256211</v>
      </c>
    </row>
    <row r="2470" spans="1:11" x14ac:dyDescent="0.2">
      <c r="A2470" s="1">
        <v>45243</v>
      </c>
      <c r="B2470">
        <v>358.28829956054602</v>
      </c>
      <c r="C2470">
        <v>366.67999267578102</v>
      </c>
      <c r="D2470">
        <v>368.47000122070301</v>
      </c>
      <c r="E2470">
        <v>365.89999389648398</v>
      </c>
      <c r="F2470">
        <v>368.22000122070301</v>
      </c>
      <c r="G2470" s="2">
        <v>19986500</v>
      </c>
      <c r="H2470" s="3">
        <f t="shared" si="38"/>
        <v>-8.0882890304054822E-3</v>
      </c>
      <c r="J2470" s="3">
        <v>1.0629544014234993E-2</v>
      </c>
      <c r="K2470" s="3">
        <v>0.77617101540396105</v>
      </c>
    </row>
    <row r="2471" spans="1:11" x14ac:dyDescent="0.2">
      <c r="A2471" s="1">
        <v>45244</v>
      </c>
      <c r="B2471">
        <v>361.79611206054602</v>
      </c>
      <c r="C2471">
        <v>370.26998901367102</v>
      </c>
      <c r="D2471">
        <v>371.95001220703102</v>
      </c>
      <c r="E2471">
        <v>367.350006103515</v>
      </c>
      <c r="F2471">
        <v>371.010009765625</v>
      </c>
      <c r="G2471" s="2">
        <v>27683900</v>
      </c>
      <c r="H2471" s="3">
        <f t="shared" si="38"/>
        <v>9.7904746102579487E-3</v>
      </c>
      <c r="J2471" s="3">
        <v>1.0635472160974935E-2</v>
      </c>
      <c r="K2471" s="3">
        <v>0.77648538195535999</v>
      </c>
    </row>
    <row r="2472" spans="1:11" x14ac:dyDescent="0.2">
      <c r="A2472" s="1">
        <v>45245</v>
      </c>
      <c r="B2472">
        <v>361.94302368164</v>
      </c>
      <c r="C2472">
        <v>369.67001342773398</v>
      </c>
      <c r="D2472">
        <v>373.13000488281199</v>
      </c>
      <c r="E2472">
        <v>367.10998535156199</v>
      </c>
      <c r="F2472">
        <v>371.27999877929602</v>
      </c>
      <c r="G2472" s="2">
        <v>26860100</v>
      </c>
      <c r="H2472" s="3">
        <f t="shared" si="38"/>
        <v>4.0606191221148613E-4</v>
      </c>
      <c r="J2472" s="3">
        <v>1.069199768192286E-2</v>
      </c>
      <c r="K2472" s="3">
        <v>0.77679974850675892</v>
      </c>
    </row>
    <row r="2473" spans="1:11" x14ac:dyDescent="0.2">
      <c r="A2473" s="1">
        <v>45246</v>
      </c>
      <c r="B2473">
        <v>368.30715942382801</v>
      </c>
      <c r="C2473">
        <v>376.17001342773398</v>
      </c>
      <c r="D2473">
        <v>376.350006103515</v>
      </c>
      <c r="E2473">
        <v>370.17999267578102</v>
      </c>
      <c r="F2473">
        <v>370.95999145507801</v>
      </c>
      <c r="G2473" s="2">
        <v>27182300</v>
      </c>
      <c r="H2473" s="3">
        <f t="shared" si="38"/>
        <v>1.7583252959133766E-2</v>
      </c>
      <c r="J2473" s="3">
        <v>1.0707593078610911E-2</v>
      </c>
      <c r="K2473" s="3">
        <v>0.77711411505815786</v>
      </c>
    </row>
    <row r="2474" spans="1:11" x14ac:dyDescent="0.2">
      <c r="A2474" s="1">
        <v>45247</v>
      </c>
      <c r="B2474">
        <v>362.11926269531199</v>
      </c>
      <c r="C2474">
        <v>369.850006103515</v>
      </c>
      <c r="D2474">
        <v>374.36999511718699</v>
      </c>
      <c r="E2474">
        <v>367</v>
      </c>
      <c r="F2474">
        <v>373.60998535156199</v>
      </c>
      <c r="G2474" s="2">
        <v>40157000</v>
      </c>
      <c r="H2474" s="3">
        <f t="shared" si="38"/>
        <v>-1.6800913504359305E-2</v>
      </c>
      <c r="J2474" s="3">
        <v>1.070796655622841E-2</v>
      </c>
      <c r="K2474" s="3">
        <v>0.7774284816095568</v>
      </c>
    </row>
    <row r="2475" spans="1:11" x14ac:dyDescent="0.2">
      <c r="A2475" s="1">
        <v>45250</v>
      </c>
      <c r="B2475">
        <v>369.55059814453102</v>
      </c>
      <c r="C2475">
        <v>377.44000244140602</v>
      </c>
      <c r="D2475">
        <v>378.86999511718699</v>
      </c>
      <c r="E2475">
        <v>371</v>
      </c>
      <c r="F2475">
        <v>371.22000122070301</v>
      </c>
      <c r="G2475" s="2">
        <v>52465100</v>
      </c>
      <c r="H2475" s="3">
        <f t="shared" si="38"/>
        <v>2.0521789959215164E-2</v>
      </c>
      <c r="J2475" s="3">
        <v>1.0708405182676684E-2</v>
      </c>
      <c r="K2475" s="3">
        <v>0.77774284816095562</v>
      </c>
    </row>
    <row r="2476" spans="1:11" x14ac:dyDescent="0.2">
      <c r="A2476" s="1">
        <v>45251</v>
      </c>
      <c r="B2476">
        <v>365.27197265625</v>
      </c>
      <c r="C2476">
        <v>373.07000732421801</v>
      </c>
      <c r="D2476">
        <v>376.22000122070301</v>
      </c>
      <c r="E2476">
        <v>371.11999511718699</v>
      </c>
      <c r="F2476">
        <v>375.67001342773398</v>
      </c>
      <c r="G2476" s="2">
        <v>28423100</v>
      </c>
      <c r="H2476" s="3">
        <f t="shared" si="38"/>
        <v>-1.1577915202311884E-2</v>
      </c>
      <c r="J2476" s="3">
        <v>1.0724064788534937E-2</v>
      </c>
      <c r="K2476" s="3">
        <v>0.77805721471235456</v>
      </c>
    </row>
    <row r="2477" spans="1:11" x14ac:dyDescent="0.2">
      <c r="A2477" s="1">
        <v>45252</v>
      </c>
      <c r="B2477">
        <v>369.95202636718699</v>
      </c>
      <c r="C2477">
        <v>377.850006103515</v>
      </c>
      <c r="D2477">
        <v>379.79000854492102</v>
      </c>
      <c r="E2477">
        <v>374.97000122070301</v>
      </c>
      <c r="F2477">
        <v>378</v>
      </c>
      <c r="G2477" s="2">
        <v>23345300</v>
      </c>
      <c r="H2477" s="3">
        <f t="shared" si="38"/>
        <v>1.2812517962721648E-2</v>
      </c>
      <c r="J2477" s="3">
        <v>1.0728973183848023E-2</v>
      </c>
      <c r="K2477" s="3">
        <v>0.7783715812637535</v>
      </c>
    </row>
    <row r="2478" spans="1:11" x14ac:dyDescent="0.2">
      <c r="A2478" s="1">
        <v>45254</v>
      </c>
      <c r="B2478">
        <v>369.54080200195301</v>
      </c>
      <c r="C2478">
        <v>377.42999267578102</v>
      </c>
      <c r="D2478">
        <v>377.97000122070301</v>
      </c>
      <c r="E2478">
        <v>375.14001464843699</v>
      </c>
      <c r="F2478">
        <v>377.329986572265</v>
      </c>
      <c r="G2478" s="2">
        <v>10176600</v>
      </c>
      <c r="H2478" s="3">
        <f t="shared" si="38"/>
        <v>-1.1115613266727831E-3</v>
      </c>
      <c r="J2478" s="3">
        <v>1.0736169899996595E-2</v>
      </c>
      <c r="K2478" s="3">
        <v>0.77868594781515243</v>
      </c>
    </row>
    <row r="2479" spans="1:11" x14ac:dyDescent="0.2">
      <c r="A2479" s="1">
        <v>45257</v>
      </c>
      <c r="B2479">
        <v>370.69616699218699</v>
      </c>
      <c r="C2479">
        <v>378.60998535156199</v>
      </c>
      <c r="D2479">
        <v>380.64001464843699</v>
      </c>
      <c r="E2479">
        <v>376.20001220703102</v>
      </c>
      <c r="F2479">
        <v>376.77999877929602</v>
      </c>
      <c r="G2479" s="2">
        <v>22179200</v>
      </c>
      <c r="H2479" s="3">
        <f t="shared" si="38"/>
        <v>3.1264882902641844E-3</v>
      </c>
      <c r="J2479" s="3">
        <v>1.074204564308201E-2</v>
      </c>
      <c r="K2479" s="3">
        <v>0.77900031436655137</v>
      </c>
    </row>
    <row r="2480" spans="1:11" x14ac:dyDescent="0.2">
      <c r="A2480" s="1">
        <v>45258</v>
      </c>
      <c r="B2480">
        <v>374.70071411132801</v>
      </c>
      <c r="C2480">
        <v>382.70001220703102</v>
      </c>
      <c r="D2480">
        <v>383</v>
      </c>
      <c r="E2480">
        <v>378.16000366210898</v>
      </c>
      <c r="F2480">
        <v>378.350006103515</v>
      </c>
      <c r="G2480" s="2">
        <v>20453100</v>
      </c>
      <c r="H2480" s="3">
        <f t="shared" si="38"/>
        <v>1.0802774551551986E-2</v>
      </c>
      <c r="J2480" s="3">
        <v>1.0747276909766068E-2</v>
      </c>
      <c r="K2480" s="3">
        <v>0.77931468091795031</v>
      </c>
    </row>
    <row r="2481" spans="1:11" x14ac:dyDescent="0.2">
      <c r="A2481" s="1">
        <v>45259</v>
      </c>
      <c r="B2481">
        <v>370.93112182617102</v>
      </c>
      <c r="C2481">
        <v>378.850006103515</v>
      </c>
      <c r="D2481">
        <v>384.29998779296801</v>
      </c>
      <c r="E2481">
        <v>377.44000244140602</v>
      </c>
      <c r="F2481">
        <v>383.760009765625</v>
      </c>
      <c r="G2481" s="2">
        <v>28963400</v>
      </c>
      <c r="H2481" s="3">
        <f t="shared" si="38"/>
        <v>-1.0060275156126286E-2</v>
      </c>
      <c r="J2481" s="3">
        <v>1.0753050989417146E-2</v>
      </c>
      <c r="K2481" s="3">
        <v>0.77962904746934925</v>
      </c>
    </row>
    <row r="2482" spans="1:11" x14ac:dyDescent="0.2">
      <c r="A2482" s="1">
        <v>45260</v>
      </c>
      <c r="B2482">
        <v>370.98989868164</v>
      </c>
      <c r="C2482">
        <v>378.91000366210898</v>
      </c>
      <c r="D2482">
        <v>380.08999633789</v>
      </c>
      <c r="E2482">
        <v>375.47000122070301</v>
      </c>
      <c r="F2482">
        <v>378.489990234375</v>
      </c>
      <c r="G2482" s="2">
        <v>30554400</v>
      </c>
      <c r="H2482" s="3">
        <f t="shared" si="38"/>
        <v>1.5845760037502821E-4</v>
      </c>
      <c r="J2482" s="3">
        <v>1.0773442089234253E-2</v>
      </c>
      <c r="K2482" s="3">
        <v>0.77994341402074818</v>
      </c>
    </row>
    <row r="2483" spans="1:11" x14ac:dyDescent="0.2">
      <c r="A2483" s="1">
        <v>45261</v>
      </c>
      <c r="B2483">
        <v>366.681884765625</v>
      </c>
      <c r="C2483">
        <v>374.510009765625</v>
      </c>
      <c r="D2483">
        <v>378.16000366210898</v>
      </c>
      <c r="E2483">
        <v>371.30999755859301</v>
      </c>
      <c r="F2483">
        <v>376.760009765625</v>
      </c>
      <c r="G2483" s="2">
        <v>33040500</v>
      </c>
      <c r="H2483" s="3">
        <f t="shared" si="38"/>
        <v>-1.1612213516659309E-2</v>
      </c>
      <c r="J2483" s="3">
        <v>1.0802774551551986E-2</v>
      </c>
      <c r="K2483" s="3">
        <v>0.78025778057214712</v>
      </c>
    </row>
    <row r="2484" spans="1:11" x14ac:dyDescent="0.2">
      <c r="A2484" s="1">
        <v>45264</v>
      </c>
      <c r="B2484">
        <v>361.42410278320301</v>
      </c>
      <c r="C2484">
        <v>369.14001464843699</v>
      </c>
      <c r="D2484">
        <v>369.51998901367102</v>
      </c>
      <c r="E2484">
        <v>362.89999389648398</v>
      </c>
      <c r="F2484">
        <v>369.100006103515</v>
      </c>
      <c r="G2484" s="2">
        <v>32063300</v>
      </c>
      <c r="H2484" s="3">
        <f t="shared" si="38"/>
        <v>-1.4338810289967419E-2</v>
      </c>
      <c r="J2484" s="3">
        <v>1.0812268562716554E-2</v>
      </c>
      <c r="K2484" s="3">
        <v>0.78057214712354606</v>
      </c>
    </row>
    <row r="2485" spans="1:11" x14ac:dyDescent="0.2">
      <c r="A2485" s="1">
        <v>45265</v>
      </c>
      <c r="B2485">
        <v>364.73342895507801</v>
      </c>
      <c r="C2485">
        <v>372.51998901367102</v>
      </c>
      <c r="D2485">
        <v>373.079986572265</v>
      </c>
      <c r="E2485">
        <v>365.61999511718699</v>
      </c>
      <c r="F2485">
        <v>366.45001220703102</v>
      </c>
      <c r="G2485" s="2">
        <v>23065000</v>
      </c>
      <c r="H2485" s="3">
        <f t="shared" si="38"/>
        <v>9.1563516278825308E-3</v>
      </c>
      <c r="J2485" s="3">
        <v>1.0821626825629371E-2</v>
      </c>
      <c r="K2485" s="3">
        <v>0.78088651367494499</v>
      </c>
    </row>
    <row r="2486" spans="1:11" x14ac:dyDescent="0.2">
      <c r="A2486" s="1">
        <v>45266</v>
      </c>
      <c r="B2486">
        <v>361.09118652343699</v>
      </c>
      <c r="C2486">
        <v>368.79998779296801</v>
      </c>
      <c r="D2486">
        <v>374.17999267578102</v>
      </c>
      <c r="E2486">
        <v>368.02999877929602</v>
      </c>
      <c r="F2486">
        <v>373.54000854492102</v>
      </c>
      <c r="G2486" s="2">
        <v>21182100</v>
      </c>
      <c r="H2486" s="3">
        <f t="shared" si="38"/>
        <v>-9.9860395085683562E-3</v>
      </c>
      <c r="J2486" s="3">
        <v>1.0841979380916467E-2</v>
      </c>
      <c r="K2486" s="3">
        <v>0.78120088022634393</v>
      </c>
    </row>
    <row r="2487" spans="1:11" x14ac:dyDescent="0.2">
      <c r="A2487" s="1">
        <v>45267</v>
      </c>
      <c r="B2487">
        <v>363.19622802734301</v>
      </c>
      <c r="C2487">
        <v>370.95001220703102</v>
      </c>
      <c r="D2487">
        <v>371.45001220703102</v>
      </c>
      <c r="E2487">
        <v>366.32000732421801</v>
      </c>
      <c r="F2487">
        <v>368.23001098632801</v>
      </c>
      <c r="G2487" s="2">
        <v>23118900</v>
      </c>
      <c r="H2487" s="3">
        <f t="shared" si="38"/>
        <v>5.8296673595754633E-3</v>
      </c>
      <c r="J2487" s="3">
        <v>1.0874586092184169E-2</v>
      </c>
      <c r="K2487" s="3">
        <v>0.78151524677774287</v>
      </c>
    </row>
    <row r="2488" spans="1:11" x14ac:dyDescent="0.2">
      <c r="A2488" s="1">
        <v>45268</v>
      </c>
      <c r="B2488">
        <v>366.40768432617102</v>
      </c>
      <c r="C2488">
        <v>374.23001098632801</v>
      </c>
      <c r="D2488">
        <v>374.45999145507801</v>
      </c>
      <c r="E2488">
        <v>368.23001098632801</v>
      </c>
      <c r="F2488">
        <v>369.20001220703102</v>
      </c>
      <c r="G2488" s="2">
        <v>20154400</v>
      </c>
      <c r="H2488" s="3">
        <f t="shared" si="38"/>
        <v>8.842207189955209E-3</v>
      </c>
      <c r="J2488" s="3">
        <v>1.0876709343018875E-2</v>
      </c>
      <c r="K2488" s="3">
        <v>0.7818296133291418</v>
      </c>
    </row>
    <row r="2489" spans="1:11" x14ac:dyDescent="0.2">
      <c r="A2489" s="1">
        <v>45271</v>
      </c>
      <c r="B2489">
        <v>363.53894042968699</v>
      </c>
      <c r="C2489">
        <v>371.29998779296801</v>
      </c>
      <c r="D2489">
        <v>371.600006103515</v>
      </c>
      <c r="E2489">
        <v>366.100006103515</v>
      </c>
      <c r="F2489">
        <v>368.48001098632801</v>
      </c>
      <c r="G2489" s="2">
        <v>27708800</v>
      </c>
      <c r="H2489" s="3">
        <f t="shared" si="38"/>
        <v>-7.829377000538873E-3</v>
      </c>
      <c r="J2489" s="3">
        <v>1.08976073011402E-2</v>
      </c>
      <c r="K2489" s="3">
        <v>0.78214397988054074</v>
      </c>
    </row>
    <row r="2490" spans="1:11" x14ac:dyDescent="0.2">
      <c r="A2490" s="1">
        <v>45272</v>
      </c>
      <c r="B2490">
        <v>366.55450439453102</v>
      </c>
      <c r="C2490">
        <v>374.38000488281199</v>
      </c>
      <c r="D2490">
        <v>374.42001342773398</v>
      </c>
      <c r="E2490">
        <v>370.45999145507801</v>
      </c>
      <c r="F2490">
        <v>370.850006103515</v>
      </c>
      <c r="G2490" s="2">
        <v>24838300</v>
      </c>
      <c r="H2490" s="3">
        <f t="shared" si="38"/>
        <v>8.2950232546745717E-3</v>
      </c>
      <c r="J2490" s="3">
        <v>1.0917629257815253E-2</v>
      </c>
      <c r="K2490" s="3">
        <v>0.78245834643193968</v>
      </c>
    </row>
    <row r="2491" spans="1:11" x14ac:dyDescent="0.2">
      <c r="A2491" s="1">
        <v>45273</v>
      </c>
      <c r="B2491">
        <v>366.54479980468699</v>
      </c>
      <c r="C2491">
        <v>374.36999511718699</v>
      </c>
      <c r="D2491">
        <v>377.64001464843699</v>
      </c>
      <c r="E2491">
        <v>370.76998901367102</v>
      </c>
      <c r="F2491">
        <v>376.01998901367102</v>
      </c>
      <c r="G2491" s="2">
        <v>30955500</v>
      </c>
      <c r="H2491" s="3">
        <f t="shared" si="38"/>
        <v>-2.6475161886363452E-5</v>
      </c>
      <c r="J2491" s="3">
        <v>1.0922616185103484E-2</v>
      </c>
      <c r="K2491" s="3">
        <v>0.78277271298333861</v>
      </c>
    </row>
    <row r="2492" spans="1:11" x14ac:dyDescent="0.2">
      <c r="A2492" s="1">
        <v>45274</v>
      </c>
      <c r="B2492">
        <v>358.28121948242102</v>
      </c>
      <c r="C2492">
        <v>365.92999267578102</v>
      </c>
      <c r="D2492">
        <v>373.760009765625</v>
      </c>
      <c r="E2492">
        <v>364.13000488281199</v>
      </c>
      <c r="F2492">
        <v>373.30999755859301</v>
      </c>
      <c r="G2492" s="2">
        <v>43277500</v>
      </c>
      <c r="H2492" s="3">
        <f t="shared" si="38"/>
        <v>-2.2544530236601967E-2</v>
      </c>
      <c r="J2492" s="3">
        <v>1.0931804553640845E-2</v>
      </c>
      <c r="K2492" s="3">
        <v>0.78308707953473755</v>
      </c>
    </row>
    <row r="2493" spans="1:11" x14ac:dyDescent="0.2">
      <c r="A2493" s="1">
        <v>45275</v>
      </c>
      <c r="B2493">
        <v>362.980865478515</v>
      </c>
      <c r="C2493">
        <v>370.73001098632801</v>
      </c>
      <c r="D2493">
        <v>372.39999389648398</v>
      </c>
      <c r="E2493">
        <v>366.27999877929602</v>
      </c>
      <c r="F2493">
        <v>366.850006103515</v>
      </c>
      <c r="G2493" s="2">
        <v>78502300</v>
      </c>
      <c r="H2493" s="3">
        <f t="shared" si="38"/>
        <v>1.3117198838619393E-2</v>
      </c>
      <c r="J2493" s="3">
        <v>1.0940127256742205E-2</v>
      </c>
      <c r="K2493" s="3">
        <v>0.78340144608613649</v>
      </c>
    </row>
    <row r="2494" spans="1:11" x14ac:dyDescent="0.2">
      <c r="A2494" s="1">
        <v>45278</v>
      </c>
      <c r="B2494">
        <v>364.86071777343699</v>
      </c>
      <c r="C2494">
        <v>372.64999389648398</v>
      </c>
      <c r="D2494">
        <v>373</v>
      </c>
      <c r="E2494">
        <v>368.67999267578102</v>
      </c>
      <c r="F2494">
        <v>369.45001220703102</v>
      </c>
      <c r="G2494" s="2">
        <v>21802900</v>
      </c>
      <c r="H2494" s="3">
        <f t="shared" si="38"/>
        <v>5.1789294525037555E-3</v>
      </c>
      <c r="J2494" s="3">
        <v>1.096373512973714E-2</v>
      </c>
      <c r="K2494" s="3">
        <v>0.78371581263753531</v>
      </c>
    </row>
    <row r="2495" spans="1:11" x14ac:dyDescent="0.2">
      <c r="A2495" s="1">
        <v>45279</v>
      </c>
      <c r="B2495">
        <v>365.457916259765</v>
      </c>
      <c r="C2495">
        <v>373.260009765625</v>
      </c>
      <c r="D2495">
        <v>373.260009765625</v>
      </c>
      <c r="E2495">
        <v>369.83999633789</v>
      </c>
      <c r="F2495">
        <v>371.489990234375</v>
      </c>
      <c r="G2495" s="2">
        <v>20603700</v>
      </c>
      <c r="H2495" s="3">
        <f t="shared" si="38"/>
        <v>1.6367848256517714E-3</v>
      </c>
      <c r="J2495" s="3">
        <v>1.0965855874027763E-2</v>
      </c>
      <c r="K2495" s="3">
        <v>0.78403017918893425</v>
      </c>
    </row>
    <row r="2496" spans="1:11" x14ac:dyDescent="0.2">
      <c r="A2496" s="1">
        <v>45280</v>
      </c>
      <c r="B2496">
        <v>362.87316894531199</v>
      </c>
      <c r="C2496">
        <v>370.61999511718699</v>
      </c>
      <c r="D2496">
        <v>376.02999877929602</v>
      </c>
      <c r="E2496">
        <v>370.52999877929602</v>
      </c>
      <c r="F2496">
        <v>375</v>
      </c>
      <c r="G2496" s="2">
        <v>26316700</v>
      </c>
      <c r="H2496" s="3">
        <f t="shared" si="38"/>
        <v>-7.0726264214120427E-3</v>
      </c>
      <c r="J2496" s="3">
        <v>1.0979394422989452E-2</v>
      </c>
      <c r="K2496" s="3">
        <v>0.78434454574033319</v>
      </c>
    </row>
    <row r="2497" spans="1:11" x14ac:dyDescent="0.2">
      <c r="A2497" s="1">
        <v>45281</v>
      </c>
      <c r="B2497">
        <v>365.73211669921801</v>
      </c>
      <c r="C2497">
        <v>373.54000854492102</v>
      </c>
      <c r="D2497">
        <v>374.41000366210898</v>
      </c>
      <c r="E2497">
        <v>370.04000854492102</v>
      </c>
      <c r="F2497">
        <v>372.55999755859301</v>
      </c>
      <c r="G2497" s="2">
        <v>17708000</v>
      </c>
      <c r="H2497" s="3">
        <f t="shared" si="38"/>
        <v>7.8786419018399556E-3</v>
      </c>
      <c r="J2497" s="3">
        <v>1.1033332639940108E-2</v>
      </c>
      <c r="K2497" s="3">
        <v>0.78465891229173212</v>
      </c>
    </row>
    <row r="2498" spans="1:11" x14ac:dyDescent="0.2">
      <c r="A2498" s="1">
        <v>45282</v>
      </c>
      <c r="B2498">
        <v>366.75033569335898</v>
      </c>
      <c r="C2498">
        <v>374.579986572265</v>
      </c>
      <c r="D2498">
        <v>375.17999267578102</v>
      </c>
      <c r="E2498">
        <v>372.70999145507801</v>
      </c>
      <c r="F2498">
        <v>373.67999267578102</v>
      </c>
      <c r="G2498" s="2">
        <v>17107500</v>
      </c>
      <c r="H2498" s="3">
        <f t="shared" ref="H2498:H2561" si="39">B2498/B2497-1</f>
        <v>2.7840568209609451E-3</v>
      </c>
      <c r="J2498" s="3">
        <v>1.1069978846262041E-2</v>
      </c>
      <c r="K2498" s="3">
        <v>0.78497327884313106</v>
      </c>
    </row>
    <row r="2499" spans="1:11" x14ac:dyDescent="0.2">
      <c r="A2499" s="1">
        <v>45286</v>
      </c>
      <c r="B2499">
        <v>366.82873535156199</v>
      </c>
      <c r="C2499">
        <v>374.66000366210898</v>
      </c>
      <c r="D2499">
        <v>376.94000244140602</v>
      </c>
      <c r="E2499">
        <v>373.5</v>
      </c>
      <c r="F2499">
        <v>375</v>
      </c>
      <c r="G2499" s="2">
        <v>12673100</v>
      </c>
      <c r="H2499" s="3">
        <f t="shared" si="39"/>
        <v>2.1376847019038969E-4</v>
      </c>
      <c r="J2499" s="3">
        <v>1.1072891697944343E-2</v>
      </c>
      <c r="K2499" s="3">
        <v>0.78528764539453</v>
      </c>
    </row>
    <row r="2500" spans="1:11" x14ac:dyDescent="0.2">
      <c r="A2500" s="1">
        <v>45287</v>
      </c>
      <c r="B2500">
        <v>366.25106811523398</v>
      </c>
      <c r="C2500">
        <v>374.07000732421801</v>
      </c>
      <c r="D2500">
        <v>375.05999755859301</v>
      </c>
      <c r="E2500">
        <v>372.80999755859301</v>
      </c>
      <c r="F2500">
        <v>373.69000244140602</v>
      </c>
      <c r="G2500" s="2">
        <v>14905400</v>
      </c>
      <c r="H2500" s="3">
        <f t="shared" si="39"/>
        <v>-1.574760046467949E-3</v>
      </c>
      <c r="J2500" s="3">
        <v>1.1095413374407892E-2</v>
      </c>
      <c r="K2500" s="3">
        <v>0.78560201194592894</v>
      </c>
    </row>
    <row r="2501" spans="1:11" x14ac:dyDescent="0.2">
      <c r="A2501" s="1">
        <v>45288</v>
      </c>
      <c r="B2501">
        <v>367.43572998046801</v>
      </c>
      <c r="C2501">
        <v>375.27999877929602</v>
      </c>
      <c r="D2501">
        <v>376.45999145507801</v>
      </c>
      <c r="E2501">
        <v>374.16000366210898</v>
      </c>
      <c r="F2501">
        <v>375.36999511718699</v>
      </c>
      <c r="G2501" s="2">
        <v>14327000</v>
      </c>
      <c r="H2501" s="3">
        <f t="shared" si="39"/>
        <v>3.2345622125566909E-3</v>
      </c>
      <c r="J2501" s="3">
        <v>1.1122636059545776E-2</v>
      </c>
      <c r="K2501" s="3">
        <v>0.78591637849732787</v>
      </c>
    </row>
    <row r="2502" spans="1:11" x14ac:dyDescent="0.2">
      <c r="A2502" s="1">
        <v>45289</v>
      </c>
      <c r="B2502">
        <v>368.17987060546801</v>
      </c>
      <c r="C2502">
        <v>376.04000854492102</v>
      </c>
      <c r="D2502">
        <v>377.16000366210898</v>
      </c>
      <c r="E2502">
        <v>373.48001098632801</v>
      </c>
      <c r="F2502">
        <v>376</v>
      </c>
      <c r="G2502" s="2">
        <v>18730800</v>
      </c>
      <c r="H2502" s="3">
        <f t="shared" si="39"/>
        <v>2.0252266295375243E-3</v>
      </c>
      <c r="J2502" s="3">
        <v>1.112380847323835E-2</v>
      </c>
      <c r="K2502" s="3">
        <v>0.78623074504872681</v>
      </c>
    </row>
    <row r="2503" spans="1:11" x14ac:dyDescent="0.2">
      <c r="A2503" s="1">
        <v>45293</v>
      </c>
      <c r="B2503">
        <v>363.11788940429602</v>
      </c>
      <c r="C2503">
        <v>370.86999511718699</v>
      </c>
      <c r="D2503">
        <v>375.89999389648398</v>
      </c>
      <c r="E2503">
        <v>366.76998901367102</v>
      </c>
      <c r="F2503">
        <v>373.85998535156199</v>
      </c>
      <c r="G2503" s="2">
        <v>25258600</v>
      </c>
      <c r="H2503" s="3">
        <f t="shared" si="39"/>
        <v>-1.3748663643255665E-2</v>
      </c>
      <c r="J2503" s="3">
        <v>1.1139033470362936E-2</v>
      </c>
      <c r="K2503" s="3">
        <v>0.78654511160012575</v>
      </c>
    </row>
    <row r="2504" spans="1:11" x14ac:dyDescent="0.2">
      <c r="A2504" s="1">
        <v>45294</v>
      </c>
      <c r="B2504">
        <v>362.85357666015602</v>
      </c>
      <c r="C2504">
        <v>370.600006103515</v>
      </c>
      <c r="D2504">
        <v>373.260009765625</v>
      </c>
      <c r="E2504">
        <v>368.510009765625</v>
      </c>
      <c r="F2504">
        <v>369.010009765625</v>
      </c>
      <c r="G2504" s="2">
        <v>23083500</v>
      </c>
      <c r="H2504" s="3">
        <f t="shared" si="39"/>
        <v>-7.2789788620331031E-4</v>
      </c>
      <c r="J2504" s="3">
        <v>1.114690194509671E-2</v>
      </c>
      <c r="K2504" s="3">
        <v>0.78685947815152468</v>
      </c>
    </row>
    <row r="2505" spans="1:11" x14ac:dyDescent="0.2">
      <c r="A2505" s="1">
        <v>45295</v>
      </c>
      <c r="B2505">
        <v>360.24920654296801</v>
      </c>
      <c r="C2505">
        <v>367.94000244140602</v>
      </c>
      <c r="D2505">
        <v>373.100006103515</v>
      </c>
      <c r="E2505">
        <v>367.17001342773398</v>
      </c>
      <c r="F2505">
        <v>370.67001342773398</v>
      </c>
      <c r="G2505" s="2">
        <v>20901500</v>
      </c>
      <c r="H2505" s="3">
        <f t="shared" si="39"/>
        <v>-7.1774685016464668E-3</v>
      </c>
      <c r="J2505" s="3">
        <v>1.1153224352010715E-2</v>
      </c>
      <c r="K2505" s="3">
        <v>0.78717384470292362</v>
      </c>
    </row>
    <row r="2506" spans="1:11" x14ac:dyDescent="0.2">
      <c r="A2506" s="1">
        <v>45296</v>
      </c>
      <c r="B2506">
        <v>360.06314086914</v>
      </c>
      <c r="C2506">
        <v>367.75</v>
      </c>
      <c r="D2506">
        <v>372.05999755859301</v>
      </c>
      <c r="E2506">
        <v>366.5</v>
      </c>
      <c r="F2506">
        <v>368.97000122070301</v>
      </c>
      <c r="G2506" s="2">
        <v>21004600</v>
      </c>
      <c r="H2506" s="3">
        <f t="shared" si="39"/>
        <v>-5.164915576457707E-4</v>
      </c>
      <c r="J2506" s="3">
        <v>1.1154276635698457E-2</v>
      </c>
      <c r="K2506" s="3">
        <v>0.78748821125432256</v>
      </c>
    </row>
    <row r="2507" spans="1:11" x14ac:dyDescent="0.2">
      <c r="A2507" s="1">
        <v>45299</v>
      </c>
      <c r="B2507">
        <v>366.85809326171801</v>
      </c>
      <c r="C2507">
        <v>374.69000244140602</v>
      </c>
      <c r="D2507">
        <v>375.20001220703102</v>
      </c>
      <c r="E2507">
        <v>369.010009765625</v>
      </c>
      <c r="F2507">
        <v>369.29998779296801</v>
      </c>
      <c r="G2507" s="2">
        <v>23134000</v>
      </c>
      <c r="H2507" s="3">
        <f t="shared" si="39"/>
        <v>1.8871557850037135E-2</v>
      </c>
      <c r="J2507" s="3">
        <v>1.1168258776395712E-2</v>
      </c>
      <c r="K2507" s="3">
        <v>0.78780257780572149</v>
      </c>
    </row>
    <row r="2508" spans="1:11" x14ac:dyDescent="0.2">
      <c r="A2508" s="1">
        <v>45300</v>
      </c>
      <c r="B2508">
        <v>367.93502807617102</v>
      </c>
      <c r="C2508">
        <v>375.79000854492102</v>
      </c>
      <c r="D2508">
        <v>375.989990234375</v>
      </c>
      <c r="E2508">
        <v>371.19000244140602</v>
      </c>
      <c r="F2508">
        <v>372.010009765625</v>
      </c>
      <c r="G2508" s="2">
        <v>20830000</v>
      </c>
      <c r="H2508" s="3">
        <f t="shared" si="39"/>
        <v>2.9355623720279667E-3</v>
      </c>
      <c r="J2508" s="3">
        <v>1.1170206971299779E-2</v>
      </c>
      <c r="K2508" s="3">
        <v>0.78811694435712043</v>
      </c>
    </row>
    <row r="2509" spans="1:11" x14ac:dyDescent="0.2">
      <c r="A2509" s="1">
        <v>45301</v>
      </c>
      <c r="B2509">
        <v>374.76916503906199</v>
      </c>
      <c r="C2509">
        <v>382.76998901367102</v>
      </c>
      <c r="D2509">
        <v>384.17001342773398</v>
      </c>
      <c r="E2509">
        <v>376.32000732421801</v>
      </c>
      <c r="F2509">
        <v>376.36999511718699</v>
      </c>
      <c r="G2509" s="2">
        <v>25514200</v>
      </c>
      <c r="H2509" s="3">
        <f t="shared" si="39"/>
        <v>1.8574303725918062E-2</v>
      </c>
      <c r="J2509" s="3">
        <v>1.1174960299349168E-2</v>
      </c>
      <c r="K2509" s="3">
        <v>0.78843131090851937</v>
      </c>
    </row>
    <row r="2510" spans="1:11" x14ac:dyDescent="0.2">
      <c r="A2510" s="1">
        <v>45302</v>
      </c>
      <c r="B2510">
        <v>376.59036254882801</v>
      </c>
      <c r="C2510">
        <v>384.63000488281199</v>
      </c>
      <c r="D2510">
        <v>390.67999267578102</v>
      </c>
      <c r="E2510">
        <v>380.38000488281199</v>
      </c>
      <c r="F2510">
        <v>386</v>
      </c>
      <c r="G2510" s="2">
        <v>27850800</v>
      </c>
      <c r="H2510" s="3">
        <f t="shared" si="39"/>
        <v>4.8595180171138175E-3</v>
      </c>
      <c r="J2510" s="3">
        <v>1.1187711382997012E-2</v>
      </c>
      <c r="K2510" s="3">
        <v>0.7887456774599183</v>
      </c>
    </row>
    <row r="2511" spans="1:11" x14ac:dyDescent="0.2">
      <c r="A2511" s="1">
        <v>45303</v>
      </c>
      <c r="B2511">
        <v>380.35006713867102</v>
      </c>
      <c r="C2511">
        <v>388.47000122070301</v>
      </c>
      <c r="D2511">
        <v>388.67999267578102</v>
      </c>
      <c r="E2511">
        <v>384.64999389648398</v>
      </c>
      <c r="F2511">
        <v>385.489990234375</v>
      </c>
      <c r="G2511" s="2">
        <v>21661200</v>
      </c>
      <c r="H2511" s="3">
        <f t="shared" si="39"/>
        <v>9.9835390486275877E-3</v>
      </c>
      <c r="J2511" s="3">
        <v>1.1211889060849467E-2</v>
      </c>
      <c r="K2511" s="3">
        <v>0.78906004401131724</v>
      </c>
    </row>
    <row r="2512" spans="1:11" x14ac:dyDescent="0.2">
      <c r="A2512" s="1">
        <v>45307</v>
      </c>
      <c r="B2512">
        <v>382.11239624023398</v>
      </c>
      <c r="C2512">
        <v>390.26998901367102</v>
      </c>
      <c r="D2512">
        <v>394.02999877929602</v>
      </c>
      <c r="E2512">
        <v>387.61999511718699</v>
      </c>
      <c r="F2512">
        <v>393.66000366210898</v>
      </c>
      <c r="G2512" s="2">
        <v>27202300</v>
      </c>
      <c r="H2512" s="3">
        <f t="shared" si="39"/>
        <v>4.6334397015379558E-3</v>
      </c>
      <c r="J2512" s="3">
        <v>1.1219487068617751E-2</v>
      </c>
      <c r="K2512" s="3">
        <v>0.78937441056271618</v>
      </c>
    </row>
    <row r="2513" spans="1:11" x14ac:dyDescent="0.2">
      <c r="A2513" s="1">
        <v>45308</v>
      </c>
      <c r="B2513">
        <v>381.32916259765602</v>
      </c>
      <c r="C2513">
        <v>389.47000122070301</v>
      </c>
      <c r="D2513">
        <v>390.10998535156199</v>
      </c>
      <c r="E2513">
        <v>384.80999755859301</v>
      </c>
      <c r="F2513">
        <v>387.98001098632801</v>
      </c>
      <c r="G2513" s="2">
        <v>22234100</v>
      </c>
      <c r="H2513" s="3">
        <f t="shared" si="39"/>
        <v>-2.0497467506538358E-3</v>
      </c>
      <c r="J2513" s="3">
        <v>1.122739437625353E-2</v>
      </c>
      <c r="K2513" s="3">
        <v>0.789688777114115</v>
      </c>
    </row>
    <row r="2514" spans="1:11" x14ac:dyDescent="0.2">
      <c r="A2514" s="1">
        <v>45309</v>
      </c>
      <c r="B2514">
        <v>385.63717651367102</v>
      </c>
      <c r="C2514">
        <v>393.86999511718699</v>
      </c>
      <c r="D2514">
        <v>393.989990234375</v>
      </c>
      <c r="E2514">
        <v>390.11999511718699</v>
      </c>
      <c r="F2514">
        <v>391.72000122070301</v>
      </c>
      <c r="G2514" s="2">
        <v>23392100</v>
      </c>
      <c r="H2514" s="3">
        <f t="shared" si="39"/>
        <v>1.1297362852262127E-2</v>
      </c>
      <c r="J2514" s="3">
        <v>1.1241672700625038E-2</v>
      </c>
      <c r="K2514" s="3">
        <v>0.79000314366551394</v>
      </c>
    </row>
    <row r="2515" spans="1:11" x14ac:dyDescent="0.2">
      <c r="A2515" s="1">
        <v>45310</v>
      </c>
      <c r="B2515">
        <v>390.33688354492102</v>
      </c>
      <c r="C2515">
        <v>398.67001342773398</v>
      </c>
      <c r="D2515">
        <v>398.67001342773398</v>
      </c>
      <c r="E2515">
        <v>393.5</v>
      </c>
      <c r="F2515">
        <v>395.760009765625</v>
      </c>
      <c r="G2515" s="2">
        <v>29331100</v>
      </c>
      <c r="H2515" s="3">
        <f t="shared" si="39"/>
        <v>1.2186861945566063E-2</v>
      </c>
      <c r="J2515" s="3">
        <v>1.124574952028623E-2</v>
      </c>
      <c r="K2515" s="3">
        <v>0.79031751021691288</v>
      </c>
    </row>
    <row r="2516" spans="1:11" x14ac:dyDescent="0.2">
      <c r="A2516" s="1">
        <v>45313</v>
      </c>
      <c r="B2516">
        <v>388.22201538085898</v>
      </c>
      <c r="C2516">
        <v>396.510009765625</v>
      </c>
      <c r="D2516">
        <v>400.61999511718699</v>
      </c>
      <c r="E2516">
        <v>393.58999633789</v>
      </c>
      <c r="F2516">
        <v>400.01998901367102</v>
      </c>
      <c r="G2516" s="2">
        <v>27016900</v>
      </c>
      <c r="H2516" s="3">
        <f t="shared" si="39"/>
        <v>-5.4180587416066128E-3</v>
      </c>
      <c r="J2516" s="3">
        <v>1.1250238360982046E-2</v>
      </c>
      <c r="K2516" s="3">
        <v>0.79063187676831181</v>
      </c>
    </row>
    <row r="2517" spans="1:11" x14ac:dyDescent="0.2">
      <c r="A2517" s="1">
        <v>45314</v>
      </c>
      <c r="B2517">
        <v>390.56201171875</v>
      </c>
      <c r="C2517">
        <v>398.89999389648398</v>
      </c>
      <c r="D2517">
        <v>399.38000488281199</v>
      </c>
      <c r="E2517">
        <v>393.92999267578102</v>
      </c>
      <c r="F2517">
        <v>395.75</v>
      </c>
      <c r="G2517" s="2">
        <v>20525900</v>
      </c>
      <c r="H2517" s="3">
        <f t="shared" si="39"/>
        <v>6.0274694509414584E-3</v>
      </c>
      <c r="J2517" s="3">
        <v>1.1286878106291143E-2</v>
      </c>
      <c r="K2517" s="3">
        <v>0.79094624331971075</v>
      </c>
    </row>
    <row r="2518" spans="1:11" x14ac:dyDescent="0.2">
      <c r="A2518" s="1">
        <v>45315</v>
      </c>
      <c r="B2518">
        <v>394.14556884765602</v>
      </c>
      <c r="C2518">
        <v>402.55999755859301</v>
      </c>
      <c r="D2518">
        <v>405.63000488281199</v>
      </c>
      <c r="E2518">
        <v>400.45001220703102</v>
      </c>
      <c r="F2518">
        <v>401.54000854492102</v>
      </c>
      <c r="G2518" s="2">
        <v>24867000</v>
      </c>
      <c r="H2518" s="3">
        <f t="shared" si="39"/>
        <v>9.1753857809566686E-3</v>
      </c>
      <c r="J2518" s="3">
        <v>1.1297362852262127E-2</v>
      </c>
      <c r="K2518" s="3">
        <v>0.79126060987110969</v>
      </c>
    </row>
    <row r="2519" spans="1:11" x14ac:dyDescent="0.2">
      <c r="A2519" s="1">
        <v>45316</v>
      </c>
      <c r="B2519">
        <v>396.40725708007801</v>
      </c>
      <c r="C2519">
        <v>404.86999511718699</v>
      </c>
      <c r="D2519">
        <v>407.010009765625</v>
      </c>
      <c r="E2519">
        <v>402.52999877929602</v>
      </c>
      <c r="F2519">
        <v>404.32000732421801</v>
      </c>
      <c r="G2519" s="2">
        <v>21021200</v>
      </c>
      <c r="H2519" s="3">
        <f t="shared" si="39"/>
        <v>5.7382054022181439E-3</v>
      </c>
      <c r="J2519" s="3">
        <v>1.1362144533299423E-2</v>
      </c>
      <c r="K2519" s="3">
        <v>0.79157497642250862</v>
      </c>
    </row>
    <row r="2520" spans="1:11" x14ac:dyDescent="0.2">
      <c r="A2520" s="1">
        <v>45317</v>
      </c>
      <c r="B2520">
        <v>395.48690795898398</v>
      </c>
      <c r="C2520">
        <v>403.92999267578102</v>
      </c>
      <c r="D2520">
        <v>406.17001342773398</v>
      </c>
      <c r="E2520">
        <v>402.42999267578102</v>
      </c>
      <c r="F2520">
        <v>404.36999511718699</v>
      </c>
      <c r="G2520" s="2">
        <v>17803300</v>
      </c>
      <c r="H2520" s="3">
        <f t="shared" si="39"/>
        <v>-2.3217262162991137E-3</v>
      </c>
      <c r="J2520" s="3">
        <v>1.1367127309884983E-2</v>
      </c>
      <c r="K2520" s="3">
        <v>0.79188934297390756</v>
      </c>
    </row>
    <row r="2521" spans="1:11" x14ac:dyDescent="0.2">
      <c r="A2521" s="1">
        <v>45320</v>
      </c>
      <c r="B2521">
        <v>401.15588378906199</v>
      </c>
      <c r="C2521">
        <v>409.72000122070301</v>
      </c>
      <c r="D2521">
        <v>409.98001098632801</v>
      </c>
      <c r="E2521">
        <v>404.329986572265</v>
      </c>
      <c r="F2521">
        <v>406.05999755859301</v>
      </c>
      <c r="G2521" s="2">
        <v>24510200</v>
      </c>
      <c r="H2521" s="3">
        <f t="shared" si="39"/>
        <v>1.4334168125398339E-2</v>
      </c>
      <c r="J2521" s="3">
        <v>1.1376516138654758E-2</v>
      </c>
      <c r="K2521" s="3">
        <v>0.7922037095253065</v>
      </c>
    </row>
    <row r="2522" spans="1:11" x14ac:dyDescent="0.2">
      <c r="A2522" s="1">
        <v>45321</v>
      </c>
      <c r="B2522">
        <v>400.04943847656199</v>
      </c>
      <c r="C2522">
        <v>408.58999633789</v>
      </c>
      <c r="D2522">
        <v>413.04998779296801</v>
      </c>
      <c r="E2522">
        <v>406.45001220703102</v>
      </c>
      <c r="F2522">
        <v>412.260009765625</v>
      </c>
      <c r="G2522" s="2">
        <v>33477600</v>
      </c>
      <c r="H2522" s="3">
        <f t="shared" si="39"/>
        <v>-2.7581430491538939E-3</v>
      </c>
      <c r="J2522" s="3">
        <v>1.1395697852622844E-2</v>
      </c>
      <c r="K2522" s="3">
        <v>0.79251807607670544</v>
      </c>
    </row>
    <row r="2523" spans="1:11" x14ac:dyDescent="0.2">
      <c r="A2523" s="1">
        <v>45322</v>
      </c>
      <c r="B2523">
        <v>389.26962280273398</v>
      </c>
      <c r="C2523">
        <v>397.579986572265</v>
      </c>
      <c r="D2523">
        <v>415.32000732421801</v>
      </c>
      <c r="E2523">
        <v>397.20999145507801</v>
      </c>
      <c r="F2523">
        <v>406.95999145507801</v>
      </c>
      <c r="G2523" s="2">
        <v>47871100</v>
      </c>
      <c r="H2523" s="3">
        <f t="shared" si="39"/>
        <v>-2.694620873579745E-2</v>
      </c>
      <c r="J2523" s="3">
        <v>1.1398079190221289E-2</v>
      </c>
      <c r="K2523" s="3">
        <v>0.79283244262810437</v>
      </c>
    </row>
    <row r="2524" spans="1:11" x14ac:dyDescent="0.2">
      <c r="A2524" s="1">
        <v>45323</v>
      </c>
      <c r="B2524">
        <v>395.34005737304602</v>
      </c>
      <c r="C2524">
        <v>403.77999877929602</v>
      </c>
      <c r="D2524">
        <v>408</v>
      </c>
      <c r="E2524">
        <v>401.79998779296801</v>
      </c>
      <c r="F2524">
        <v>401.829986572265</v>
      </c>
      <c r="G2524" s="2">
        <v>30657700</v>
      </c>
      <c r="H2524" s="3">
        <f t="shared" si="39"/>
        <v>1.5594421487618249E-2</v>
      </c>
      <c r="J2524" s="3">
        <v>1.1415658466129575E-2</v>
      </c>
      <c r="K2524" s="3">
        <v>0.79314680917950331</v>
      </c>
    </row>
    <row r="2525" spans="1:11" x14ac:dyDescent="0.2">
      <c r="A2525" s="1">
        <v>45324</v>
      </c>
      <c r="B2525">
        <v>402.62457275390602</v>
      </c>
      <c r="C2525">
        <v>411.22000122070301</v>
      </c>
      <c r="D2525">
        <v>412.64999389648398</v>
      </c>
      <c r="E2525">
        <v>403.55999755859301</v>
      </c>
      <c r="F2525">
        <v>403.80999755859301</v>
      </c>
      <c r="G2525" s="2">
        <v>28256700</v>
      </c>
      <c r="H2525" s="3">
        <f t="shared" si="39"/>
        <v>1.8425948104687784E-2</v>
      </c>
      <c r="J2525" s="3">
        <v>1.1426068414340351E-2</v>
      </c>
      <c r="K2525" s="3">
        <v>0.79346117573090225</v>
      </c>
    </row>
    <row r="2526" spans="1:11" x14ac:dyDescent="0.2">
      <c r="A2526" s="1">
        <v>45327</v>
      </c>
      <c r="B2526">
        <v>397.17095947265602</v>
      </c>
      <c r="C2526">
        <v>405.64999389648398</v>
      </c>
      <c r="D2526">
        <v>411.16000366210898</v>
      </c>
      <c r="E2526">
        <v>403.989990234375</v>
      </c>
      <c r="F2526">
        <v>409.89999389648398</v>
      </c>
      <c r="G2526" s="2">
        <v>25352300</v>
      </c>
      <c r="H2526" s="3">
        <f t="shared" si="39"/>
        <v>-1.3545157574332611E-2</v>
      </c>
      <c r="J2526" s="3">
        <v>1.1464390618545206E-2</v>
      </c>
      <c r="K2526" s="3">
        <v>0.79377554228230118</v>
      </c>
    </row>
    <row r="2527" spans="1:11" x14ac:dyDescent="0.2">
      <c r="A2527" s="1">
        <v>45328</v>
      </c>
      <c r="B2527">
        <v>397.01431274414</v>
      </c>
      <c r="C2527">
        <v>405.489990234375</v>
      </c>
      <c r="D2527">
        <v>407.97000122070301</v>
      </c>
      <c r="E2527">
        <v>402.91000366210898</v>
      </c>
      <c r="F2527">
        <v>405.88000488281199</v>
      </c>
      <c r="G2527" s="2">
        <v>18382600</v>
      </c>
      <c r="H2527" s="3">
        <f t="shared" si="39"/>
        <v>-3.9440629980602715E-4</v>
      </c>
      <c r="J2527" s="3">
        <v>1.1519226425036555E-2</v>
      </c>
      <c r="K2527" s="3">
        <v>0.79408990883370012</v>
      </c>
    </row>
    <row r="2528" spans="1:11" x14ac:dyDescent="0.2">
      <c r="A2528" s="1">
        <v>45329</v>
      </c>
      <c r="B2528">
        <v>405.39538574218699</v>
      </c>
      <c r="C2528">
        <v>414.04998779296801</v>
      </c>
      <c r="D2528">
        <v>414.29998779296801</v>
      </c>
      <c r="E2528">
        <v>407.39999389648398</v>
      </c>
      <c r="F2528">
        <v>407.44000244140602</v>
      </c>
      <c r="G2528" s="2">
        <v>22340500</v>
      </c>
      <c r="H2528" s="3">
        <f t="shared" si="39"/>
        <v>2.1110254036227349E-2</v>
      </c>
      <c r="J2528" s="3">
        <v>1.1552279781469554E-2</v>
      </c>
      <c r="K2528" s="3">
        <v>0.79440427538509906</v>
      </c>
    </row>
    <row r="2529" spans="1:11" x14ac:dyDescent="0.2">
      <c r="A2529" s="1">
        <v>45330</v>
      </c>
      <c r="B2529">
        <v>405.45413208007801</v>
      </c>
      <c r="C2529">
        <v>414.10998535156199</v>
      </c>
      <c r="D2529">
        <v>415.55999755859301</v>
      </c>
      <c r="E2529">
        <v>412.52999877929602</v>
      </c>
      <c r="F2529">
        <v>414.04998779296801</v>
      </c>
      <c r="G2529" s="2">
        <v>21225300</v>
      </c>
      <c r="H2529" s="3">
        <f t="shared" si="39"/>
        <v>1.44911214969623E-4</v>
      </c>
      <c r="J2529" s="3">
        <v>1.1567310750682402E-2</v>
      </c>
      <c r="K2529" s="3">
        <v>0.79471864193649799</v>
      </c>
    </row>
    <row r="2530" spans="1:11" x14ac:dyDescent="0.2">
      <c r="A2530" s="1">
        <v>45331</v>
      </c>
      <c r="B2530">
        <v>411.75946044921801</v>
      </c>
      <c r="C2530">
        <v>420.54998779296801</v>
      </c>
      <c r="D2530">
        <v>420.82000732421801</v>
      </c>
      <c r="E2530">
        <v>415.08999633789</v>
      </c>
      <c r="F2530">
        <v>415.25</v>
      </c>
      <c r="G2530" s="2">
        <v>22032800</v>
      </c>
      <c r="H2530" s="3">
        <f t="shared" si="39"/>
        <v>1.5551274164582241E-2</v>
      </c>
      <c r="J2530" s="3">
        <v>1.1587228416328754E-2</v>
      </c>
      <c r="K2530" s="3">
        <v>0.79503300848789693</v>
      </c>
    </row>
    <row r="2531" spans="1:11" x14ac:dyDescent="0.2">
      <c r="A2531" s="1">
        <v>45334</v>
      </c>
      <c r="B2531">
        <v>406.58010864257801</v>
      </c>
      <c r="C2531">
        <v>415.260009765625</v>
      </c>
      <c r="D2531">
        <v>420.739990234375</v>
      </c>
      <c r="E2531">
        <v>414.75</v>
      </c>
      <c r="F2531">
        <v>420.55999755859301</v>
      </c>
      <c r="G2531" s="2">
        <v>21202900</v>
      </c>
      <c r="H2531" s="3">
        <f t="shared" si="39"/>
        <v>-1.2578586053589302E-2</v>
      </c>
      <c r="J2531" s="3">
        <v>1.1621495745916421E-2</v>
      </c>
      <c r="K2531" s="3">
        <v>0.79534737503929587</v>
      </c>
    </row>
    <row r="2532" spans="1:11" x14ac:dyDescent="0.2">
      <c r="A2532" s="1">
        <v>45335</v>
      </c>
      <c r="B2532">
        <v>397.82696533203102</v>
      </c>
      <c r="C2532">
        <v>406.32000732421801</v>
      </c>
      <c r="D2532">
        <v>410.07000732421801</v>
      </c>
      <c r="E2532">
        <v>403.39001464843699</v>
      </c>
      <c r="F2532">
        <v>404.94000244140602</v>
      </c>
      <c r="G2532" s="2">
        <v>27824900</v>
      </c>
      <c r="H2532" s="3">
        <f t="shared" si="39"/>
        <v>-2.1528705228031297E-2</v>
      </c>
      <c r="J2532" s="3">
        <v>1.1687923699532199E-2</v>
      </c>
      <c r="K2532" s="3">
        <v>0.7956617415906948</v>
      </c>
    </row>
    <row r="2533" spans="1:11" x14ac:dyDescent="0.2">
      <c r="A2533" s="1">
        <v>45336</v>
      </c>
      <c r="B2533">
        <v>401.67205810546801</v>
      </c>
      <c r="C2533">
        <v>409.489990234375</v>
      </c>
      <c r="D2533">
        <v>409.83999633789</v>
      </c>
      <c r="E2533">
        <v>404.57000732421801</v>
      </c>
      <c r="F2533">
        <v>408.07000732421801</v>
      </c>
      <c r="G2533" s="2">
        <v>20401200</v>
      </c>
      <c r="H2533" s="3">
        <f t="shared" si="39"/>
        <v>9.6652391831404394E-3</v>
      </c>
      <c r="J2533" s="3">
        <v>1.1694674475305256E-2</v>
      </c>
      <c r="K2533" s="3">
        <v>0.79597610814209363</v>
      </c>
    </row>
    <row r="2534" spans="1:11" x14ac:dyDescent="0.2">
      <c r="A2534" s="1">
        <v>45337</v>
      </c>
      <c r="B2534">
        <v>398.798095703125</v>
      </c>
      <c r="C2534">
        <v>406.55999755859301</v>
      </c>
      <c r="D2534">
        <v>409.13000488281199</v>
      </c>
      <c r="E2534">
        <v>404.29000854492102</v>
      </c>
      <c r="F2534">
        <v>408.14001464843699</v>
      </c>
      <c r="G2534" s="2">
        <v>21825500</v>
      </c>
      <c r="H2534" s="3">
        <f t="shared" si="39"/>
        <v>-7.1549970787073702E-3</v>
      </c>
      <c r="J2534" s="3">
        <v>1.1710201022899991E-2</v>
      </c>
      <c r="K2534" s="3">
        <v>0.79629047469349257</v>
      </c>
    </row>
    <row r="2535" spans="1:11" x14ac:dyDescent="0.2">
      <c r="A2535" s="1">
        <v>45338</v>
      </c>
      <c r="B2535">
        <v>396.34576416015602</v>
      </c>
      <c r="C2535">
        <v>404.05999755859301</v>
      </c>
      <c r="D2535">
        <v>408.29000854492102</v>
      </c>
      <c r="E2535">
        <v>403.44000244140602</v>
      </c>
      <c r="F2535">
        <v>407.95999145507801</v>
      </c>
      <c r="G2535" s="2">
        <v>22296500</v>
      </c>
      <c r="H2535" s="3">
        <f t="shared" si="39"/>
        <v>-6.1493060508357456E-3</v>
      </c>
      <c r="J2535" s="3">
        <v>1.1711300610353303E-2</v>
      </c>
      <c r="K2535" s="3">
        <v>0.7966048412448915</v>
      </c>
    </row>
    <row r="2536" spans="1:11" x14ac:dyDescent="0.2">
      <c r="A2536" s="1">
        <v>45342</v>
      </c>
      <c r="B2536">
        <v>395.10003662109301</v>
      </c>
      <c r="C2536">
        <v>402.79000854492102</v>
      </c>
      <c r="D2536">
        <v>404.489990234375</v>
      </c>
      <c r="E2536">
        <v>398.010009765625</v>
      </c>
      <c r="F2536">
        <v>403.239990234375</v>
      </c>
      <c r="G2536" s="2">
        <v>24307900</v>
      </c>
      <c r="H2536" s="3">
        <f t="shared" si="39"/>
        <v>-3.1430323008564409E-3</v>
      </c>
      <c r="J2536" s="3">
        <v>1.1745888707177077E-2</v>
      </c>
      <c r="K2536" s="3">
        <v>0.79691920779629044</v>
      </c>
    </row>
    <row r="2537" spans="1:11" x14ac:dyDescent="0.2">
      <c r="A2537" s="1">
        <v>45343</v>
      </c>
      <c r="B2537">
        <v>394.50167846679602</v>
      </c>
      <c r="C2537">
        <v>402.17999267578102</v>
      </c>
      <c r="D2537">
        <v>402.29000854492102</v>
      </c>
      <c r="E2537">
        <v>397.22000122070301</v>
      </c>
      <c r="F2537">
        <v>400.17001342773398</v>
      </c>
      <c r="G2537" s="2">
        <v>18518900</v>
      </c>
      <c r="H2537" s="3">
        <f t="shared" si="39"/>
        <v>-1.5144472256043429E-3</v>
      </c>
      <c r="J2537" s="3">
        <v>1.1748121162392877E-2</v>
      </c>
      <c r="K2537" s="3">
        <v>0.79723357434768938</v>
      </c>
    </row>
    <row r="2538" spans="1:11" x14ac:dyDescent="0.2">
      <c r="A2538" s="1">
        <v>45344</v>
      </c>
      <c r="B2538">
        <v>403.79089355468699</v>
      </c>
      <c r="C2538">
        <v>411.64999389648398</v>
      </c>
      <c r="D2538">
        <v>412.829986572265</v>
      </c>
      <c r="E2538">
        <v>408.57000732421801</v>
      </c>
      <c r="F2538">
        <v>410.19000244140602</v>
      </c>
      <c r="G2538" s="2">
        <v>27009900</v>
      </c>
      <c r="H2538" s="3">
        <f t="shared" si="39"/>
        <v>2.354670612300791E-2</v>
      </c>
      <c r="J2538" s="3">
        <v>1.1754365300484571E-2</v>
      </c>
      <c r="K2538" s="3">
        <v>0.79754794089908831</v>
      </c>
    </row>
    <row r="2539" spans="1:11" x14ac:dyDescent="0.2">
      <c r="A2539" s="1">
        <v>45345</v>
      </c>
      <c r="B2539">
        <v>402.505859375</v>
      </c>
      <c r="C2539">
        <v>410.33999633789</v>
      </c>
      <c r="D2539">
        <v>415.85998535156199</v>
      </c>
      <c r="E2539">
        <v>408.97000122070301</v>
      </c>
      <c r="F2539">
        <v>415.67001342773398</v>
      </c>
      <c r="G2539" s="2">
        <v>16295900</v>
      </c>
      <c r="H2539" s="3">
        <f t="shared" si="39"/>
        <v>-3.1824248644501951E-3</v>
      </c>
      <c r="J2539" s="3">
        <v>1.178254028064929E-2</v>
      </c>
      <c r="K2539" s="3">
        <v>0.79786230745048725</v>
      </c>
    </row>
    <row r="2540" spans="1:11" x14ac:dyDescent="0.2">
      <c r="A2540" s="1">
        <v>45348</v>
      </c>
      <c r="B2540">
        <v>399.75933837890602</v>
      </c>
      <c r="C2540">
        <v>407.54000854492102</v>
      </c>
      <c r="D2540">
        <v>412.16000366210898</v>
      </c>
      <c r="E2540">
        <v>407.35998535156199</v>
      </c>
      <c r="F2540">
        <v>411.45999145507801</v>
      </c>
      <c r="G2540" s="2">
        <v>16193500</v>
      </c>
      <c r="H2540" s="3">
        <f t="shared" si="39"/>
        <v>-6.8235553150920447E-3</v>
      </c>
      <c r="J2540" s="3">
        <v>1.1784448343812315E-2</v>
      </c>
      <c r="K2540" s="3">
        <v>0.79817667400188619</v>
      </c>
    </row>
    <row r="2541" spans="1:11" x14ac:dyDescent="0.2">
      <c r="A2541" s="1">
        <v>45349</v>
      </c>
      <c r="B2541">
        <v>399.700439453125</v>
      </c>
      <c r="C2541">
        <v>407.48001098632801</v>
      </c>
      <c r="D2541">
        <v>408.32000732421801</v>
      </c>
      <c r="E2541">
        <v>403.850006103515</v>
      </c>
      <c r="F2541">
        <v>407.989990234375</v>
      </c>
      <c r="G2541" s="2">
        <v>14835800</v>
      </c>
      <c r="H2541" s="3">
        <f t="shared" si="39"/>
        <v>-1.4733595972982183E-4</v>
      </c>
      <c r="J2541" s="3">
        <v>1.178550716437754E-2</v>
      </c>
      <c r="K2541" s="3">
        <v>0.79849104055328513</v>
      </c>
    </row>
    <row r="2542" spans="1:11" x14ac:dyDescent="0.2">
      <c r="A2542" s="1">
        <v>45350</v>
      </c>
      <c r="B2542">
        <v>399.93588256835898</v>
      </c>
      <c r="C2542">
        <v>407.72000122070301</v>
      </c>
      <c r="D2542">
        <v>409.29998779296801</v>
      </c>
      <c r="E2542">
        <v>405.32000732421801</v>
      </c>
      <c r="F2542">
        <v>408.17999267578102</v>
      </c>
      <c r="G2542" s="2">
        <v>13183100</v>
      </c>
      <c r="H2542" s="3">
        <f t="shared" si="39"/>
        <v>5.8904892763211869E-4</v>
      </c>
      <c r="J2542" s="3">
        <v>1.1789167840513315E-2</v>
      </c>
      <c r="K2542" s="3">
        <v>0.79880540710468406</v>
      </c>
    </row>
    <row r="2543" spans="1:11" x14ac:dyDescent="0.2">
      <c r="A2543" s="1">
        <v>45351</v>
      </c>
      <c r="B2543">
        <v>405.742919921875</v>
      </c>
      <c r="C2543">
        <v>413.64001464843699</v>
      </c>
      <c r="D2543">
        <v>414.20001220703102</v>
      </c>
      <c r="E2543">
        <v>405.92001342773398</v>
      </c>
      <c r="F2543">
        <v>408.64001464843699</v>
      </c>
      <c r="G2543" s="2">
        <v>31947300</v>
      </c>
      <c r="H2543" s="3">
        <f t="shared" si="39"/>
        <v>1.4519920833868882E-2</v>
      </c>
      <c r="J2543" s="3">
        <v>1.1794187486813046E-2</v>
      </c>
      <c r="K2543" s="3">
        <v>0.799119773656083</v>
      </c>
    </row>
    <row r="2544" spans="1:11" x14ac:dyDescent="0.2">
      <c r="A2544" s="1">
        <v>45352</v>
      </c>
      <c r="B2544">
        <v>407.5673828125</v>
      </c>
      <c r="C2544">
        <v>415.5</v>
      </c>
      <c r="D2544">
        <v>415.86999511718699</v>
      </c>
      <c r="E2544">
        <v>410.88000488281199</v>
      </c>
      <c r="F2544">
        <v>411.26998901367102</v>
      </c>
      <c r="G2544" s="2">
        <v>17823400</v>
      </c>
      <c r="H2544" s="3">
        <f t="shared" si="39"/>
        <v>4.4965982178475361E-3</v>
      </c>
      <c r="J2544" s="3">
        <v>1.1823766716489104E-2</v>
      </c>
      <c r="K2544" s="3">
        <v>0.79943414020748194</v>
      </c>
    </row>
    <row r="2545" spans="1:11" x14ac:dyDescent="0.2">
      <c r="A2545" s="1">
        <v>45355</v>
      </c>
      <c r="B2545">
        <v>406.99847412109301</v>
      </c>
      <c r="C2545">
        <v>414.92001342773398</v>
      </c>
      <c r="D2545">
        <v>417.350006103515</v>
      </c>
      <c r="E2545">
        <v>412.32000732421801</v>
      </c>
      <c r="F2545">
        <v>413.44000244140602</v>
      </c>
      <c r="G2545" s="2">
        <v>17596000</v>
      </c>
      <c r="H2545" s="3">
        <f t="shared" si="39"/>
        <v>-1.3958641328978283E-3</v>
      </c>
      <c r="J2545" s="3">
        <v>1.1885648186560349E-2</v>
      </c>
      <c r="K2545" s="3">
        <v>0.79974850675888087</v>
      </c>
    </row>
    <row r="2546" spans="1:11" x14ac:dyDescent="0.2">
      <c r="A2546" s="1">
        <v>45356</v>
      </c>
      <c r="B2546">
        <v>394.96270751953102</v>
      </c>
      <c r="C2546">
        <v>402.64999389648398</v>
      </c>
      <c r="D2546">
        <v>414.25</v>
      </c>
      <c r="E2546">
        <v>400.64001464843699</v>
      </c>
      <c r="F2546">
        <v>413.95999145507801</v>
      </c>
      <c r="G2546" s="2">
        <v>26919200</v>
      </c>
      <c r="H2546" s="3">
        <f t="shared" si="39"/>
        <v>-2.9572018980054016E-2</v>
      </c>
      <c r="J2546" s="3">
        <v>1.1887851234055891E-2</v>
      </c>
      <c r="K2546" s="3">
        <v>0.80006287331027981</v>
      </c>
    </row>
    <row r="2547" spans="1:11" x14ac:dyDescent="0.2">
      <c r="A2547" s="1">
        <v>45357</v>
      </c>
      <c r="B2547">
        <v>394.41336059570301</v>
      </c>
      <c r="C2547">
        <v>402.08999633789</v>
      </c>
      <c r="D2547">
        <v>405.16000366210898</v>
      </c>
      <c r="E2547">
        <v>398.39001464843699</v>
      </c>
      <c r="F2547">
        <v>402.97000122070301</v>
      </c>
      <c r="G2547" s="2">
        <v>22344100</v>
      </c>
      <c r="H2547" s="3">
        <f t="shared" si="39"/>
        <v>-1.3908830210276335E-3</v>
      </c>
      <c r="J2547" s="3">
        <v>1.1897476782886107E-2</v>
      </c>
      <c r="K2547" s="3">
        <v>0.80037723986167875</v>
      </c>
    </row>
    <row r="2548" spans="1:11" x14ac:dyDescent="0.2">
      <c r="A2548" s="1">
        <v>45358</v>
      </c>
      <c r="B2548">
        <v>401.32879638671801</v>
      </c>
      <c r="C2548">
        <v>409.14001464843699</v>
      </c>
      <c r="D2548">
        <v>409.77999877929602</v>
      </c>
      <c r="E2548">
        <v>402.239990234375</v>
      </c>
      <c r="F2548">
        <v>406.11999511718699</v>
      </c>
      <c r="G2548" s="2">
        <v>18718500</v>
      </c>
      <c r="H2548" s="3">
        <f t="shared" si="39"/>
        <v>1.753347244771386E-2</v>
      </c>
      <c r="J2548" s="3">
        <v>1.1899498886147608E-2</v>
      </c>
      <c r="K2548" s="3">
        <v>0.80069160641307768</v>
      </c>
    </row>
    <row r="2549" spans="1:11" x14ac:dyDescent="0.2">
      <c r="A2549" s="1">
        <v>45359</v>
      </c>
      <c r="B2549">
        <v>398.46453857421801</v>
      </c>
      <c r="C2549">
        <v>406.22000122070301</v>
      </c>
      <c r="D2549">
        <v>410.42001342773398</v>
      </c>
      <c r="E2549">
        <v>404.329986572265</v>
      </c>
      <c r="F2549">
        <v>407.95999145507801</v>
      </c>
      <c r="G2549" s="2">
        <v>18002200</v>
      </c>
      <c r="H2549" s="3">
        <f t="shared" si="39"/>
        <v>-7.1369356953394636E-3</v>
      </c>
      <c r="J2549" s="3">
        <v>1.1901370247630494E-2</v>
      </c>
      <c r="K2549" s="3">
        <v>0.80100597296447662</v>
      </c>
    </row>
    <row r="2550" spans="1:11" x14ac:dyDescent="0.2">
      <c r="A2550" s="1">
        <v>45362</v>
      </c>
      <c r="B2550">
        <v>396.79699707031199</v>
      </c>
      <c r="C2550">
        <v>404.51998901367102</v>
      </c>
      <c r="D2550">
        <v>405.67999267578102</v>
      </c>
      <c r="E2550">
        <v>401.260009765625</v>
      </c>
      <c r="F2550">
        <v>403.760009765625</v>
      </c>
      <c r="G2550" s="2">
        <v>16120800</v>
      </c>
      <c r="H2550" s="3">
        <f t="shared" si="39"/>
        <v>-4.1849182109725547E-3</v>
      </c>
      <c r="J2550" s="3">
        <v>1.1969990913621276E-2</v>
      </c>
      <c r="K2550" s="3">
        <v>0.80132033951587556</v>
      </c>
    </row>
    <row r="2551" spans="1:11" x14ac:dyDescent="0.2">
      <c r="A2551" s="1">
        <v>45363</v>
      </c>
      <c r="B2551">
        <v>407.35153198242102</v>
      </c>
      <c r="C2551">
        <v>415.27999877929602</v>
      </c>
      <c r="D2551">
        <v>415.57000732421801</v>
      </c>
      <c r="E2551">
        <v>406.79000854492102</v>
      </c>
      <c r="F2551">
        <v>407.61999511718699</v>
      </c>
      <c r="G2551" s="2">
        <v>22457000</v>
      </c>
      <c r="H2551" s="3">
        <f t="shared" si="39"/>
        <v>2.6599331623063716E-2</v>
      </c>
      <c r="J2551" s="3">
        <v>1.199511142310139E-2</v>
      </c>
      <c r="K2551" s="3">
        <v>0.80163470606727449</v>
      </c>
    </row>
    <row r="2552" spans="1:11" x14ac:dyDescent="0.2">
      <c r="A2552" s="1">
        <v>45364</v>
      </c>
      <c r="B2552">
        <v>407.17498779296801</v>
      </c>
      <c r="C2552">
        <v>415.100006103515</v>
      </c>
      <c r="D2552">
        <v>418.17999267578102</v>
      </c>
      <c r="E2552">
        <v>411.45001220703102</v>
      </c>
      <c r="F2552">
        <v>418.100006103515</v>
      </c>
      <c r="G2552" s="2">
        <v>17115900</v>
      </c>
      <c r="H2552" s="3">
        <f t="shared" si="39"/>
        <v>-4.3339517736395994E-4</v>
      </c>
      <c r="J2552" s="3">
        <v>1.2009189028963307E-2</v>
      </c>
      <c r="K2552" s="3">
        <v>0.80194907261867332</v>
      </c>
    </row>
    <row r="2553" spans="1:11" x14ac:dyDescent="0.2">
      <c r="A2553" s="1">
        <v>45365</v>
      </c>
      <c r="B2553">
        <v>417.10177612304602</v>
      </c>
      <c r="C2553">
        <v>425.22000122070301</v>
      </c>
      <c r="D2553">
        <v>427.82000732421801</v>
      </c>
      <c r="E2553">
        <v>417.989990234375</v>
      </c>
      <c r="F2553">
        <v>420.239990234375</v>
      </c>
      <c r="G2553" s="2">
        <v>34157300</v>
      </c>
      <c r="H2553" s="3">
        <f t="shared" si="39"/>
        <v>2.4379661392966989E-2</v>
      </c>
      <c r="J2553" s="3">
        <v>1.2023905872881047E-2</v>
      </c>
      <c r="K2553" s="3">
        <v>0.80226343917007226</v>
      </c>
    </row>
    <row r="2554" spans="1:11" x14ac:dyDescent="0.2">
      <c r="A2554" s="1">
        <v>45366</v>
      </c>
      <c r="B2554">
        <v>408.46981811523398</v>
      </c>
      <c r="C2554">
        <v>416.42001342773398</v>
      </c>
      <c r="D2554">
        <v>422.600006103515</v>
      </c>
      <c r="E2554">
        <v>412.79000854492102</v>
      </c>
      <c r="F2554">
        <v>419.29000854492102</v>
      </c>
      <c r="G2554" s="2">
        <v>45079900</v>
      </c>
      <c r="H2554" s="3">
        <f t="shared" si="39"/>
        <v>-2.0695088110259219E-2</v>
      </c>
      <c r="J2554" s="3">
        <v>1.2024821923175777E-2</v>
      </c>
      <c r="K2554" s="3">
        <v>0.80257780572147119</v>
      </c>
    </row>
    <row r="2555" spans="1:11" x14ac:dyDescent="0.2">
      <c r="A2555" s="1">
        <v>45369</v>
      </c>
      <c r="B2555">
        <v>409.35263061523398</v>
      </c>
      <c r="C2555">
        <v>417.32000732421801</v>
      </c>
      <c r="D2555">
        <v>420.73001098632801</v>
      </c>
      <c r="E2555">
        <v>413.77999877929602</v>
      </c>
      <c r="F2555">
        <v>414.25</v>
      </c>
      <c r="G2555" s="2">
        <v>20106000</v>
      </c>
      <c r="H2555" s="3">
        <f t="shared" si="39"/>
        <v>2.1612673956510342E-3</v>
      </c>
      <c r="J2555" s="3">
        <v>1.2042071378301378E-2</v>
      </c>
      <c r="K2555" s="3">
        <v>0.80289217227287013</v>
      </c>
    </row>
    <row r="2556" spans="1:11" x14ac:dyDescent="0.2">
      <c r="A2556" s="1">
        <v>45370</v>
      </c>
      <c r="B2556">
        <v>413.36453247070301</v>
      </c>
      <c r="C2556">
        <v>421.41000366210898</v>
      </c>
      <c r="D2556">
        <v>421.67001342773398</v>
      </c>
      <c r="E2556">
        <v>415.54998779296801</v>
      </c>
      <c r="F2556">
        <v>417.829986572265</v>
      </c>
      <c r="G2556" s="2">
        <v>19837900</v>
      </c>
      <c r="H2556" s="3">
        <f t="shared" si="39"/>
        <v>9.8006011331583931E-3</v>
      </c>
      <c r="J2556" s="3">
        <v>1.2042432983932372E-2</v>
      </c>
      <c r="K2556" s="3">
        <v>0.80320653882426907</v>
      </c>
    </row>
    <row r="2557" spans="1:11" x14ac:dyDescent="0.2">
      <c r="A2557" s="1">
        <v>45371</v>
      </c>
      <c r="B2557">
        <v>417.11166381835898</v>
      </c>
      <c r="C2557">
        <v>425.23001098632801</v>
      </c>
      <c r="D2557">
        <v>425.95999145507801</v>
      </c>
      <c r="E2557">
        <v>420.66000366210898</v>
      </c>
      <c r="F2557">
        <v>422</v>
      </c>
      <c r="G2557" s="2">
        <v>17860100</v>
      </c>
      <c r="H2557" s="3">
        <f t="shared" si="39"/>
        <v>9.0649561181728178E-3</v>
      </c>
      <c r="J2557" s="3">
        <v>1.2073639219654764E-2</v>
      </c>
      <c r="K2557" s="3">
        <v>0.803520905375668</v>
      </c>
    </row>
    <row r="2558" spans="1:11" x14ac:dyDescent="0.2">
      <c r="A2558" s="1">
        <v>45372</v>
      </c>
      <c r="B2558">
        <v>421.17251586914</v>
      </c>
      <c r="C2558">
        <v>429.36999511718699</v>
      </c>
      <c r="D2558">
        <v>430.82000732421801</v>
      </c>
      <c r="E2558">
        <v>427.16000366210898</v>
      </c>
      <c r="F2558">
        <v>429.829986572265</v>
      </c>
      <c r="G2558" s="2">
        <v>21296200</v>
      </c>
      <c r="H2558" s="3">
        <f t="shared" si="39"/>
        <v>9.7356473170919777E-3</v>
      </c>
      <c r="J2558" s="3">
        <v>1.210547184296229E-2</v>
      </c>
      <c r="K2558" s="3">
        <v>0.80383527192706694</v>
      </c>
    </row>
    <row r="2559" spans="1:11" x14ac:dyDescent="0.2">
      <c r="A2559" s="1">
        <v>45373</v>
      </c>
      <c r="B2559">
        <v>420.55456542968699</v>
      </c>
      <c r="C2559">
        <v>428.739990234375</v>
      </c>
      <c r="D2559">
        <v>429.85998535156199</v>
      </c>
      <c r="E2559">
        <v>426.07000732421801</v>
      </c>
      <c r="F2559">
        <v>429.70001220703102</v>
      </c>
      <c r="G2559" s="2">
        <v>17648500</v>
      </c>
      <c r="H2559" s="3">
        <f t="shared" si="39"/>
        <v>-1.4672145407631509E-3</v>
      </c>
      <c r="J2559" s="3">
        <v>1.2137495227320105E-2</v>
      </c>
      <c r="K2559" s="3">
        <v>0.80414963847846588</v>
      </c>
    </row>
    <row r="2560" spans="1:11" x14ac:dyDescent="0.2">
      <c r="A2560" s="1">
        <v>45376</v>
      </c>
      <c r="B2560">
        <v>414.78677368164</v>
      </c>
      <c r="C2560">
        <v>422.85998535156199</v>
      </c>
      <c r="D2560">
        <v>427.41000366210898</v>
      </c>
      <c r="E2560">
        <v>421.60998535156199</v>
      </c>
      <c r="F2560">
        <v>425.239990234375</v>
      </c>
      <c r="G2560" s="2">
        <v>18060500</v>
      </c>
      <c r="H2560" s="3">
        <f t="shared" si="39"/>
        <v>-1.3714728651569752E-2</v>
      </c>
      <c r="J2560" s="3">
        <v>1.2138789989136312E-2</v>
      </c>
      <c r="K2560" s="3">
        <v>0.80446400502986481</v>
      </c>
    </row>
    <row r="2561" spans="1:11" x14ac:dyDescent="0.2">
      <c r="A2561" s="1">
        <v>45377</v>
      </c>
      <c r="B2561">
        <v>413.59991455078102</v>
      </c>
      <c r="C2561">
        <v>421.64999389648398</v>
      </c>
      <c r="D2561">
        <v>425.989990234375</v>
      </c>
      <c r="E2561">
        <v>421.350006103515</v>
      </c>
      <c r="F2561">
        <v>425.60998535156199</v>
      </c>
      <c r="G2561" s="2">
        <v>16725600</v>
      </c>
      <c r="H2561" s="3">
        <f t="shared" si="39"/>
        <v>-2.8613716882156526E-3</v>
      </c>
      <c r="J2561" s="3">
        <v>1.2140302810141668E-2</v>
      </c>
      <c r="K2561" s="3">
        <v>0.80477837158126375</v>
      </c>
    </row>
    <row r="2562" spans="1:11" x14ac:dyDescent="0.2">
      <c r="A2562" s="1">
        <v>45378</v>
      </c>
      <c r="B2562">
        <v>413.38412475585898</v>
      </c>
      <c r="C2562">
        <v>421.42999267578102</v>
      </c>
      <c r="D2562">
        <v>424.45001220703102</v>
      </c>
      <c r="E2562">
        <v>419.010009765625</v>
      </c>
      <c r="F2562">
        <v>424.44000244140602</v>
      </c>
      <c r="G2562" s="2">
        <v>16705000</v>
      </c>
      <c r="H2562" s="3">
        <f t="shared" ref="H2562:H2625" si="40">B2562/B2561-1</f>
        <v>-5.2173558874257786E-4</v>
      </c>
      <c r="J2562" s="3">
        <v>1.2149843866078314E-2</v>
      </c>
      <c r="K2562" s="3">
        <v>0.80509273813266269</v>
      </c>
    </row>
    <row r="2563" spans="1:11" x14ac:dyDescent="0.2">
      <c r="A2563" s="1">
        <v>45379</v>
      </c>
      <c r="B2563">
        <v>412.68771362304602</v>
      </c>
      <c r="C2563">
        <v>420.72000122070301</v>
      </c>
      <c r="D2563">
        <v>421.86999511718699</v>
      </c>
      <c r="E2563">
        <v>419.11999511718699</v>
      </c>
      <c r="F2563">
        <v>420.95999145507801</v>
      </c>
      <c r="G2563" s="2">
        <v>21871200</v>
      </c>
      <c r="H2563" s="3">
        <f t="shared" si="40"/>
        <v>-1.6846586288823406E-3</v>
      </c>
      <c r="J2563" s="3">
        <v>1.2186861945566063E-2</v>
      </c>
      <c r="K2563" s="3">
        <v>0.80540710468406163</v>
      </c>
    </row>
    <row r="2564" spans="1:11" x14ac:dyDescent="0.2">
      <c r="A2564" s="1">
        <v>45383</v>
      </c>
      <c r="B2564">
        <v>416.46420288085898</v>
      </c>
      <c r="C2564">
        <v>424.57000732421801</v>
      </c>
      <c r="D2564">
        <v>427.89001464843699</v>
      </c>
      <c r="E2564">
        <v>422.22000122070301</v>
      </c>
      <c r="F2564">
        <v>423.95001220703102</v>
      </c>
      <c r="G2564" s="2">
        <v>16316000</v>
      </c>
      <c r="H2564" s="3">
        <f t="shared" si="40"/>
        <v>9.1509612066194013E-3</v>
      </c>
      <c r="J2564" s="3">
        <v>1.2197541676556733E-2</v>
      </c>
      <c r="K2564" s="3">
        <v>0.80572147123546056</v>
      </c>
    </row>
    <row r="2565" spans="1:11" x14ac:dyDescent="0.2">
      <c r="A2565" s="1">
        <v>45384</v>
      </c>
      <c r="B2565">
        <v>413.39398193359301</v>
      </c>
      <c r="C2565">
        <v>421.44000244140602</v>
      </c>
      <c r="D2565">
        <v>422.38000488281199</v>
      </c>
      <c r="E2565">
        <v>417.83999633789</v>
      </c>
      <c r="F2565">
        <v>420.10998535156199</v>
      </c>
      <c r="G2565" s="2">
        <v>17912000</v>
      </c>
      <c r="H2565" s="3">
        <f t="shared" si="40"/>
        <v>-7.372112479363091E-3</v>
      </c>
      <c r="J2565" s="3">
        <v>1.2199030583928128E-2</v>
      </c>
      <c r="K2565" s="3">
        <v>0.8060358377868595</v>
      </c>
    </row>
    <row r="2566" spans="1:11" x14ac:dyDescent="0.2">
      <c r="A2566" s="1">
        <v>45385</v>
      </c>
      <c r="B2566">
        <v>412.42291259765602</v>
      </c>
      <c r="C2566">
        <v>420.45001220703102</v>
      </c>
      <c r="D2566">
        <v>423.260009765625</v>
      </c>
      <c r="E2566">
        <v>419.08999633789</v>
      </c>
      <c r="F2566">
        <v>419.73001098632801</v>
      </c>
      <c r="G2566" s="2">
        <v>16502300</v>
      </c>
      <c r="H2566" s="3">
        <f t="shared" si="40"/>
        <v>-2.349016624274336E-3</v>
      </c>
      <c r="J2566" s="3">
        <v>1.2208186878644112E-2</v>
      </c>
      <c r="K2566" s="3">
        <v>0.80635020433825844</v>
      </c>
    </row>
    <row r="2567" spans="1:11" x14ac:dyDescent="0.2">
      <c r="A2567" s="1">
        <v>45386</v>
      </c>
      <c r="B2567">
        <v>409.90197753906199</v>
      </c>
      <c r="C2567">
        <v>417.88000488281199</v>
      </c>
      <c r="D2567">
        <v>428.67001342773398</v>
      </c>
      <c r="E2567">
        <v>417.57000732421801</v>
      </c>
      <c r="F2567">
        <v>424.989990234375</v>
      </c>
      <c r="G2567" s="2">
        <v>19370900</v>
      </c>
      <c r="H2567" s="3">
        <f t="shared" si="40"/>
        <v>-6.1125000129499396E-3</v>
      </c>
      <c r="J2567" s="3">
        <v>1.2254509670666103E-2</v>
      </c>
      <c r="K2567" s="3">
        <v>0.80666457088965737</v>
      </c>
    </row>
    <row r="2568" spans="1:11" x14ac:dyDescent="0.2">
      <c r="A2568" s="1">
        <v>45387</v>
      </c>
      <c r="B2568">
        <v>417.39602661132801</v>
      </c>
      <c r="C2568">
        <v>425.51998901367102</v>
      </c>
      <c r="D2568">
        <v>426.510009765625</v>
      </c>
      <c r="E2568">
        <v>418.32000732421801</v>
      </c>
      <c r="F2568">
        <v>420.010009765625</v>
      </c>
      <c r="G2568" s="2">
        <v>16554800</v>
      </c>
      <c r="H2568" s="3">
        <f t="shared" si="40"/>
        <v>1.8282539443352341E-2</v>
      </c>
      <c r="J2568" s="3">
        <v>1.2272196140574509E-2</v>
      </c>
      <c r="K2568" s="3">
        <v>0.80697893744105631</v>
      </c>
    </row>
    <row r="2569" spans="1:11" x14ac:dyDescent="0.2">
      <c r="A2569" s="1">
        <v>45390</v>
      </c>
      <c r="B2569">
        <v>416.483795166015</v>
      </c>
      <c r="C2569">
        <v>424.58999633789</v>
      </c>
      <c r="D2569">
        <v>427.27999877929602</v>
      </c>
      <c r="E2569">
        <v>423.29998779296801</v>
      </c>
      <c r="F2569">
        <v>425.17001342773398</v>
      </c>
      <c r="G2569" s="2">
        <v>14272400</v>
      </c>
      <c r="H2569" s="3">
        <f t="shared" si="40"/>
        <v>-2.1855297778444749E-3</v>
      </c>
      <c r="J2569" s="3">
        <v>1.2311406822125948E-2</v>
      </c>
      <c r="K2569" s="3">
        <v>0.80729330399245525</v>
      </c>
    </row>
    <row r="2570" spans="1:11" x14ac:dyDescent="0.2">
      <c r="A2570" s="1">
        <v>45391</v>
      </c>
      <c r="B2570">
        <v>418.14157104492102</v>
      </c>
      <c r="C2570">
        <v>426.27999877929602</v>
      </c>
      <c r="D2570">
        <v>427.739990234375</v>
      </c>
      <c r="E2570">
        <v>421.61999511718699</v>
      </c>
      <c r="F2570">
        <v>426.44000244140602</v>
      </c>
      <c r="G2570" s="2">
        <v>12496900</v>
      </c>
      <c r="H2570" s="3">
        <f t="shared" si="40"/>
        <v>3.9804090774893108E-3</v>
      </c>
      <c r="J2570" s="3">
        <v>1.2334807063789643E-2</v>
      </c>
      <c r="K2570" s="3">
        <v>0.80760767054385418</v>
      </c>
    </row>
    <row r="2571" spans="1:11" x14ac:dyDescent="0.2">
      <c r="A2571" s="1">
        <v>45392</v>
      </c>
      <c r="B2571">
        <v>415.17922973632801</v>
      </c>
      <c r="C2571">
        <v>423.260009765625</v>
      </c>
      <c r="D2571">
        <v>424.02999877929602</v>
      </c>
      <c r="E2571">
        <v>419.70001220703102</v>
      </c>
      <c r="F2571">
        <v>422.19000244140602</v>
      </c>
      <c r="G2571" s="2">
        <v>16216600</v>
      </c>
      <c r="H2571" s="3">
        <f t="shared" si="40"/>
        <v>-7.0845414895970293E-3</v>
      </c>
      <c r="J2571" s="3">
        <v>1.2336336008667903E-2</v>
      </c>
      <c r="K2571" s="3">
        <v>0.80792203709525312</v>
      </c>
    </row>
    <row r="2572" spans="1:11" x14ac:dyDescent="0.2">
      <c r="A2572" s="1">
        <v>45393</v>
      </c>
      <c r="B2572">
        <v>419.76004028320301</v>
      </c>
      <c r="C2572">
        <v>427.92999267578102</v>
      </c>
      <c r="D2572">
        <v>429.36999511718699</v>
      </c>
      <c r="E2572">
        <v>422.35998535156199</v>
      </c>
      <c r="F2572">
        <v>425.82000732421801</v>
      </c>
      <c r="G2572" s="2">
        <v>17966400</v>
      </c>
      <c r="H2572" s="3">
        <f t="shared" si="40"/>
        <v>1.1033332639940108E-2</v>
      </c>
      <c r="J2572" s="3">
        <v>1.2347953445307036E-2</v>
      </c>
      <c r="K2572" s="3">
        <v>0.80823640364665195</v>
      </c>
    </row>
    <row r="2573" spans="1:11" x14ac:dyDescent="0.2">
      <c r="A2573" s="1">
        <v>45394</v>
      </c>
      <c r="B2573">
        <v>413.845123291015</v>
      </c>
      <c r="C2573">
        <v>421.89999389648398</v>
      </c>
      <c r="D2573">
        <v>425.17999267578102</v>
      </c>
      <c r="E2573">
        <v>419.76998901367102</v>
      </c>
      <c r="F2573">
        <v>424.04998779296801</v>
      </c>
      <c r="G2573" s="2">
        <v>19253800</v>
      </c>
      <c r="H2573" s="3">
        <f t="shared" si="40"/>
        <v>-1.4091186450709614E-2</v>
      </c>
      <c r="J2573" s="3">
        <v>1.2350583170418039E-2</v>
      </c>
      <c r="K2573" s="3">
        <v>0.80855077019805088</v>
      </c>
    </row>
    <row r="2574" spans="1:11" x14ac:dyDescent="0.2">
      <c r="A2574" s="1">
        <v>45397</v>
      </c>
      <c r="B2574">
        <v>405.742919921875</v>
      </c>
      <c r="C2574">
        <v>413.64001464843699</v>
      </c>
      <c r="D2574">
        <v>426.82000732421801</v>
      </c>
      <c r="E2574">
        <v>413.42999267578102</v>
      </c>
      <c r="F2574">
        <v>426.600006103515</v>
      </c>
      <c r="G2574" s="2">
        <v>20273500</v>
      </c>
      <c r="H2574" s="3">
        <f t="shared" si="40"/>
        <v>-1.9577863585074962E-2</v>
      </c>
      <c r="J2574" s="3">
        <v>1.2360100826995124E-2</v>
      </c>
      <c r="K2574" s="3">
        <v>0.80886513674944982</v>
      </c>
    </row>
    <row r="2575" spans="1:11" x14ac:dyDescent="0.2">
      <c r="A2575" s="1">
        <v>45398</v>
      </c>
      <c r="B2575">
        <v>406.66491699218699</v>
      </c>
      <c r="C2575">
        <v>414.579986572265</v>
      </c>
      <c r="D2575">
        <v>418.39999389648398</v>
      </c>
      <c r="E2575">
        <v>413.73001098632801</v>
      </c>
      <c r="F2575">
        <v>414.57000732421801</v>
      </c>
      <c r="G2575" s="2">
        <v>16765600</v>
      </c>
      <c r="H2575" s="3">
        <f t="shared" si="40"/>
        <v>2.2723676126981118E-3</v>
      </c>
      <c r="J2575" s="3">
        <v>1.2398552246837946E-2</v>
      </c>
      <c r="K2575" s="3">
        <v>0.80917950330084876</v>
      </c>
    </row>
    <row r="2576" spans="1:11" x14ac:dyDescent="0.2">
      <c r="A2576" s="1">
        <v>45399</v>
      </c>
      <c r="B2576">
        <v>403.97723388671801</v>
      </c>
      <c r="C2576">
        <v>411.83999633789</v>
      </c>
      <c r="D2576">
        <v>418.88000488281199</v>
      </c>
      <c r="E2576">
        <v>410.329986572265</v>
      </c>
      <c r="F2576">
        <v>417.25</v>
      </c>
      <c r="G2576" s="2">
        <v>15855500</v>
      </c>
      <c r="H2576" s="3">
        <f t="shared" si="40"/>
        <v>-6.6090852521724086E-3</v>
      </c>
      <c r="J2576" s="3">
        <v>1.2399255047426339E-2</v>
      </c>
      <c r="K2576" s="3">
        <v>0.80949386985224769</v>
      </c>
    </row>
    <row r="2577" spans="1:11" x14ac:dyDescent="0.2">
      <c r="A2577" s="1">
        <v>45400</v>
      </c>
      <c r="B2577">
        <v>396.55178833007801</v>
      </c>
      <c r="C2577">
        <v>404.26998901367102</v>
      </c>
      <c r="D2577">
        <v>411.89001464843699</v>
      </c>
      <c r="E2577">
        <v>403.95001220703102</v>
      </c>
      <c r="F2577">
        <v>410.63000488281199</v>
      </c>
      <c r="G2577" s="2">
        <v>21029900</v>
      </c>
      <c r="H2577" s="3">
        <f t="shared" si="40"/>
        <v>-1.8380851527693309E-2</v>
      </c>
      <c r="J2577" s="3">
        <v>1.2428548827423835E-2</v>
      </c>
      <c r="K2577" s="3">
        <v>0.80980823640364663</v>
      </c>
    </row>
    <row r="2578" spans="1:11" x14ac:dyDescent="0.2">
      <c r="A2578" s="1">
        <v>45401</v>
      </c>
      <c r="B2578">
        <v>391.50006103515602</v>
      </c>
      <c r="C2578">
        <v>399.11999511718699</v>
      </c>
      <c r="D2578">
        <v>405.48001098632801</v>
      </c>
      <c r="E2578">
        <v>397.76998901367102</v>
      </c>
      <c r="F2578">
        <v>404.02999877929602</v>
      </c>
      <c r="G2578" s="2">
        <v>30565800</v>
      </c>
      <c r="H2578" s="3">
        <f t="shared" si="40"/>
        <v>-1.2739136333731693E-2</v>
      </c>
      <c r="J2578" s="3">
        <v>1.2462437436434826E-2</v>
      </c>
      <c r="K2578" s="3">
        <v>0.81012260295504557</v>
      </c>
    </row>
    <row r="2579" spans="1:11" x14ac:dyDescent="0.2">
      <c r="A2579" s="1">
        <v>45404</v>
      </c>
      <c r="B2579">
        <v>393.30496215820301</v>
      </c>
      <c r="C2579">
        <v>400.95999145507801</v>
      </c>
      <c r="D2579">
        <v>402.850006103515</v>
      </c>
      <c r="E2579">
        <v>395.75</v>
      </c>
      <c r="F2579">
        <v>400.079986572265</v>
      </c>
      <c r="G2579" s="2">
        <v>20286900</v>
      </c>
      <c r="H2579" s="3">
        <f t="shared" si="40"/>
        <v>4.6102192635033568E-3</v>
      </c>
      <c r="J2579" s="3">
        <v>1.2465280611009488E-2</v>
      </c>
      <c r="K2579" s="3">
        <v>0.8104369695064445</v>
      </c>
    </row>
    <row r="2580" spans="1:11" x14ac:dyDescent="0.2">
      <c r="A2580" s="1">
        <v>45405</v>
      </c>
      <c r="B2580">
        <v>399.788818359375</v>
      </c>
      <c r="C2580">
        <v>407.57000732421801</v>
      </c>
      <c r="D2580">
        <v>408.20001220703102</v>
      </c>
      <c r="E2580">
        <v>403.05999755859301</v>
      </c>
      <c r="F2580">
        <v>404.239990234375</v>
      </c>
      <c r="G2580" s="2">
        <v>15734500</v>
      </c>
      <c r="H2580" s="3">
        <f t="shared" si="40"/>
        <v>1.6485569278334999E-2</v>
      </c>
      <c r="J2580" s="3">
        <v>1.2467366447125539E-2</v>
      </c>
      <c r="K2580" s="3">
        <v>0.81075133605784344</v>
      </c>
    </row>
    <row r="2581" spans="1:11" x14ac:dyDescent="0.2">
      <c r="A2581" s="1">
        <v>45406</v>
      </c>
      <c r="B2581">
        <v>401.25027465820301</v>
      </c>
      <c r="C2581">
        <v>409.05999755859301</v>
      </c>
      <c r="D2581">
        <v>412.47000122070301</v>
      </c>
      <c r="E2581">
        <v>406.77999877929602</v>
      </c>
      <c r="F2581">
        <v>409.55999755859301</v>
      </c>
      <c r="G2581" s="2">
        <v>15065300</v>
      </c>
      <c r="H2581" s="3">
        <f t="shared" si="40"/>
        <v>3.6555707206256116E-3</v>
      </c>
      <c r="J2581" s="3">
        <v>1.2475608461045118E-2</v>
      </c>
      <c r="K2581" s="3">
        <v>0.81106570260924238</v>
      </c>
    </row>
    <row r="2582" spans="1:11" x14ac:dyDescent="0.2">
      <c r="A2582" s="1">
        <v>45407</v>
      </c>
      <c r="B2582">
        <v>391.421630859375</v>
      </c>
      <c r="C2582">
        <v>399.04000854492102</v>
      </c>
      <c r="D2582">
        <v>399.89001464843699</v>
      </c>
      <c r="E2582">
        <v>388.02999877929602</v>
      </c>
      <c r="F2582">
        <v>394.02999877929602</v>
      </c>
      <c r="G2582" s="2">
        <v>40586500</v>
      </c>
      <c r="H2582" s="3">
        <f t="shared" si="40"/>
        <v>-2.4495045659969517E-2</v>
      </c>
      <c r="J2582" s="3">
        <v>1.2493395684140651E-2</v>
      </c>
      <c r="K2582" s="3">
        <v>0.81138006916064132</v>
      </c>
    </row>
    <row r="2583" spans="1:11" x14ac:dyDescent="0.2">
      <c r="A2583" s="1">
        <v>45408</v>
      </c>
      <c r="B2583">
        <v>398.56262207031199</v>
      </c>
      <c r="C2583">
        <v>406.32000732421801</v>
      </c>
      <c r="D2583">
        <v>413</v>
      </c>
      <c r="E2583">
        <v>405.760009765625</v>
      </c>
      <c r="F2583">
        <v>412.17001342773398</v>
      </c>
      <c r="G2583" s="2">
        <v>29694700</v>
      </c>
      <c r="H2583" s="3">
        <f t="shared" si="40"/>
        <v>1.8243731689683962E-2</v>
      </c>
      <c r="J2583" s="3">
        <v>1.2494520206146609E-2</v>
      </c>
      <c r="K2583" s="3">
        <v>0.81169443571204025</v>
      </c>
    </row>
    <row r="2584" spans="1:11" x14ac:dyDescent="0.2">
      <c r="A2584" s="1">
        <v>45411</v>
      </c>
      <c r="B2584">
        <v>394.57028198242102</v>
      </c>
      <c r="C2584">
        <v>402.25</v>
      </c>
      <c r="D2584">
        <v>406.32000732421801</v>
      </c>
      <c r="E2584">
        <v>399.19000244140602</v>
      </c>
      <c r="F2584">
        <v>405.25</v>
      </c>
      <c r="G2584" s="2">
        <v>19582100</v>
      </c>
      <c r="H2584" s="3">
        <f t="shared" si="40"/>
        <v>-1.0016845200267355E-2</v>
      </c>
      <c r="J2584" s="3">
        <v>1.2494810782365695E-2</v>
      </c>
      <c r="K2584" s="3">
        <v>0.81200880226343919</v>
      </c>
    </row>
    <row r="2585" spans="1:11" x14ac:dyDescent="0.2">
      <c r="A2585" s="1">
        <v>45412</v>
      </c>
      <c r="B2585">
        <v>381.89697265625</v>
      </c>
      <c r="C2585">
        <v>389.329986572265</v>
      </c>
      <c r="D2585">
        <v>402.16000366210898</v>
      </c>
      <c r="E2585">
        <v>389.17001342773398</v>
      </c>
      <c r="F2585">
        <v>401.489990234375</v>
      </c>
      <c r="G2585" s="2">
        <v>28781400</v>
      </c>
      <c r="H2585" s="3">
        <f t="shared" si="40"/>
        <v>-3.2119269759742441E-2</v>
      </c>
      <c r="J2585" s="3">
        <v>1.2516343841846522E-2</v>
      </c>
      <c r="K2585" s="3">
        <v>0.81232316881483813</v>
      </c>
    </row>
    <row r="2586" spans="1:11" x14ac:dyDescent="0.2">
      <c r="A2586" s="1">
        <v>45413</v>
      </c>
      <c r="B2586">
        <v>387.39990234375</v>
      </c>
      <c r="C2586">
        <v>394.94000244140602</v>
      </c>
      <c r="D2586">
        <v>401.72000122070301</v>
      </c>
      <c r="E2586">
        <v>390.30999755859301</v>
      </c>
      <c r="F2586">
        <v>392.60998535156199</v>
      </c>
      <c r="G2586" s="2">
        <v>23562500</v>
      </c>
      <c r="H2586" s="3">
        <f t="shared" si="40"/>
        <v>1.4409461403228407E-2</v>
      </c>
      <c r="J2586" s="3">
        <v>1.252319725986073E-2</v>
      </c>
      <c r="K2586" s="3">
        <v>0.81263753536623706</v>
      </c>
    </row>
    <row r="2587" spans="1:11" x14ac:dyDescent="0.2">
      <c r="A2587" s="1">
        <v>45414</v>
      </c>
      <c r="B2587">
        <v>390.244537353515</v>
      </c>
      <c r="C2587">
        <v>397.83999633789</v>
      </c>
      <c r="D2587">
        <v>399.92999267578102</v>
      </c>
      <c r="E2587">
        <v>394.64999389648398</v>
      </c>
      <c r="F2587">
        <v>397.66000366210898</v>
      </c>
      <c r="G2587" s="2">
        <v>17709400</v>
      </c>
      <c r="H2587" s="3">
        <f t="shared" si="40"/>
        <v>7.3428903635626153E-3</v>
      </c>
      <c r="J2587" s="3">
        <v>1.2564749462943059E-2</v>
      </c>
      <c r="K2587" s="3">
        <v>0.812951901917636</v>
      </c>
    </row>
    <row r="2588" spans="1:11" x14ac:dyDescent="0.2">
      <c r="A2588" s="1">
        <v>45415</v>
      </c>
      <c r="B2588">
        <v>398.89614868164</v>
      </c>
      <c r="C2588">
        <v>406.66000366210898</v>
      </c>
      <c r="D2588">
        <v>407.14999389648398</v>
      </c>
      <c r="E2588">
        <v>401.85998535156199</v>
      </c>
      <c r="F2588">
        <v>402.27999877929602</v>
      </c>
      <c r="G2588" s="2">
        <v>17446700</v>
      </c>
      <c r="H2588" s="3">
        <f t="shared" si="40"/>
        <v>2.2169717958890223E-2</v>
      </c>
      <c r="J2588" s="3">
        <v>1.2597309799072587E-2</v>
      </c>
      <c r="K2588" s="3">
        <v>0.81326626846903494</v>
      </c>
    </row>
    <row r="2589" spans="1:11" x14ac:dyDescent="0.2">
      <c r="A2589" s="1">
        <v>45418</v>
      </c>
      <c r="B2589">
        <v>405.64480590820301</v>
      </c>
      <c r="C2589">
        <v>413.54000854492102</v>
      </c>
      <c r="D2589">
        <v>413.92999267578102</v>
      </c>
      <c r="E2589">
        <v>406.36999511718699</v>
      </c>
      <c r="F2589">
        <v>408.760009765625</v>
      </c>
      <c r="G2589" s="2">
        <v>16996600</v>
      </c>
      <c r="H2589" s="3">
        <f t="shared" si="40"/>
        <v>1.6918331372382189E-2</v>
      </c>
      <c r="J2589" s="3">
        <v>1.2619663779040113E-2</v>
      </c>
      <c r="K2589" s="3">
        <v>0.81358063502043387</v>
      </c>
    </row>
    <row r="2590" spans="1:11" x14ac:dyDescent="0.2">
      <c r="A2590" s="1">
        <v>45419</v>
      </c>
      <c r="B2590">
        <v>401.52490234375</v>
      </c>
      <c r="C2590">
        <v>409.33999633789</v>
      </c>
      <c r="D2590">
        <v>414.67001342773398</v>
      </c>
      <c r="E2590">
        <v>409.08999633789</v>
      </c>
      <c r="F2590">
        <v>414.66000366210898</v>
      </c>
      <c r="G2590" s="2">
        <v>20018200</v>
      </c>
      <c r="H2590" s="3">
        <f t="shared" si="40"/>
        <v>-1.0156431203966476E-2</v>
      </c>
      <c r="J2590" s="3">
        <v>1.2623229239870248E-2</v>
      </c>
      <c r="K2590" s="3">
        <v>0.81389500157183281</v>
      </c>
    </row>
    <row r="2591" spans="1:11" x14ac:dyDescent="0.2">
      <c r="A2591" s="1">
        <v>45420</v>
      </c>
      <c r="B2591">
        <v>402.70202636718699</v>
      </c>
      <c r="C2591">
        <v>410.54000854492102</v>
      </c>
      <c r="D2591">
        <v>412.23001098632801</v>
      </c>
      <c r="E2591">
        <v>406.70999145507801</v>
      </c>
      <c r="F2591">
        <v>408.17001342773398</v>
      </c>
      <c r="G2591" s="2">
        <v>11792300</v>
      </c>
      <c r="H2591" s="3">
        <f t="shared" si="40"/>
        <v>2.9316339200033958E-3</v>
      </c>
      <c r="J2591" s="3">
        <v>1.26239184105017E-2</v>
      </c>
      <c r="K2591" s="3">
        <v>0.81420936812323164</v>
      </c>
    </row>
    <row r="2592" spans="1:11" x14ac:dyDescent="0.2">
      <c r="A2592" s="1">
        <v>45421</v>
      </c>
      <c r="B2592">
        <v>404.44808959960898</v>
      </c>
      <c r="C2592">
        <v>412.32000732421801</v>
      </c>
      <c r="D2592">
        <v>412.72000122070301</v>
      </c>
      <c r="E2592">
        <v>409.100006103515</v>
      </c>
      <c r="F2592">
        <v>410.57000732421801</v>
      </c>
      <c r="G2592" s="2">
        <v>14689700</v>
      </c>
      <c r="H2592" s="3">
        <f t="shared" si="40"/>
        <v>4.3358690001473743E-3</v>
      </c>
      <c r="J2592" s="3">
        <v>1.2633270405707719E-2</v>
      </c>
      <c r="K2592" s="3">
        <v>0.81452373467463057</v>
      </c>
    </row>
    <row r="2593" spans="1:11" x14ac:dyDescent="0.2">
      <c r="A2593" s="1">
        <v>45422</v>
      </c>
      <c r="B2593">
        <v>406.82189941406199</v>
      </c>
      <c r="C2593">
        <v>414.739990234375</v>
      </c>
      <c r="D2593">
        <v>415.38000488281199</v>
      </c>
      <c r="E2593">
        <v>411.79998779296801</v>
      </c>
      <c r="F2593">
        <v>412.94000244140602</v>
      </c>
      <c r="G2593" s="2">
        <v>13402300</v>
      </c>
      <c r="H2593" s="3">
        <f t="shared" si="40"/>
        <v>5.8692570826655022E-3</v>
      </c>
      <c r="J2593" s="3">
        <v>1.2636372379469574E-2</v>
      </c>
      <c r="K2593" s="3">
        <v>0.81483810122602951</v>
      </c>
    </row>
    <row r="2594" spans="1:11" x14ac:dyDescent="0.2">
      <c r="A2594" s="1">
        <v>45425</v>
      </c>
      <c r="B2594">
        <v>405.8212890625</v>
      </c>
      <c r="C2594">
        <v>413.72000122070301</v>
      </c>
      <c r="D2594">
        <v>418.350006103515</v>
      </c>
      <c r="E2594">
        <v>410.82000732421801</v>
      </c>
      <c r="F2594">
        <v>418.010009765625</v>
      </c>
      <c r="G2594" s="2">
        <v>15440200</v>
      </c>
      <c r="H2594" s="3">
        <f t="shared" si="40"/>
        <v>-2.4595783879952648E-3</v>
      </c>
      <c r="J2594" s="3">
        <v>1.2667662054314688E-2</v>
      </c>
      <c r="K2594" s="3">
        <v>0.81515246777742845</v>
      </c>
    </row>
    <row r="2595" spans="1:11" x14ac:dyDescent="0.2">
      <c r="A2595" s="1">
        <v>45426</v>
      </c>
      <c r="B2595">
        <v>408.60711669921801</v>
      </c>
      <c r="C2595">
        <v>416.55999755859301</v>
      </c>
      <c r="D2595">
        <v>417.489990234375</v>
      </c>
      <c r="E2595">
        <v>411.54998779296801</v>
      </c>
      <c r="F2595">
        <v>412.01998901367102</v>
      </c>
      <c r="G2595" s="2">
        <v>15109300</v>
      </c>
      <c r="H2595" s="3">
        <f t="shared" si="40"/>
        <v>6.8646660779025925E-3</v>
      </c>
      <c r="J2595" s="3">
        <v>1.2703197600826277E-2</v>
      </c>
      <c r="K2595" s="3">
        <v>0.81546683432882738</v>
      </c>
    </row>
    <row r="2596" spans="1:11" x14ac:dyDescent="0.2">
      <c r="A2596" s="1">
        <v>45427</v>
      </c>
      <c r="B2596">
        <v>415.751220703125</v>
      </c>
      <c r="C2596">
        <v>423.079986572265</v>
      </c>
      <c r="D2596">
        <v>423.80999755859301</v>
      </c>
      <c r="E2596">
        <v>417.26998901367102</v>
      </c>
      <c r="F2596">
        <v>417.89999389648398</v>
      </c>
      <c r="G2596" s="2">
        <v>22239500</v>
      </c>
      <c r="H2596" s="3">
        <f t="shared" si="40"/>
        <v>1.7484042034358049E-2</v>
      </c>
      <c r="J2596" s="3">
        <v>1.2706000692757513E-2</v>
      </c>
      <c r="K2596" s="3">
        <v>0.81578120088022632</v>
      </c>
    </row>
    <row r="2597" spans="1:11" x14ac:dyDescent="0.2">
      <c r="A2597" s="1">
        <v>45428</v>
      </c>
      <c r="B2597">
        <v>413.69738769531199</v>
      </c>
      <c r="C2597">
        <v>420.989990234375</v>
      </c>
      <c r="D2597">
        <v>425.42001342773398</v>
      </c>
      <c r="E2597">
        <v>420.350006103515</v>
      </c>
      <c r="F2597">
        <v>421.79998779296801</v>
      </c>
      <c r="G2597" s="2">
        <v>17530100</v>
      </c>
      <c r="H2597" s="3">
        <f t="shared" si="40"/>
        <v>-4.9400528622369766E-3</v>
      </c>
      <c r="J2597" s="3">
        <v>1.2713923043152331E-2</v>
      </c>
      <c r="K2597" s="3">
        <v>0.81609556743162526</v>
      </c>
    </row>
    <row r="2598" spans="1:11" x14ac:dyDescent="0.2">
      <c r="A2598" s="1">
        <v>45429</v>
      </c>
      <c r="B2598">
        <v>412.930908203125</v>
      </c>
      <c r="C2598">
        <v>420.20999145507801</v>
      </c>
      <c r="D2598">
        <v>422.92001342773398</v>
      </c>
      <c r="E2598">
        <v>418.02999877929602</v>
      </c>
      <c r="F2598">
        <v>422.54000854492102</v>
      </c>
      <c r="G2598" s="2">
        <v>15352200</v>
      </c>
      <c r="H2598" s="3">
        <f t="shared" si="40"/>
        <v>-1.8527540056683112E-3</v>
      </c>
      <c r="J2598" s="3">
        <v>1.2716442339917311E-2</v>
      </c>
      <c r="K2598" s="3">
        <v>0.81640993398302419</v>
      </c>
    </row>
    <row r="2599" spans="1:11" x14ac:dyDescent="0.2">
      <c r="A2599" s="1">
        <v>45432</v>
      </c>
      <c r="B2599">
        <v>417.97204589843699</v>
      </c>
      <c r="C2599">
        <v>425.33999633789</v>
      </c>
      <c r="D2599">
        <v>426.76998901367102</v>
      </c>
      <c r="E2599">
        <v>419.989990234375</v>
      </c>
      <c r="F2599">
        <v>420.20999145507801</v>
      </c>
      <c r="G2599" s="2">
        <v>16272100</v>
      </c>
      <c r="H2599" s="3">
        <f t="shared" si="40"/>
        <v>1.2208186878644112E-2</v>
      </c>
      <c r="J2599" s="3">
        <v>1.2719959995585173E-2</v>
      </c>
      <c r="K2599" s="3">
        <v>0.81672430053442313</v>
      </c>
    </row>
    <row r="2600" spans="1:11" x14ac:dyDescent="0.2">
      <c r="A2600" s="1">
        <v>45433</v>
      </c>
      <c r="B2600">
        <v>421.60794067382801</v>
      </c>
      <c r="C2600">
        <v>429.04000854492102</v>
      </c>
      <c r="D2600">
        <v>432.97000122070301</v>
      </c>
      <c r="E2600">
        <v>424.850006103515</v>
      </c>
      <c r="F2600">
        <v>426.829986572265</v>
      </c>
      <c r="G2600" s="2">
        <v>21453300</v>
      </c>
      <c r="H2600" s="3">
        <f t="shared" si="40"/>
        <v>8.6988946056800742E-3</v>
      </c>
      <c r="J2600" s="3">
        <v>1.2745847811906907E-2</v>
      </c>
      <c r="K2600" s="3">
        <v>0.81703866708582207</v>
      </c>
    </row>
    <row r="2601" spans="1:11" x14ac:dyDescent="0.2">
      <c r="A2601" s="1">
        <v>45434</v>
      </c>
      <c r="B2601">
        <v>423.06231689453102</v>
      </c>
      <c r="C2601">
        <v>430.51998901367102</v>
      </c>
      <c r="D2601">
        <v>432.41000366210898</v>
      </c>
      <c r="E2601">
        <v>427.13000488281199</v>
      </c>
      <c r="F2601">
        <v>430.08999633789</v>
      </c>
      <c r="G2601" s="2">
        <v>18073700</v>
      </c>
      <c r="H2601" s="3">
        <f t="shared" si="40"/>
        <v>3.4495939957359667E-3</v>
      </c>
      <c r="J2601" s="3">
        <v>1.2759282987635068E-2</v>
      </c>
      <c r="K2601" s="3">
        <v>0.817353033637221</v>
      </c>
    </row>
    <row r="2602" spans="1:11" x14ac:dyDescent="0.2">
      <c r="A2602" s="1">
        <v>45435</v>
      </c>
      <c r="B2602">
        <v>419.60330200195301</v>
      </c>
      <c r="C2602">
        <v>427</v>
      </c>
      <c r="D2602">
        <v>433.600006103515</v>
      </c>
      <c r="E2602">
        <v>425.42001342773398</v>
      </c>
      <c r="F2602">
        <v>432.97000122070301</v>
      </c>
      <c r="G2602" s="2">
        <v>17211700</v>
      </c>
      <c r="H2602" s="3">
        <f t="shared" si="40"/>
        <v>-8.1761356529429507E-3</v>
      </c>
      <c r="J2602" s="3">
        <v>1.2767076380752584E-2</v>
      </c>
      <c r="K2602" s="3">
        <v>0.81766740018861994</v>
      </c>
    </row>
    <row r="2603" spans="1:11" x14ac:dyDescent="0.2">
      <c r="A2603" s="1">
        <v>45436</v>
      </c>
      <c r="B2603">
        <v>422.70855712890602</v>
      </c>
      <c r="C2603">
        <v>430.16000366210898</v>
      </c>
      <c r="D2603">
        <v>431.05999755859301</v>
      </c>
      <c r="E2603">
        <v>424.41000366210898</v>
      </c>
      <c r="F2603">
        <v>427.19000244140602</v>
      </c>
      <c r="G2603" s="2">
        <v>11855300</v>
      </c>
      <c r="H2603" s="3">
        <f t="shared" si="40"/>
        <v>7.4004544581456333E-3</v>
      </c>
      <c r="J2603" s="3">
        <v>1.2770715156613655E-2</v>
      </c>
      <c r="K2603" s="3">
        <v>0.81798176674001888</v>
      </c>
    </row>
    <row r="2604" spans="1:11" x14ac:dyDescent="0.2">
      <c r="A2604" s="1">
        <v>45440</v>
      </c>
      <c r="B2604">
        <v>422.86581420898398</v>
      </c>
      <c r="C2604">
        <v>430.32000732421801</v>
      </c>
      <c r="D2604">
        <v>430.82000732421801</v>
      </c>
      <c r="E2604">
        <v>426.600006103515</v>
      </c>
      <c r="F2604">
        <v>429.63000488281199</v>
      </c>
      <c r="G2604" s="2">
        <v>15718000</v>
      </c>
      <c r="H2604" s="3">
        <f t="shared" si="40"/>
        <v>3.7202246660461569E-4</v>
      </c>
      <c r="J2604" s="3">
        <v>1.2782931101198214E-2</v>
      </c>
      <c r="K2604" s="3">
        <v>0.81829613329141782</v>
      </c>
    </row>
    <row r="2605" spans="1:11" x14ac:dyDescent="0.2">
      <c r="A2605" s="1">
        <v>45441</v>
      </c>
      <c r="B2605">
        <v>421.735748291015</v>
      </c>
      <c r="C2605">
        <v>429.17001342773398</v>
      </c>
      <c r="D2605">
        <v>430.94000244140602</v>
      </c>
      <c r="E2605">
        <v>425.69000244140602</v>
      </c>
      <c r="F2605">
        <v>425.69000244140602</v>
      </c>
      <c r="G2605" s="2">
        <v>15517100</v>
      </c>
      <c r="H2605" s="3">
        <f t="shared" si="40"/>
        <v>-2.672398382647434E-3</v>
      </c>
      <c r="J2605" s="3">
        <v>1.280663525007486E-2</v>
      </c>
      <c r="K2605" s="3">
        <v>0.81861049984281675</v>
      </c>
    </row>
    <row r="2606" spans="1:11" x14ac:dyDescent="0.2">
      <c r="A2606" s="1">
        <v>45442</v>
      </c>
      <c r="B2606">
        <v>407.48687744140602</v>
      </c>
      <c r="C2606">
        <v>414.67001342773398</v>
      </c>
      <c r="D2606">
        <v>424.29998779296801</v>
      </c>
      <c r="E2606">
        <v>414.239990234375</v>
      </c>
      <c r="F2606">
        <v>424.29998779296801</v>
      </c>
      <c r="G2606" s="2">
        <v>28394500</v>
      </c>
      <c r="H2606" s="3">
        <f t="shared" si="40"/>
        <v>-3.3786253376312469E-2</v>
      </c>
      <c r="J2606" s="3">
        <v>1.2808568038797263E-2</v>
      </c>
      <c r="K2606" s="3">
        <v>0.81892486639421569</v>
      </c>
    </row>
    <row r="2607" spans="1:11" x14ac:dyDescent="0.2">
      <c r="A2607" s="1">
        <v>45443</v>
      </c>
      <c r="B2607">
        <v>407.93890380859301</v>
      </c>
      <c r="C2607">
        <v>415.13000488281199</v>
      </c>
      <c r="D2607">
        <v>416.75</v>
      </c>
      <c r="E2607">
        <v>404.510009765625</v>
      </c>
      <c r="F2607">
        <v>416.75</v>
      </c>
      <c r="G2607" s="2">
        <v>47995300</v>
      </c>
      <c r="H2607" s="3">
        <f t="shared" si="40"/>
        <v>1.1093028811755001E-3</v>
      </c>
      <c r="J2607" s="3">
        <v>1.2812517962721648E-2</v>
      </c>
      <c r="K2607" s="3">
        <v>0.81923923294561463</v>
      </c>
    </row>
    <row r="2608" spans="1:11" x14ac:dyDescent="0.2">
      <c r="A2608" s="1">
        <v>45446</v>
      </c>
      <c r="B2608">
        <v>406.35675048828102</v>
      </c>
      <c r="C2608">
        <v>413.51998901367102</v>
      </c>
      <c r="D2608">
        <v>416.42999267578102</v>
      </c>
      <c r="E2608">
        <v>408.92001342773398</v>
      </c>
      <c r="F2608">
        <v>415.52999877929602</v>
      </c>
      <c r="G2608" s="2">
        <v>17484700</v>
      </c>
      <c r="H2608" s="3">
        <f t="shared" si="40"/>
        <v>-3.8784075398073936E-3</v>
      </c>
      <c r="J2608" s="3">
        <v>1.2822499999728176E-2</v>
      </c>
      <c r="K2608" s="3">
        <v>0.81955359949701356</v>
      </c>
    </row>
    <row r="2609" spans="1:11" x14ac:dyDescent="0.2">
      <c r="A2609" s="1">
        <v>45447</v>
      </c>
      <c r="B2609">
        <v>408.86260986328102</v>
      </c>
      <c r="C2609">
        <v>416.07000732421801</v>
      </c>
      <c r="D2609">
        <v>416.44000244140602</v>
      </c>
      <c r="E2609">
        <v>409.67999267578102</v>
      </c>
      <c r="F2609">
        <v>412.42999267578102</v>
      </c>
      <c r="G2609" s="2">
        <v>14348900</v>
      </c>
      <c r="H2609" s="3">
        <f t="shared" si="40"/>
        <v>6.1666488177911649E-3</v>
      </c>
      <c r="J2609" s="3">
        <v>1.2839813747556938E-2</v>
      </c>
      <c r="K2609" s="3">
        <v>0.8198679660484125</v>
      </c>
    </row>
    <row r="2610" spans="1:11" x14ac:dyDescent="0.2">
      <c r="A2610" s="1">
        <v>45448</v>
      </c>
      <c r="B2610">
        <v>416.66510009765602</v>
      </c>
      <c r="C2610">
        <v>424.010009765625</v>
      </c>
      <c r="D2610">
        <v>424.079986572265</v>
      </c>
      <c r="E2610">
        <v>416.29998779296801</v>
      </c>
      <c r="F2610">
        <v>417.80999755859301</v>
      </c>
      <c r="G2610" s="2">
        <v>16988000</v>
      </c>
      <c r="H2610" s="3">
        <f t="shared" si="40"/>
        <v>1.9083403681701361E-2</v>
      </c>
      <c r="J2610" s="3">
        <v>1.2842961307666156E-2</v>
      </c>
      <c r="K2610" s="3">
        <v>0.82018233259981133</v>
      </c>
    </row>
    <row r="2611" spans="1:11" x14ac:dyDescent="0.2">
      <c r="A2611" s="1">
        <v>45449</v>
      </c>
      <c r="B2611">
        <v>417.16622924804602</v>
      </c>
      <c r="C2611">
        <v>424.51998901367102</v>
      </c>
      <c r="D2611">
        <v>425.30999755859301</v>
      </c>
      <c r="E2611">
        <v>420.579986572265</v>
      </c>
      <c r="F2611">
        <v>424.010009765625</v>
      </c>
      <c r="G2611" s="2">
        <v>14861300</v>
      </c>
      <c r="H2611" s="3">
        <f t="shared" si="40"/>
        <v>1.2027144828605785E-3</v>
      </c>
      <c r="J2611" s="3">
        <v>1.2861645227154161E-2</v>
      </c>
      <c r="K2611" s="3">
        <v>0.82049669915121026</v>
      </c>
    </row>
    <row r="2612" spans="1:11" x14ac:dyDescent="0.2">
      <c r="A2612" s="1">
        <v>45450</v>
      </c>
      <c r="B2612">
        <v>416.50787353515602</v>
      </c>
      <c r="C2612">
        <v>423.850006103515</v>
      </c>
      <c r="D2612">
        <v>426.27999877929602</v>
      </c>
      <c r="E2612">
        <v>423</v>
      </c>
      <c r="F2612">
        <v>426.20001220703102</v>
      </c>
      <c r="G2612" s="2">
        <v>13621700</v>
      </c>
      <c r="H2612" s="3">
        <f t="shared" si="40"/>
        <v>-1.5781615738088561E-3</v>
      </c>
      <c r="J2612" s="3">
        <v>1.2867708505465147E-2</v>
      </c>
      <c r="K2612" s="3">
        <v>0.8208110657026092</v>
      </c>
    </row>
    <row r="2613" spans="1:11" x14ac:dyDescent="0.2">
      <c r="A2613" s="1">
        <v>45453</v>
      </c>
      <c r="B2613">
        <v>420.458251953125</v>
      </c>
      <c r="C2613">
        <v>427.86999511718699</v>
      </c>
      <c r="D2613">
        <v>428.079986572265</v>
      </c>
      <c r="E2613">
        <v>423.89001464843699</v>
      </c>
      <c r="F2613">
        <v>424.70001220703102</v>
      </c>
      <c r="G2613" s="2">
        <v>13982900</v>
      </c>
      <c r="H2613" s="3">
        <f t="shared" si="40"/>
        <v>9.4845227881041883E-3</v>
      </c>
      <c r="J2613" s="3">
        <v>1.2868536862658875E-2</v>
      </c>
      <c r="K2613" s="3">
        <v>0.82112543225400814</v>
      </c>
    </row>
    <row r="2614" spans="1:11" x14ac:dyDescent="0.2">
      <c r="A2614" s="1">
        <v>45454</v>
      </c>
      <c r="B2614">
        <v>425.18490600585898</v>
      </c>
      <c r="C2614">
        <v>432.67999267578102</v>
      </c>
      <c r="D2614">
        <v>432.82000732421801</v>
      </c>
      <c r="E2614">
        <v>425.25</v>
      </c>
      <c r="F2614">
        <v>425.48001098632801</v>
      </c>
      <c r="G2614" s="2">
        <v>14551100</v>
      </c>
      <c r="H2614" s="3">
        <f t="shared" si="40"/>
        <v>1.1241672700625038E-2</v>
      </c>
      <c r="J2614" s="3">
        <v>1.2874896371623645E-2</v>
      </c>
      <c r="K2614" s="3">
        <v>0.82143979880540707</v>
      </c>
    </row>
    <row r="2615" spans="1:11" x14ac:dyDescent="0.2">
      <c r="A2615" s="1">
        <v>45455</v>
      </c>
      <c r="B2615">
        <v>433.41976928710898</v>
      </c>
      <c r="C2615">
        <v>441.05999755859301</v>
      </c>
      <c r="D2615">
        <v>443.39999389648398</v>
      </c>
      <c r="E2615">
        <v>433.25</v>
      </c>
      <c r="F2615">
        <v>435.32000732421801</v>
      </c>
      <c r="G2615" s="2">
        <v>22366200</v>
      </c>
      <c r="H2615" s="3">
        <f t="shared" si="40"/>
        <v>1.9367722524789022E-2</v>
      </c>
      <c r="J2615" s="3">
        <v>1.2900023312303333E-2</v>
      </c>
      <c r="K2615" s="3">
        <v>0.82175416535680601</v>
      </c>
    </row>
    <row r="2616" spans="1:11" x14ac:dyDescent="0.2">
      <c r="A2616" s="1">
        <v>45456</v>
      </c>
      <c r="B2616">
        <v>433.9306640625</v>
      </c>
      <c r="C2616">
        <v>441.579986572265</v>
      </c>
      <c r="D2616">
        <v>443.39001464843699</v>
      </c>
      <c r="E2616">
        <v>439.36999511718699</v>
      </c>
      <c r="F2616">
        <v>440.850006103515</v>
      </c>
      <c r="G2616" s="2">
        <v>15960600</v>
      </c>
      <c r="H2616" s="3">
        <f t="shared" si="40"/>
        <v>1.1787528202309439E-3</v>
      </c>
      <c r="J2616" s="3">
        <v>1.2905032737023925E-2</v>
      </c>
      <c r="K2616" s="3">
        <v>0.82206853190820495</v>
      </c>
    </row>
    <row r="2617" spans="1:11" x14ac:dyDescent="0.2">
      <c r="A2617" s="1">
        <v>45457</v>
      </c>
      <c r="B2617">
        <v>434.90359497070301</v>
      </c>
      <c r="C2617">
        <v>442.57000732421801</v>
      </c>
      <c r="D2617">
        <v>443.14001464843699</v>
      </c>
      <c r="E2617">
        <v>436.72000122070301</v>
      </c>
      <c r="F2617">
        <v>438.27999877929602</v>
      </c>
      <c r="G2617" s="2">
        <v>13582000</v>
      </c>
      <c r="H2617" s="3">
        <f t="shared" si="40"/>
        <v>2.2421344900918072E-3</v>
      </c>
      <c r="J2617" s="3">
        <v>1.291172145429309E-2</v>
      </c>
      <c r="K2617" s="3">
        <v>0.82238289845960388</v>
      </c>
    </row>
    <row r="2618" spans="1:11" x14ac:dyDescent="0.2">
      <c r="A2618" s="1">
        <v>45460</v>
      </c>
      <c r="B2618">
        <v>440.60308837890602</v>
      </c>
      <c r="C2618">
        <v>448.36999511718699</v>
      </c>
      <c r="D2618">
        <v>450.94000244140602</v>
      </c>
      <c r="E2618">
        <v>440.72000122070301</v>
      </c>
      <c r="F2618">
        <v>442.58999633789</v>
      </c>
      <c r="G2618" s="2">
        <v>20790000</v>
      </c>
      <c r="H2618" s="3">
        <f t="shared" si="40"/>
        <v>1.3105188078721186E-2</v>
      </c>
      <c r="J2618" s="3">
        <v>1.2930589759229338E-2</v>
      </c>
      <c r="K2618" s="3">
        <v>0.82269726501100282</v>
      </c>
    </row>
    <row r="2619" spans="1:11" x14ac:dyDescent="0.2">
      <c r="A2619" s="1">
        <v>45461</v>
      </c>
      <c r="B2619">
        <v>438.60827636718699</v>
      </c>
      <c r="C2619">
        <v>446.33999633789</v>
      </c>
      <c r="D2619">
        <v>450.14001464843699</v>
      </c>
      <c r="E2619">
        <v>444.89001464843699</v>
      </c>
      <c r="F2619">
        <v>449.70999145507801</v>
      </c>
      <c r="G2619" s="2">
        <v>17112500</v>
      </c>
      <c r="H2619" s="3">
        <f t="shared" si="40"/>
        <v>-4.5274580781048401E-3</v>
      </c>
      <c r="J2619" s="3">
        <v>1.293180707631314E-2</v>
      </c>
      <c r="K2619" s="3">
        <v>0.82301163156240176</v>
      </c>
    </row>
    <row r="2620" spans="1:11" x14ac:dyDescent="0.2">
      <c r="A2620" s="1">
        <v>45463</v>
      </c>
      <c r="B2620">
        <v>437.97937011718699</v>
      </c>
      <c r="C2620">
        <v>445.70001220703102</v>
      </c>
      <c r="D2620">
        <v>446.52999877929602</v>
      </c>
      <c r="E2620">
        <v>441.26998901367102</v>
      </c>
      <c r="F2620">
        <v>446.29998779296801</v>
      </c>
      <c r="G2620" s="2">
        <v>19877400</v>
      </c>
      <c r="H2620" s="3">
        <f t="shared" si="40"/>
        <v>-1.4338677218063145E-3</v>
      </c>
      <c r="J2620" s="3">
        <v>1.2961565082464155E-2</v>
      </c>
      <c r="K2620" s="3">
        <v>0.82332599811380069</v>
      </c>
    </row>
    <row r="2621" spans="1:11" x14ac:dyDescent="0.2">
      <c r="A2621" s="1">
        <v>45464</v>
      </c>
      <c r="B2621">
        <v>441.988677978515</v>
      </c>
      <c r="C2621">
        <v>449.77999877929602</v>
      </c>
      <c r="D2621">
        <v>450.579986572265</v>
      </c>
      <c r="E2621">
        <v>446.510009765625</v>
      </c>
      <c r="F2621">
        <v>447.38000488281199</v>
      </c>
      <c r="G2621" s="2">
        <v>34187100</v>
      </c>
      <c r="H2621" s="3">
        <f t="shared" si="40"/>
        <v>9.1541020762124781E-3</v>
      </c>
      <c r="J2621" s="3">
        <v>1.2961619050959383E-2</v>
      </c>
      <c r="K2621" s="3">
        <v>0.82364036466519963</v>
      </c>
    </row>
    <row r="2622" spans="1:11" x14ac:dyDescent="0.2">
      <c r="A2622" s="1">
        <v>45467</v>
      </c>
      <c r="B2622">
        <v>439.91522216796801</v>
      </c>
      <c r="C2622">
        <v>447.67001342773398</v>
      </c>
      <c r="D2622">
        <v>452.75</v>
      </c>
      <c r="E2622">
        <v>446.41000366210898</v>
      </c>
      <c r="F2622">
        <v>449.79998779296801</v>
      </c>
      <c r="G2622" s="2">
        <v>15913700</v>
      </c>
      <c r="H2622" s="3">
        <f t="shared" si="40"/>
        <v>-4.6911966614849865E-3</v>
      </c>
      <c r="J2622" s="3">
        <v>1.2979702090678114E-2</v>
      </c>
      <c r="K2622" s="3">
        <v>0.82395473121659857</v>
      </c>
    </row>
    <row r="2623" spans="1:11" x14ac:dyDescent="0.2">
      <c r="A2623" s="1">
        <v>45468</v>
      </c>
      <c r="B2623">
        <v>443.13839721679602</v>
      </c>
      <c r="C2623">
        <v>450.95001220703102</v>
      </c>
      <c r="D2623">
        <v>451.42001342773398</v>
      </c>
      <c r="E2623">
        <v>446.75</v>
      </c>
      <c r="F2623">
        <v>448.25</v>
      </c>
      <c r="G2623" s="2">
        <v>16413400</v>
      </c>
      <c r="H2623" s="3">
        <f t="shared" si="40"/>
        <v>7.3268095451295423E-3</v>
      </c>
      <c r="J2623" s="3">
        <v>1.2988009045237447E-2</v>
      </c>
      <c r="K2623" s="3">
        <v>0.82426909776799751</v>
      </c>
    </row>
    <row r="2624" spans="1:11" x14ac:dyDescent="0.2">
      <c r="A2624" s="1">
        <v>45469</v>
      </c>
      <c r="B2624">
        <v>444.32745361328102</v>
      </c>
      <c r="C2624">
        <v>452.16000366210898</v>
      </c>
      <c r="D2624">
        <v>453.600006103515</v>
      </c>
      <c r="E2624">
        <v>448.19000244140602</v>
      </c>
      <c r="F2624">
        <v>449</v>
      </c>
      <c r="G2624" s="2">
        <v>16507000</v>
      </c>
      <c r="H2624" s="3">
        <f t="shared" si="40"/>
        <v>2.6832619424383974E-3</v>
      </c>
      <c r="J2624" s="3">
        <v>1.2997129310732936E-2</v>
      </c>
      <c r="K2624" s="3">
        <v>0.82458346431939644</v>
      </c>
    </row>
    <row r="2625" spans="1:11" x14ac:dyDescent="0.2">
      <c r="A2625" s="1">
        <v>45470</v>
      </c>
      <c r="B2625">
        <v>445.00552368164</v>
      </c>
      <c r="C2625">
        <v>452.850006103515</v>
      </c>
      <c r="D2625">
        <v>456.17001342773398</v>
      </c>
      <c r="E2625">
        <v>451.76998901367102</v>
      </c>
      <c r="F2625">
        <v>452.17999267578102</v>
      </c>
      <c r="G2625" s="2">
        <v>14806300</v>
      </c>
      <c r="H2625" s="3">
        <f t="shared" si="40"/>
        <v>1.5260593574510928E-3</v>
      </c>
      <c r="J2625" s="3">
        <v>1.3009505424350642E-2</v>
      </c>
      <c r="K2625" s="3">
        <v>0.82489783087079538</v>
      </c>
    </row>
    <row r="2626" spans="1:11" x14ac:dyDescent="0.2">
      <c r="A2626" s="1">
        <v>45471</v>
      </c>
      <c r="B2626">
        <v>439.20773315429602</v>
      </c>
      <c r="C2626">
        <v>446.95001220703102</v>
      </c>
      <c r="D2626">
        <v>455.38000488281199</v>
      </c>
      <c r="E2626">
        <v>446.41000366210898</v>
      </c>
      <c r="F2626">
        <v>453.07000732421801</v>
      </c>
      <c r="G2626" s="2">
        <v>28362300</v>
      </c>
      <c r="H2626" s="3">
        <f t="shared" ref="H2626:H2689" si="41">B2626/B2625-1</f>
        <v>-1.302858103732607E-2</v>
      </c>
      <c r="J2626" s="3">
        <v>1.3015234015375077E-2</v>
      </c>
      <c r="K2626" s="3">
        <v>0.82521219742219432</v>
      </c>
    </row>
    <row r="2627" spans="1:11" x14ac:dyDescent="0.2">
      <c r="A2627" s="1">
        <v>45474</v>
      </c>
      <c r="B2627">
        <v>448.818267822265</v>
      </c>
      <c r="C2627">
        <v>456.73001098632801</v>
      </c>
      <c r="D2627">
        <v>457.36999511718699</v>
      </c>
      <c r="E2627">
        <v>445.66000366210898</v>
      </c>
      <c r="F2627">
        <v>448.66000366210898</v>
      </c>
      <c r="G2627" s="2">
        <v>17662800</v>
      </c>
      <c r="H2627" s="3">
        <f t="shared" si="41"/>
        <v>2.1881524259484531E-2</v>
      </c>
      <c r="J2627" s="3">
        <v>1.3029016149185502E-2</v>
      </c>
      <c r="K2627" s="3">
        <v>0.82552656397359325</v>
      </c>
    </row>
    <row r="2628" spans="1:11" x14ac:dyDescent="0.2">
      <c r="A2628" s="1">
        <v>45475</v>
      </c>
      <c r="B2628">
        <v>451.32409667968699</v>
      </c>
      <c r="C2628">
        <v>459.27999877929602</v>
      </c>
      <c r="D2628">
        <v>459.58999633789</v>
      </c>
      <c r="E2628">
        <v>453.10998535156199</v>
      </c>
      <c r="F2628">
        <v>453.20001220703102</v>
      </c>
      <c r="G2628" s="2">
        <v>13979800</v>
      </c>
      <c r="H2628" s="3">
        <f t="shared" si="41"/>
        <v>5.5831703766886509E-3</v>
      </c>
      <c r="J2628" s="3">
        <v>1.3105188078721186E-2</v>
      </c>
      <c r="K2628" s="3">
        <v>0.82584093052499219</v>
      </c>
    </row>
    <row r="2629" spans="1:11" x14ac:dyDescent="0.2">
      <c r="A2629" s="1">
        <v>45476</v>
      </c>
      <c r="B2629">
        <v>452.78826904296801</v>
      </c>
      <c r="C2629">
        <v>460.76998901367102</v>
      </c>
      <c r="D2629">
        <v>461.01998901367102</v>
      </c>
      <c r="E2629">
        <v>457.88000488281199</v>
      </c>
      <c r="F2629">
        <v>458.19000244140602</v>
      </c>
      <c r="G2629" s="2">
        <v>9932800</v>
      </c>
      <c r="H2629" s="3">
        <f t="shared" si="41"/>
        <v>3.2441705950394528E-3</v>
      </c>
      <c r="J2629" s="3">
        <v>1.3117198838619393E-2</v>
      </c>
      <c r="K2629" s="3">
        <v>0.82615529707639113</v>
      </c>
    </row>
    <row r="2630" spans="1:11" x14ac:dyDescent="0.2">
      <c r="A2630" s="1">
        <v>45478</v>
      </c>
      <c r="B2630">
        <v>459.460693359375</v>
      </c>
      <c r="C2630">
        <v>467.55999755859301</v>
      </c>
      <c r="D2630">
        <v>468.350006103515</v>
      </c>
      <c r="E2630">
        <v>458.97000122070301</v>
      </c>
      <c r="F2630">
        <v>459.60998535156199</v>
      </c>
      <c r="G2630" s="2">
        <v>16000300</v>
      </c>
      <c r="H2630" s="3">
        <f t="shared" si="41"/>
        <v>1.4736301208752911E-2</v>
      </c>
      <c r="J2630" s="3">
        <v>1.3136106735777586E-2</v>
      </c>
      <c r="K2630" s="3">
        <v>0.82646966362778995</v>
      </c>
    </row>
    <row r="2631" spans="1:11" x14ac:dyDescent="0.2">
      <c r="A2631" s="1">
        <v>45481</v>
      </c>
      <c r="B2631">
        <v>458.16357421875</v>
      </c>
      <c r="C2631">
        <v>466.239990234375</v>
      </c>
      <c r="D2631">
        <v>467.70001220703102</v>
      </c>
      <c r="E2631">
        <v>464.45999145507801</v>
      </c>
      <c r="F2631">
        <v>466.54998779296801</v>
      </c>
      <c r="G2631" s="2">
        <v>12962300</v>
      </c>
      <c r="H2631" s="3">
        <f t="shared" si="41"/>
        <v>-2.8231340773484659E-3</v>
      </c>
      <c r="J2631" s="3">
        <v>1.3139656314417492E-2</v>
      </c>
      <c r="K2631" s="3">
        <v>0.82678403017918889</v>
      </c>
    </row>
    <row r="2632" spans="1:11" x14ac:dyDescent="0.2">
      <c r="A2632" s="1">
        <v>45482</v>
      </c>
      <c r="B2632">
        <v>451.57965087890602</v>
      </c>
      <c r="C2632">
        <v>459.54000854492102</v>
      </c>
      <c r="D2632">
        <v>467.329986572265</v>
      </c>
      <c r="E2632">
        <v>458</v>
      </c>
      <c r="F2632">
        <v>467</v>
      </c>
      <c r="G2632" s="2">
        <v>17207200</v>
      </c>
      <c r="H2632" s="3">
        <f t="shared" si="41"/>
        <v>-1.437024615296123E-2</v>
      </c>
      <c r="J2632" s="3">
        <v>1.314168264623583E-2</v>
      </c>
      <c r="K2632" s="3">
        <v>0.82709839673058783</v>
      </c>
    </row>
    <row r="2633" spans="1:11" x14ac:dyDescent="0.2">
      <c r="A2633" s="1">
        <v>45483</v>
      </c>
      <c r="B2633">
        <v>458.17337036132801</v>
      </c>
      <c r="C2633">
        <v>466.25</v>
      </c>
      <c r="D2633">
        <v>466.45999145507801</v>
      </c>
      <c r="E2633">
        <v>458.85998535156199</v>
      </c>
      <c r="F2633">
        <v>461.22000122070301</v>
      </c>
      <c r="G2633" s="2">
        <v>18196100</v>
      </c>
      <c r="H2633" s="3">
        <f t="shared" si="41"/>
        <v>1.4601453961861743E-2</v>
      </c>
      <c r="J2633" s="3">
        <v>1.3197636327229256E-2</v>
      </c>
      <c r="K2633" s="3">
        <v>0.82741276328198676</v>
      </c>
    </row>
    <row r="2634" spans="1:11" x14ac:dyDescent="0.2">
      <c r="A2634" s="1">
        <v>45484</v>
      </c>
      <c r="B2634">
        <v>446.82345581054602</v>
      </c>
      <c r="C2634">
        <v>454.70001220703102</v>
      </c>
      <c r="D2634">
        <v>464.77999877929602</v>
      </c>
      <c r="E2634">
        <v>451.54998779296801</v>
      </c>
      <c r="F2634">
        <v>462.98001098632801</v>
      </c>
      <c r="G2634" s="2">
        <v>23111200</v>
      </c>
      <c r="H2634" s="3">
        <f t="shared" si="41"/>
        <v>-2.4772095641069525E-2</v>
      </c>
      <c r="J2634" s="3">
        <v>1.321554833207661E-2</v>
      </c>
      <c r="K2634" s="3">
        <v>0.8277271298333857</v>
      </c>
    </row>
    <row r="2635" spans="1:11" x14ac:dyDescent="0.2">
      <c r="A2635" s="1">
        <v>45485</v>
      </c>
      <c r="B2635">
        <v>445.69338989257801</v>
      </c>
      <c r="C2635">
        <v>453.54998779296801</v>
      </c>
      <c r="D2635">
        <v>456.35998535156199</v>
      </c>
      <c r="E2635">
        <v>450.64999389648398</v>
      </c>
      <c r="F2635">
        <v>454.329986572265</v>
      </c>
      <c r="G2635" s="2">
        <v>16324300</v>
      </c>
      <c r="H2635" s="3">
        <f t="shared" si="41"/>
        <v>-2.5291105542301073E-3</v>
      </c>
      <c r="J2635" s="3">
        <v>1.3224066792122402E-2</v>
      </c>
      <c r="K2635" s="3">
        <v>0.82804149638478464</v>
      </c>
    </row>
    <row r="2636" spans="1:11" x14ac:dyDescent="0.2">
      <c r="A2636" s="1">
        <v>45488</v>
      </c>
      <c r="B2636">
        <v>446.09625244140602</v>
      </c>
      <c r="C2636">
        <v>453.95999145507801</v>
      </c>
      <c r="D2636">
        <v>457.260009765625</v>
      </c>
      <c r="E2636">
        <v>451.42999267578102</v>
      </c>
      <c r="F2636">
        <v>453.29998779296801</v>
      </c>
      <c r="G2636" s="2">
        <v>14429400</v>
      </c>
      <c r="H2636" s="3">
        <f t="shared" si="41"/>
        <v>9.039006589823817E-4</v>
      </c>
      <c r="J2636" s="3">
        <v>1.3226635613760918E-2</v>
      </c>
      <c r="K2636" s="3">
        <v>0.82835586293618357</v>
      </c>
    </row>
    <row r="2637" spans="1:11" x14ac:dyDescent="0.2">
      <c r="A2637" s="1">
        <v>45489</v>
      </c>
      <c r="B2637">
        <v>441.73321533203102</v>
      </c>
      <c r="C2637">
        <v>449.51998901367102</v>
      </c>
      <c r="D2637">
        <v>454.29998779296801</v>
      </c>
      <c r="E2637">
        <v>446.66000366210898</v>
      </c>
      <c r="F2637">
        <v>454.22000122070301</v>
      </c>
      <c r="G2637" s="2">
        <v>17175700</v>
      </c>
      <c r="H2637" s="3">
        <f t="shared" si="41"/>
        <v>-9.7804836635521086E-3</v>
      </c>
      <c r="J2637" s="3">
        <v>1.3248199535052185E-2</v>
      </c>
      <c r="K2637" s="3">
        <v>0.82867022948758251</v>
      </c>
    </row>
    <row r="2638" spans="1:11" x14ac:dyDescent="0.2">
      <c r="A2638" s="1">
        <v>45490</v>
      </c>
      <c r="B2638">
        <v>435.83709716796801</v>
      </c>
      <c r="C2638">
        <v>443.51998901367102</v>
      </c>
      <c r="D2638">
        <v>444.850006103515</v>
      </c>
      <c r="E2638">
        <v>439.17999267578102</v>
      </c>
      <c r="F2638">
        <v>442.58999633789</v>
      </c>
      <c r="G2638" s="2">
        <v>21778000</v>
      </c>
      <c r="H2638" s="3">
        <f t="shared" si="41"/>
        <v>-1.3347690323968875E-2</v>
      </c>
      <c r="J2638" s="3">
        <v>1.3249584754481791E-2</v>
      </c>
      <c r="K2638" s="3">
        <v>0.82898459603898145</v>
      </c>
    </row>
    <row r="2639" spans="1:11" x14ac:dyDescent="0.2">
      <c r="A2639" s="1">
        <v>45491</v>
      </c>
      <c r="B2639">
        <v>432.74169921875</v>
      </c>
      <c r="C2639">
        <v>440.36999511718699</v>
      </c>
      <c r="D2639">
        <v>444.64999389648398</v>
      </c>
      <c r="E2639">
        <v>434.39999389648398</v>
      </c>
      <c r="F2639">
        <v>444.33999633789</v>
      </c>
      <c r="G2639" s="2">
        <v>20794800</v>
      </c>
      <c r="H2639" s="3">
        <f t="shared" si="41"/>
        <v>-7.1021901745667027E-3</v>
      </c>
      <c r="J2639" s="3">
        <v>1.3337662489906643E-2</v>
      </c>
      <c r="K2639" s="3">
        <v>0.82929896259038038</v>
      </c>
    </row>
    <row r="2640" spans="1:11" x14ac:dyDescent="0.2">
      <c r="A2640" s="1">
        <v>45492</v>
      </c>
      <c r="B2640">
        <v>429.53811645507801</v>
      </c>
      <c r="C2640">
        <v>437.10998535156199</v>
      </c>
      <c r="D2640">
        <v>441.14001464843699</v>
      </c>
      <c r="E2640">
        <v>432</v>
      </c>
      <c r="F2640">
        <v>433.100006103515</v>
      </c>
      <c r="G2640" s="2">
        <v>20940400</v>
      </c>
      <c r="H2640" s="3">
        <f t="shared" si="41"/>
        <v>-7.4029906742418827E-3</v>
      </c>
      <c r="J2640" s="3">
        <v>1.3349342935300212E-2</v>
      </c>
      <c r="K2640" s="3">
        <v>0.82961332914177932</v>
      </c>
    </row>
    <row r="2641" spans="1:11" x14ac:dyDescent="0.2">
      <c r="A2641" s="1">
        <v>45495</v>
      </c>
      <c r="B2641">
        <v>435.26715087890602</v>
      </c>
      <c r="C2641">
        <v>442.94000244140602</v>
      </c>
      <c r="D2641">
        <v>444.600006103515</v>
      </c>
      <c r="E2641">
        <v>438.91000366210898</v>
      </c>
      <c r="F2641">
        <v>441.79000854492102</v>
      </c>
      <c r="G2641" s="2">
        <v>15808800</v>
      </c>
      <c r="H2641" s="3">
        <f t="shared" si="41"/>
        <v>1.3337662489906643E-2</v>
      </c>
      <c r="J2641" s="3">
        <v>1.3405504384347955E-2</v>
      </c>
      <c r="K2641" s="3">
        <v>0.82992769569317826</v>
      </c>
    </row>
    <row r="2642" spans="1:11" x14ac:dyDescent="0.2">
      <c r="A2642" s="1">
        <v>45496</v>
      </c>
      <c r="B2642">
        <v>437.14410400390602</v>
      </c>
      <c r="C2642">
        <v>444.850006103515</v>
      </c>
      <c r="D2642">
        <v>448.39001464843699</v>
      </c>
      <c r="E2642">
        <v>443.100006103515</v>
      </c>
      <c r="F2642">
        <v>443.89999389648398</v>
      </c>
      <c r="G2642" s="2">
        <v>13107100</v>
      </c>
      <c r="H2642" s="3">
        <f t="shared" si="41"/>
        <v>4.3121864841166868E-3</v>
      </c>
      <c r="J2642" s="3">
        <v>1.340892861220655E-2</v>
      </c>
      <c r="K2642" s="3">
        <v>0.83024206224457719</v>
      </c>
    </row>
    <row r="2643" spans="1:11" x14ac:dyDescent="0.2">
      <c r="A2643" s="1">
        <v>45497</v>
      </c>
      <c r="B2643">
        <v>421.47039794921801</v>
      </c>
      <c r="C2643">
        <v>428.89999389648398</v>
      </c>
      <c r="D2643">
        <v>441.48001098632801</v>
      </c>
      <c r="E2643">
        <v>427.58999633789</v>
      </c>
      <c r="F2643">
        <v>440.45001220703102</v>
      </c>
      <c r="G2643" s="2">
        <v>26805800</v>
      </c>
      <c r="H2643" s="3">
        <f t="shared" si="41"/>
        <v>-3.5854780863172619E-2</v>
      </c>
      <c r="J2643" s="3">
        <v>1.3443381438314139E-2</v>
      </c>
      <c r="K2643" s="3">
        <v>0.83055642879597613</v>
      </c>
    </row>
    <row r="2644" spans="1:11" x14ac:dyDescent="0.2">
      <c r="A2644" s="1">
        <v>45498</v>
      </c>
      <c r="B2644">
        <v>411.15228271484301</v>
      </c>
      <c r="C2644">
        <v>418.39999389648398</v>
      </c>
      <c r="D2644">
        <v>429.79998779296801</v>
      </c>
      <c r="E2644">
        <v>417.510009765625</v>
      </c>
      <c r="F2644">
        <v>428.79998779296801</v>
      </c>
      <c r="G2644" s="2">
        <v>29943800</v>
      </c>
      <c r="H2644" s="3">
        <f t="shared" si="41"/>
        <v>-2.4481233520979528E-2</v>
      </c>
      <c r="J2644" s="3">
        <v>1.3498988042954796E-2</v>
      </c>
      <c r="K2644" s="3">
        <v>0.83087079534737507</v>
      </c>
    </row>
    <row r="2645" spans="1:11" x14ac:dyDescent="0.2">
      <c r="A2645" s="1">
        <v>45499</v>
      </c>
      <c r="B2645">
        <v>417.90325927734301</v>
      </c>
      <c r="C2645">
        <v>425.26998901367102</v>
      </c>
      <c r="D2645">
        <v>428.92001342773398</v>
      </c>
      <c r="E2645">
        <v>417.26998901367102</v>
      </c>
      <c r="F2645">
        <v>418.20001220703102</v>
      </c>
      <c r="G2645" s="2">
        <v>23583800</v>
      </c>
      <c r="H2645" s="3">
        <f t="shared" si="41"/>
        <v>1.6419649960163651E-2</v>
      </c>
      <c r="J2645" s="3">
        <v>1.3501403188558303E-2</v>
      </c>
      <c r="K2645" s="3">
        <v>0.83118516189877401</v>
      </c>
    </row>
    <row r="2646" spans="1:11" x14ac:dyDescent="0.2">
      <c r="A2646" s="1">
        <v>45502</v>
      </c>
      <c r="B2646">
        <v>419.33795166015602</v>
      </c>
      <c r="C2646">
        <v>426.73001098632801</v>
      </c>
      <c r="D2646">
        <v>432.14999389648398</v>
      </c>
      <c r="E2646">
        <v>424.70001220703102</v>
      </c>
      <c r="F2646">
        <v>431.579986572265</v>
      </c>
      <c r="G2646" s="2">
        <v>15125800</v>
      </c>
      <c r="H2646" s="3">
        <f t="shared" si="41"/>
        <v>3.4330729683562655E-3</v>
      </c>
      <c r="J2646" s="3">
        <v>1.3521147084123886E-2</v>
      </c>
      <c r="K2646" s="3">
        <v>0.83149952845017294</v>
      </c>
    </row>
    <row r="2647" spans="1:11" x14ac:dyDescent="0.2">
      <c r="A2647" s="1">
        <v>45503</v>
      </c>
      <c r="B2647">
        <v>415.593994140625</v>
      </c>
      <c r="C2647">
        <v>422.92001342773398</v>
      </c>
      <c r="D2647">
        <v>429.04998779296801</v>
      </c>
      <c r="E2647">
        <v>417.35998535156199</v>
      </c>
      <c r="F2647">
        <v>427.72000122070301</v>
      </c>
      <c r="G2647" s="2">
        <v>32687600</v>
      </c>
      <c r="H2647" s="3">
        <f t="shared" si="41"/>
        <v>-8.9282582335052929E-3</v>
      </c>
      <c r="J2647" s="3">
        <v>1.352411871623671E-2</v>
      </c>
      <c r="K2647" s="3">
        <v>0.83181389500157188</v>
      </c>
    </row>
    <row r="2648" spans="1:11" x14ac:dyDescent="0.2">
      <c r="A2648" s="1">
        <v>45504</v>
      </c>
      <c r="B2648">
        <v>411.10317993164</v>
      </c>
      <c r="C2648">
        <v>418.350006103515</v>
      </c>
      <c r="D2648">
        <v>421.77999877929602</v>
      </c>
      <c r="E2648">
        <v>412.20999145507801</v>
      </c>
      <c r="F2648">
        <v>420.5</v>
      </c>
      <c r="G2648" s="2">
        <v>42891400</v>
      </c>
      <c r="H2648" s="3">
        <f t="shared" si="41"/>
        <v>-1.0805772634590705E-2</v>
      </c>
      <c r="J2648" s="3">
        <v>1.3574804927539486E-2</v>
      </c>
      <c r="K2648" s="3">
        <v>0.83212826155297082</v>
      </c>
    </row>
    <row r="2649" spans="1:11" x14ac:dyDescent="0.2">
      <c r="A2649" s="1">
        <v>45505</v>
      </c>
      <c r="B2649">
        <v>409.88461303710898</v>
      </c>
      <c r="C2649">
        <v>417.10998535156199</v>
      </c>
      <c r="D2649">
        <v>427.45999145507801</v>
      </c>
      <c r="E2649">
        <v>413.08999633789</v>
      </c>
      <c r="F2649">
        <v>420.79000854492102</v>
      </c>
      <c r="G2649" s="2">
        <v>30296400</v>
      </c>
      <c r="H2649" s="3">
        <f t="shared" si="41"/>
        <v>-2.96413881968427E-3</v>
      </c>
      <c r="J2649" s="3">
        <v>1.3676194199087055E-2</v>
      </c>
      <c r="K2649" s="3">
        <v>0.83244262810436964</v>
      </c>
    </row>
    <row r="2650" spans="1:11" x14ac:dyDescent="0.2">
      <c r="A2650" s="1">
        <v>45506</v>
      </c>
      <c r="B2650">
        <v>401.41390991210898</v>
      </c>
      <c r="C2650">
        <v>408.489990234375</v>
      </c>
      <c r="D2650">
        <v>415</v>
      </c>
      <c r="E2650">
        <v>404.33999633789</v>
      </c>
      <c r="F2650">
        <v>412.489990234375</v>
      </c>
      <c r="G2650" s="2">
        <v>29437900</v>
      </c>
      <c r="H2650" s="3">
        <f t="shared" si="41"/>
        <v>-2.0666067609210526E-2</v>
      </c>
      <c r="J2650" s="3">
        <v>1.368991378427542E-2</v>
      </c>
      <c r="K2650" s="3">
        <v>0.83275699465576858</v>
      </c>
    </row>
    <row r="2651" spans="1:11" x14ac:dyDescent="0.2">
      <c r="A2651" s="1">
        <v>45509</v>
      </c>
      <c r="B2651">
        <v>388.30502319335898</v>
      </c>
      <c r="C2651">
        <v>395.14999389648398</v>
      </c>
      <c r="D2651">
        <v>401.04000854492102</v>
      </c>
      <c r="E2651">
        <v>385.579986572265</v>
      </c>
      <c r="F2651">
        <v>389.17001342773398</v>
      </c>
      <c r="G2651" s="2">
        <v>40709200</v>
      </c>
      <c r="H2651" s="3">
        <f t="shared" si="41"/>
        <v>-3.2656782425950936E-2</v>
      </c>
      <c r="J2651" s="3">
        <v>1.3740412143075975E-2</v>
      </c>
      <c r="K2651" s="3">
        <v>0.83307136120716752</v>
      </c>
    </row>
    <row r="2652" spans="1:11" x14ac:dyDescent="0.2">
      <c r="A2652" s="1">
        <v>45510</v>
      </c>
      <c r="B2652">
        <v>392.68777465820301</v>
      </c>
      <c r="C2652">
        <v>399.60998535156199</v>
      </c>
      <c r="D2652">
        <v>405.67001342773398</v>
      </c>
      <c r="E2652">
        <v>398.5</v>
      </c>
      <c r="F2652">
        <v>400</v>
      </c>
      <c r="G2652" s="2">
        <v>24946500</v>
      </c>
      <c r="H2652" s="3">
        <f t="shared" si="41"/>
        <v>1.1286878106291143E-2</v>
      </c>
      <c r="J2652" s="3">
        <v>1.37648256955889E-2</v>
      </c>
      <c r="K2652" s="3">
        <v>0.83338572775856645</v>
      </c>
    </row>
    <row r="2653" spans="1:11" x14ac:dyDescent="0.2">
      <c r="A2653" s="1">
        <v>45511</v>
      </c>
      <c r="B2653">
        <v>391.52816772460898</v>
      </c>
      <c r="C2653">
        <v>398.42999267578102</v>
      </c>
      <c r="D2653">
        <v>410.079986572265</v>
      </c>
      <c r="E2653">
        <v>397.47000122070301</v>
      </c>
      <c r="F2653">
        <v>408.64001464843699</v>
      </c>
      <c r="G2653" s="2">
        <v>20650900</v>
      </c>
      <c r="H2653" s="3">
        <f t="shared" si="41"/>
        <v>-2.9529998345463326E-3</v>
      </c>
      <c r="J2653" s="3">
        <v>1.3791711951071317E-2</v>
      </c>
      <c r="K2653" s="3">
        <v>0.83370009430996539</v>
      </c>
    </row>
    <row r="2654" spans="1:11" x14ac:dyDescent="0.2">
      <c r="A2654" s="1">
        <v>45512</v>
      </c>
      <c r="B2654">
        <v>395.71438598632801</v>
      </c>
      <c r="C2654">
        <v>402.69000244140602</v>
      </c>
      <c r="D2654">
        <v>405.85998535156199</v>
      </c>
      <c r="E2654">
        <v>399.94000244140602</v>
      </c>
      <c r="F2654">
        <v>402.44000244140602</v>
      </c>
      <c r="G2654" s="2">
        <v>20203000</v>
      </c>
      <c r="H2654" s="3">
        <f t="shared" si="41"/>
        <v>1.069199768192286E-2</v>
      </c>
      <c r="J2654" s="3">
        <v>1.3799689907491031E-2</v>
      </c>
      <c r="K2654" s="3">
        <v>0.83401446086136433</v>
      </c>
    </row>
    <row r="2655" spans="1:11" x14ac:dyDescent="0.2">
      <c r="A2655" s="1">
        <v>45513</v>
      </c>
      <c r="B2655">
        <v>398.98669433593699</v>
      </c>
      <c r="C2655">
        <v>406.01998901367102</v>
      </c>
      <c r="D2655">
        <v>408.04998779296801</v>
      </c>
      <c r="E2655">
        <v>402.260009765625</v>
      </c>
      <c r="F2655">
        <v>404.02999877929602</v>
      </c>
      <c r="G2655" s="2">
        <v>19276700</v>
      </c>
      <c r="H2655" s="3">
        <f t="shared" si="41"/>
        <v>8.269369185183173E-3</v>
      </c>
      <c r="J2655" s="3">
        <v>1.382026629932831E-2</v>
      </c>
      <c r="K2655" s="3">
        <v>0.83432882741276326</v>
      </c>
    </row>
    <row r="2656" spans="1:11" x14ac:dyDescent="0.2">
      <c r="A2656" s="1">
        <v>45516</v>
      </c>
      <c r="B2656">
        <v>399.76306152343699</v>
      </c>
      <c r="C2656">
        <v>406.80999755859301</v>
      </c>
      <c r="D2656">
        <v>408.760009765625</v>
      </c>
      <c r="E2656">
        <v>404.239990234375</v>
      </c>
      <c r="F2656">
        <v>407.05999755859301</v>
      </c>
      <c r="G2656" s="2">
        <v>16762900</v>
      </c>
      <c r="H2656" s="3">
        <f t="shared" si="41"/>
        <v>1.9458473140117061E-3</v>
      </c>
      <c r="J2656" s="3">
        <v>1.3826036185691448E-2</v>
      </c>
      <c r="K2656" s="3">
        <v>0.8346431939641622</v>
      </c>
    </row>
    <row r="2657" spans="1:11" x14ac:dyDescent="0.2">
      <c r="A2657" s="1">
        <v>45517</v>
      </c>
      <c r="B2657">
        <v>406.83831787109301</v>
      </c>
      <c r="C2657">
        <v>414.010009765625</v>
      </c>
      <c r="D2657">
        <v>414.95001220703102</v>
      </c>
      <c r="E2657">
        <v>409.57000732421801</v>
      </c>
      <c r="F2657">
        <v>409.58999633789</v>
      </c>
      <c r="G2657" s="2">
        <v>19414300</v>
      </c>
      <c r="H2657" s="3">
        <f t="shared" si="41"/>
        <v>1.769862458200433E-2</v>
      </c>
      <c r="J2657" s="3">
        <v>1.3870667442045015E-2</v>
      </c>
      <c r="K2657" s="3">
        <v>0.83495756051556114</v>
      </c>
    </row>
    <row r="2658" spans="1:11" x14ac:dyDescent="0.2">
      <c r="A2658" s="1">
        <v>45518</v>
      </c>
      <c r="B2658">
        <v>409.63894653320301</v>
      </c>
      <c r="C2658">
        <v>416.85998535156199</v>
      </c>
      <c r="D2658">
        <v>417.72000122070301</v>
      </c>
      <c r="E2658">
        <v>412.45001220703102</v>
      </c>
      <c r="F2658">
        <v>414.79998779296801</v>
      </c>
      <c r="G2658" s="2">
        <v>18267000</v>
      </c>
      <c r="H2658" s="3">
        <f t="shared" si="41"/>
        <v>6.8838861510518434E-3</v>
      </c>
      <c r="J2658" s="3">
        <v>1.387381224076778E-2</v>
      </c>
      <c r="K2658" s="3">
        <v>0.83527192706696007</v>
      </c>
    </row>
    <row r="2659" spans="1:11" x14ac:dyDescent="0.2">
      <c r="A2659" s="1">
        <v>45519</v>
      </c>
      <c r="B2659">
        <v>414.482421875</v>
      </c>
      <c r="C2659">
        <v>421.02999877929602</v>
      </c>
      <c r="D2659">
        <v>421.10998535156199</v>
      </c>
      <c r="E2659">
        <v>417.66000366210898</v>
      </c>
      <c r="F2659">
        <v>419.79998779296801</v>
      </c>
      <c r="G2659" s="2">
        <v>20752100</v>
      </c>
      <c r="H2659" s="3">
        <f t="shared" si="41"/>
        <v>1.1823766716489104E-2</v>
      </c>
      <c r="J2659" s="3">
        <v>1.3876898847696495E-2</v>
      </c>
      <c r="K2659" s="3">
        <v>0.83558629361835901</v>
      </c>
    </row>
    <row r="2660" spans="1:11" x14ac:dyDescent="0.2">
      <c r="A2660" s="1">
        <v>45520</v>
      </c>
      <c r="B2660">
        <v>411.96224975585898</v>
      </c>
      <c r="C2660">
        <v>418.47000122070301</v>
      </c>
      <c r="D2660">
        <v>421.33999633789</v>
      </c>
      <c r="E2660">
        <v>417.29998779296801</v>
      </c>
      <c r="F2660">
        <v>420.600006103515</v>
      </c>
      <c r="G2660" s="2">
        <v>22775600</v>
      </c>
      <c r="H2660" s="3">
        <f t="shared" si="41"/>
        <v>-6.0802870909228979E-3</v>
      </c>
      <c r="J2660" s="3">
        <v>1.3889056554802659E-2</v>
      </c>
      <c r="K2660" s="3">
        <v>0.83590066016975795</v>
      </c>
    </row>
    <row r="2661" spans="1:11" x14ac:dyDescent="0.2">
      <c r="A2661" s="1">
        <v>45523</v>
      </c>
      <c r="B2661">
        <v>414.97467041015602</v>
      </c>
      <c r="C2661">
        <v>421.52999877929602</v>
      </c>
      <c r="D2661">
        <v>421.75</v>
      </c>
      <c r="E2661">
        <v>416.45999145507801</v>
      </c>
      <c r="F2661">
        <v>418.95999145507801</v>
      </c>
      <c r="G2661" s="2">
        <v>15234000</v>
      </c>
      <c r="H2661" s="3">
        <f t="shared" si="41"/>
        <v>7.3123706263917843E-3</v>
      </c>
      <c r="J2661" s="3">
        <v>1.3951674053906737E-2</v>
      </c>
      <c r="K2661" s="3">
        <v>0.83621502672115688</v>
      </c>
    </row>
    <row r="2662" spans="1:11" x14ac:dyDescent="0.2">
      <c r="A2662" s="1">
        <v>45524</v>
      </c>
      <c r="B2662">
        <v>418.19381713867102</v>
      </c>
      <c r="C2662">
        <v>424.79998779296801</v>
      </c>
      <c r="D2662">
        <v>425.85998535156199</v>
      </c>
      <c r="E2662">
        <v>421.64001464843699</v>
      </c>
      <c r="F2662">
        <v>421.70001220703102</v>
      </c>
      <c r="G2662" s="2">
        <v>16387600</v>
      </c>
      <c r="H2662" s="3">
        <f t="shared" si="41"/>
        <v>7.7574535461002458E-3</v>
      </c>
      <c r="J2662" s="3">
        <v>1.3953596659826761E-2</v>
      </c>
      <c r="K2662" s="3">
        <v>0.83652939327255582</v>
      </c>
    </row>
    <row r="2663" spans="1:11" x14ac:dyDescent="0.2">
      <c r="A2663" s="1">
        <v>45525</v>
      </c>
      <c r="B2663">
        <v>417.54409790039</v>
      </c>
      <c r="C2663">
        <v>424.14001464843699</v>
      </c>
      <c r="D2663">
        <v>426.39999389648398</v>
      </c>
      <c r="E2663">
        <v>421.72000122070301</v>
      </c>
      <c r="F2663">
        <v>424.079986572265</v>
      </c>
      <c r="G2663" s="2">
        <v>16067300</v>
      </c>
      <c r="H2663" s="3">
        <f t="shared" si="41"/>
        <v>-1.5536318607637378E-3</v>
      </c>
      <c r="J2663" s="3">
        <v>1.396144876124672E-2</v>
      </c>
      <c r="K2663" s="3">
        <v>0.83684375982395476</v>
      </c>
    </row>
    <row r="2664" spans="1:11" x14ac:dyDescent="0.2">
      <c r="A2664" s="1">
        <v>45526</v>
      </c>
      <c r="B2664">
        <v>409.087646484375</v>
      </c>
      <c r="C2664">
        <v>415.54998779296801</v>
      </c>
      <c r="D2664">
        <v>426.79000854492102</v>
      </c>
      <c r="E2664">
        <v>414.60998535156199</v>
      </c>
      <c r="F2664">
        <v>424.35998535156199</v>
      </c>
      <c r="G2664" s="2">
        <v>19361900</v>
      </c>
      <c r="H2664" s="3">
        <f t="shared" si="41"/>
        <v>-2.0252834271968001E-2</v>
      </c>
      <c r="J2664" s="3">
        <v>1.399685252800098E-2</v>
      </c>
      <c r="K2664" s="3">
        <v>0.8371581263753537</v>
      </c>
    </row>
    <row r="2665" spans="1:11" x14ac:dyDescent="0.2">
      <c r="A2665" s="1">
        <v>45527</v>
      </c>
      <c r="B2665">
        <v>410.30841064453102</v>
      </c>
      <c r="C2665">
        <v>416.79000854492102</v>
      </c>
      <c r="D2665">
        <v>419.260009765625</v>
      </c>
      <c r="E2665">
        <v>412.08999633789</v>
      </c>
      <c r="F2665">
        <v>416.98001098632801</v>
      </c>
      <c r="G2665" s="2">
        <v>18493800</v>
      </c>
      <c r="H2665" s="3">
        <f t="shared" si="41"/>
        <v>2.9841139683561835E-3</v>
      </c>
      <c r="J2665" s="3">
        <v>1.399854901527009E-2</v>
      </c>
      <c r="K2665" s="3">
        <v>0.83747249292675263</v>
      </c>
    </row>
    <row r="2666" spans="1:11" x14ac:dyDescent="0.2">
      <c r="A2666" s="1">
        <v>45530</v>
      </c>
      <c r="B2666">
        <v>407.05966186523398</v>
      </c>
      <c r="C2666">
        <v>413.489990234375</v>
      </c>
      <c r="D2666">
        <v>417.27999877929602</v>
      </c>
      <c r="E2666">
        <v>411.33999633789</v>
      </c>
      <c r="F2666">
        <v>416.36999511718699</v>
      </c>
      <c r="G2666" s="2">
        <v>13152800</v>
      </c>
      <c r="H2666" s="3">
        <f t="shared" si="41"/>
        <v>-7.9178215581634515E-3</v>
      </c>
      <c r="J2666" s="3">
        <v>1.4033475106632887E-2</v>
      </c>
      <c r="K2666" s="3">
        <v>0.83778685947815157</v>
      </c>
    </row>
    <row r="2667" spans="1:11" x14ac:dyDescent="0.2">
      <c r="A2667" s="1">
        <v>45531</v>
      </c>
      <c r="B2667">
        <v>407.404205322265</v>
      </c>
      <c r="C2667">
        <v>413.83999633789</v>
      </c>
      <c r="D2667">
        <v>414.35998535156199</v>
      </c>
      <c r="E2667">
        <v>410.25</v>
      </c>
      <c r="F2667">
        <v>412.85998535156199</v>
      </c>
      <c r="G2667" s="2">
        <v>13492900</v>
      </c>
      <c r="H2667" s="3">
        <f t="shared" si="41"/>
        <v>8.4642004430568463E-4</v>
      </c>
      <c r="J2667" s="3">
        <v>1.4072663810883235E-2</v>
      </c>
      <c r="K2667" s="3">
        <v>0.83810122602955051</v>
      </c>
    </row>
    <row r="2668" spans="1:11" x14ac:dyDescent="0.2">
      <c r="A2668" s="1">
        <v>45532</v>
      </c>
      <c r="B2668">
        <v>404.21466064453102</v>
      </c>
      <c r="C2668">
        <v>410.600006103515</v>
      </c>
      <c r="D2668">
        <v>415</v>
      </c>
      <c r="E2668">
        <v>407.30999755859301</v>
      </c>
      <c r="F2668">
        <v>414.88000488281199</v>
      </c>
      <c r="G2668" s="2">
        <v>14882700</v>
      </c>
      <c r="H2668" s="3">
        <f t="shared" si="41"/>
        <v>-7.8289439236666203E-3</v>
      </c>
      <c r="J2668" s="3">
        <v>1.4079256327953038E-2</v>
      </c>
      <c r="K2668" s="3">
        <v>0.83841559258094933</v>
      </c>
    </row>
    <row r="2669" spans="1:11" x14ac:dyDescent="0.2">
      <c r="A2669" s="1">
        <v>45533</v>
      </c>
      <c r="B2669">
        <v>406.69546508789</v>
      </c>
      <c r="C2669">
        <v>413.11999511718699</v>
      </c>
      <c r="D2669">
        <v>422.04998779296801</v>
      </c>
      <c r="E2669">
        <v>410.600006103515</v>
      </c>
      <c r="F2669">
        <v>414.94000244140602</v>
      </c>
      <c r="G2669" s="2">
        <v>17045200</v>
      </c>
      <c r="H2669" s="3">
        <f t="shared" si="41"/>
        <v>6.1373440522995981E-3</v>
      </c>
      <c r="J2669" s="3">
        <v>1.4082206835396294E-2</v>
      </c>
      <c r="K2669" s="3">
        <v>0.83872995913234827</v>
      </c>
    </row>
    <row r="2670" spans="1:11" x14ac:dyDescent="0.2">
      <c r="A2670" s="1">
        <v>45534</v>
      </c>
      <c r="B2670">
        <v>410.65292358398398</v>
      </c>
      <c r="C2670">
        <v>417.14001464843699</v>
      </c>
      <c r="D2670">
        <v>417.489990234375</v>
      </c>
      <c r="E2670">
        <v>412.13000488281199</v>
      </c>
      <c r="F2670">
        <v>415.600006103515</v>
      </c>
      <c r="G2670" s="2">
        <v>24308300</v>
      </c>
      <c r="H2670" s="3">
        <f t="shared" si="41"/>
        <v>9.7307662263672601E-3</v>
      </c>
      <c r="J2670" s="3">
        <v>1.4087477112797897E-2</v>
      </c>
      <c r="K2670" s="3">
        <v>0.83904432568374721</v>
      </c>
    </row>
    <row r="2671" spans="1:11" x14ac:dyDescent="0.2">
      <c r="A2671" s="1">
        <v>45538</v>
      </c>
      <c r="B2671">
        <v>403.072662353515</v>
      </c>
      <c r="C2671">
        <v>409.44000244140602</v>
      </c>
      <c r="D2671">
        <v>419.88000488281199</v>
      </c>
      <c r="E2671">
        <v>407.02999877929602</v>
      </c>
      <c r="F2671">
        <v>417.91000366210898</v>
      </c>
      <c r="G2671" s="2">
        <v>20313600</v>
      </c>
      <c r="H2671" s="3">
        <f t="shared" si="41"/>
        <v>-1.8459046058437956E-2</v>
      </c>
      <c r="J2671" s="3">
        <v>1.4181731046498891E-2</v>
      </c>
      <c r="K2671" s="3">
        <v>0.83935869223514614</v>
      </c>
    </row>
    <row r="2672" spans="1:11" x14ac:dyDescent="0.2">
      <c r="A2672" s="1">
        <v>45539</v>
      </c>
      <c r="B2672">
        <v>402.54107666015602</v>
      </c>
      <c r="C2672">
        <v>408.89999389648398</v>
      </c>
      <c r="D2672">
        <v>411.239990234375</v>
      </c>
      <c r="E2672">
        <v>404.36999511718699</v>
      </c>
      <c r="F2672">
        <v>405.91000366210898</v>
      </c>
      <c r="G2672" s="2">
        <v>15135800</v>
      </c>
      <c r="H2672" s="3">
        <f t="shared" si="41"/>
        <v>-1.3188334089816456E-3</v>
      </c>
      <c r="J2672" s="3">
        <v>1.4197639722517641E-2</v>
      </c>
      <c r="K2672" s="3">
        <v>0.83967305878654508</v>
      </c>
    </row>
    <row r="2673" spans="1:11" x14ac:dyDescent="0.2">
      <c r="A2673" s="1">
        <v>45540</v>
      </c>
      <c r="B2673">
        <v>402.03900146484301</v>
      </c>
      <c r="C2673">
        <v>408.39001464843699</v>
      </c>
      <c r="D2673">
        <v>413.100006103515</v>
      </c>
      <c r="E2673">
        <v>406.13000488281199</v>
      </c>
      <c r="F2673">
        <v>407.61999511718699</v>
      </c>
      <c r="G2673" s="2">
        <v>14195500</v>
      </c>
      <c r="H2673" s="3">
        <f t="shared" si="41"/>
        <v>-1.2472645014980355E-3</v>
      </c>
      <c r="J2673" s="3">
        <v>1.4226888014398753E-2</v>
      </c>
      <c r="K2673" s="3">
        <v>0.83998742533794402</v>
      </c>
    </row>
    <row r="2674" spans="1:11" x14ac:dyDescent="0.2">
      <c r="A2674" s="1">
        <v>45541</v>
      </c>
      <c r="B2674">
        <v>395.453033447265</v>
      </c>
      <c r="C2674">
        <v>401.70001220703102</v>
      </c>
      <c r="D2674">
        <v>410.64999389648398</v>
      </c>
      <c r="E2674">
        <v>400.79998779296801</v>
      </c>
      <c r="F2674">
        <v>409.05999755859301</v>
      </c>
      <c r="G2674" s="2">
        <v>19609500</v>
      </c>
      <c r="H2674" s="3">
        <f t="shared" si="41"/>
        <v>-1.6381415717335424E-2</v>
      </c>
      <c r="J2674" s="3">
        <v>1.4258165110562659E-2</v>
      </c>
      <c r="K2674" s="3">
        <v>0.84030179188934295</v>
      </c>
    </row>
    <row r="2675" spans="1:11" x14ac:dyDescent="0.2">
      <c r="A2675" s="1">
        <v>45544</v>
      </c>
      <c r="B2675">
        <v>399.41052246093699</v>
      </c>
      <c r="C2675">
        <v>405.72000122070301</v>
      </c>
      <c r="D2675">
        <v>408.64999389648398</v>
      </c>
      <c r="E2675">
        <v>402.14999389648398</v>
      </c>
      <c r="F2675">
        <v>407.239990234375</v>
      </c>
      <c r="G2675" s="2">
        <v>15295100</v>
      </c>
      <c r="H2675" s="3">
        <f t="shared" si="41"/>
        <v>1.000748174612176E-2</v>
      </c>
      <c r="J2675" s="3">
        <v>1.429968684387406E-2</v>
      </c>
      <c r="K2675" s="3">
        <v>0.84061615844074189</v>
      </c>
    </row>
    <row r="2676" spans="1:11" x14ac:dyDescent="0.2">
      <c r="A2676" s="1">
        <v>45545</v>
      </c>
      <c r="B2676">
        <v>407.75863647460898</v>
      </c>
      <c r="C2676">
        <v>414.20001220703102</v>
      </c>
      <c r="D2676">
        <v>416.329986572265</v>
      </c>
      <c r="E2676">
        <v>407.70001220703102</v>
      </c>
      <c r="F2676">
        <v>408.20001220703102</v>
      </c>
      <c r="G2676" s="2">
        <v>19594300</v>
      </c>
      <c r="H2676" s="3">
        <f t="shared" si="41"/>
        <v>2.090108683726144E-2</v>
      </c>
      <c r="J2676" s="3">
        <v>1.4316474548208946E-2</v>
      </c>
      <c r="K2676" s="3">
        <v>0.84093052499214083</v>
      </c>
    </row>
    <row r="2677" spans="1:11" x14ac:dyDescent="0.2">
      <c r="A2677" s="1">
        <v>45546</v>
      </c>
      <c r="B2677">
        <v>416.461181640625</v>
      </c>
      <c r="C2677">
        <v>423.04000854492102</v>
      </c>
      <c r="D2677">
        <v>423.989990234375</v>
      </c>
      <c r="E2677">
        <v>409.579986572265</v>
      </c>
      <c r="F2677">
        <v>415.5</v>
      </c>
      <c r="G2677" s="2">
        <v>19266900</v>
      </c>
      <c r="H2677" s="3">
        <f t="shared" si="41"/>
        <v>2.1342393238451773E-2</v>
      </c>
      <c r="J2677" s="3">
        <v>1.4321517248008675E-2</v>
      </c>
      <c r="K2677" s="3">
        <v>0.84124489154353976</v>
      </c>
    </row>
    <row r="2678" spans="1:11" x14ac:dyDescent="0.2">
      <c r="A2678" s="1">
        <v>45547</v>
      </c>
      <c r="B2678">
        <v>420.35958862304602</v>
      </c>
      <c r="C2678">
        <v>427</v>
      </c>
      <c r="D2678">
        <v>427.36999511718699</v>
      </c>
      <c r="E2678">
        <v>419.75</v>
      </c>
      <c r="F2678">
        <v>423.30999755859301</v>
      </c>
      <c r="G2678" s="2">
        <v>17395700</v>
      </c>
      <c r="H2678" s="3">
        <f t="shared" si="41"/>
        <v>9.3607931645958153E-3</v>
      </c>
      <c r="J2678" s="3">
        <v>1.4334168125398339E-2</v>
      </c>
      <c r="K2678" s="3">
        <v>0.8415592580949387</v>
      </c>
    </row>
    <row r="2679" spans="1:11" x14ac:dyDescent="0.2">
      <c r="A2679" s="1">
        <v>45548</v>
      </c>
      <c r="B2679">
        <v>423.89376831054602</v>
      </c>
      <c r="C2679">
        <v>430.58999633789</v>
      </c>
      <c r="D2679">
        <v>431.829986572265</v>
      </c>
      <c r="E2679">
        <v>425.45999145507801</v>
      </c>
      <c r="F2679">
        <v>425.829986572265</v>
      </c>
      <c r="G2679" s="2">
        <v>15874600</v>
      </c>
      <c r="H2679" s="3">
        <f t="shared" si="41"/>
        <v>8.4075153348512899E-3</v>
      </c>
      <c r="J2679" s="3">
        <v>1.4361861061999992E-2</v>
      </c>
      <c r="K2679" s="3">
        <v>0.84187362464633764</v>
      </c>
    </row>
    <row r="2680" spans="1:11" x14ac:dyDescent="0.2">
      <c r="A2680" s="1">
        <v>45551</v>
      </c>
      <c r="B2680">
        <v>424.63214111328102</v>
      </c>
      <c r="C2680">
        <v>431.33999633789</v>
      </c>
      <c r="D2680">
        <v>433.52999877929602</v>
      </c>
      <c r="E2680">
        <v>428.22000122070301</v>
      </c>
      <c r="F2680">
        <v>430.600006103515</v>
      </c>
      <c r="G2680" s="2">
        <v>13834700</v>
      </c>
      <c r="H2680" s="3">
        <f t="shared" si="41"/>
        <v>1.7418817117265117E-3</v>
      </c>
      <c r="J2680" s="3">
        <v>1.437129808516624E-2</v>
      </c>
      <c r="K2680" s="3">
        <v>0.84218799119773657</v>
      </c>
    </row>
    <row r="2681" spans="1:11" x14ac:dyDescent="0.2">
      <c r="A2681" s="1">
        <v>45552</v>
      </c>
      <c r="B2681">
        <v>428.38287353515602</v>
      </c>
      <c r="C2681">
        <v>435.14999389648398</v>
      </c>
      <c r="D2681">
        <v>441.850006103515</v>
      </c>
      <c r="E2681">
        <v>432.26998901367102</v>
      </c>
      <c r="F2681">
        <v>440.23001098632801</v>
      </c>
      <c r="G2681" s="2">
        <v>18874200</v>
      </c>
      <c r="H2681" s="3">
        <f t="shared" si="41"/>
        <v>8.8328980751233299E-3</v>
      </c>
      <c r="J2681" s="3">
        <v>1.439329576723436E-2</v>
      </c>
      <c r="K2681" s="3">
        <v>0.84250235774913551</v>
      </c>
    </row>
    <row r="2682" spans="1:11" x14ac:dyDescent="0.2">
      <c r="A2682" s="1">
        <v>45553</v>
      </c>
      <c r="B2682">
        <v>424.11032104492102</v>
      </c>
      <c r="C2682">
        <v>430.80999755859301</v>
      </c>
      <c r="D2682">
        <v>436.02999877929602</v>
      </c>
      <c r="E2682">
        <v>430.41000366210898</v>
      </c>
      <c r="F2682">
        <v>435</v>
      </c>
      <c r="G2682" s="2">
        <v>18898000</v>
      </c>
      <c r="H2682" s="3">
        <f t="shared" si="41"/>
        <v>-9.973677180360907E-3</v>
      </c>
      <c r="J2682" s="3">
        <v>1.4394706451214434E-2</v>
      </c>
      <c r="K2682" s="3">
        <v>0.84281672430053445</v>
      </c>
    </row>
    <row r="2683" spans="1:11" x14ac:dyDescent="0.2">
      <c r="A2683" s="1">
        <v>45554</v>
      </c>
      <c r="B2683">
        <v>431.86779785156199</v>
      </c>
      <c r="C2683">
        <v>438.69000244140602</v>
      </c>
      <c r="D2683">
        <v>441.5</v>
      </c>
      <c r="E2683">
        <v>436.89999389648398</v>
      </c>
      <c r="F2683">
        <v>441.23001098632801</v>
      </c>
      <c r="G2683" s="2">
        <v>21706600</v>
      </c>
      <c r="H2683" s="3">
        <f t="shared" si="41"/>
        <v>1.8291176662544206E-2</v>
      </c>
      <c r="J2683" s="3">
        <v>1.4408205334746071E-2</v>
      </c>
      <c r="K2683" s="3">
        <v>0.84313109085193338</v>
      </c>
    </row>
    <row r="2684" spans="1:11" x14ac:dyDescent="0.2">
      <c r="A2684" s="1">
        <v>45555</v>
      </c>
      <c r="B2684">
        <v>428.50094604492102</v>
      </c>
      <c r="C2684">
        <v>435.26998901367102</v>
      </c>
      <c r="D2684">
        <v>439.239990234375</v>
      </c>
      <c r="E2684">
        <v>434.22000122070301</v>
      </c>
      <c r="F2684">
        <v>437.22000122070301</v>
      </c>
      <c r="G2684" s="2">
        <v>55167100</v>
      </c>
      <c r="H2684" s="3">
        <f t="shared" si="41"/>
        <v>-7.7960242078484177E-3</v>
      </c>
      <c r="J2684" s="3">
        <v>1.4409461403228407E-2</v>
      </c>
      <c r="K2684" s="3">
        <v>0.84344545740333232</v>
      </c>
    </row>
    <row r="2685" spans="1:11" x14ac:dyDescent="0.2">
      <c r="A2685" s="1">
        <v>45558</v>
      </c>
      <c r="B2685">
        <v>426.76837158203102</v>
      </c>
      <c r="C2685">
        <v>433.510009765625</v>
      </c>
      <c r="D2685">
        <v>436.45999145507801</v>
      </c>
      <c r="E2685">
        <v>430.39001464843699</v>
      </c>
      <c r="F2685">
        <v>434.27999877929602</v>
      </c>
      <c r="G2685" s="2">
        <v>15128900</v>
      </c>
      <c r="H2685" s="3">
        <f t="shared" si="41"/>
        <v>-4.0433387111084018E-3</v>
      </c>
      <c r="J2685" s="3">
        <v>1.4412574260537658E-2</v>
      </c>
      <c r="K2685" s="3">
        <v>0.84375982395473126</v>
      </c>
    </row>
    <row r="2686" spans="1:11" x14ac:dyDescent="0.2">
      <c r="A2686" s="1">
        <v>45559</v>
      </c>
      <c r="B2686">
        <v>422.49588012695301</v>
      </c>
      <c r="C2686">
        <v>429.17001342773398</v>
      </c>
      <c r="D2686">
        <v>433.350006103515</v>
      </c>
      <c r="E2686">
        <v>426.100006103515</v>
      </c>
      <c r="F2686">
        <v>433</v>
      </c>
      <c r="G2686" s="2">
        <v>17015800</v>
      </c>
      <c r="H2686" s="3">
        <f t="shared" si="41"/>
        <v>-1.0011265453529039E-2</v>
      </c>
      <c r="J2686" s="3">
        <v>1.4418856820911152E-2</v>
      </c>
      <c r="K2686" s="3">
        <v>0.8440741905061302</v>
      </c>
    </row>
    <row r="2687" spans="1:11" x14ac:dyDescent="0.2">
      <c r="A2687" s="1">
        <v>45560</v>
      </c>
      <c r="B2687">
        <v>425.39010620117102</v>
      </c>
      <c r="C2687">
        <v>432.10998535156199</v>
      </c>
      <c r="D2687">
        <v>433.11999511718699</v>
      </c>
      <c r="E2687">
        <v>428.57000732421801</v>
      </c>
      <c r="F2687">
        <v>429.829986572265</v>
      </c>
      <c r="G2687" s="2">
        <v>13396400</v>
      </c>
      <c r="H2687" s="3">
        <f t="shared" si="41"/>
        <v>6.8503060274773819E-3</v>
      </c>
      <c r="J2687" s="3">
        <v>1.4421159748398971E-2</v>
      </c>
      <c r="K2687" s="3">
        <v>0.84438855705752913</v>
      </c>
    </row>
    <row r="2688" spans="1:11" x14ac:dyDescent="0.2">
      <c r="A2688" s="1">
        <v>45561</v>
      </c>
      <c r="B2688">
        <v>424.60260009765602</v>
      </c>
      <c r="C2688">
        <v>431.30999755859301</v>
      </c>
      <c r="D2688">
        <v>435.29998779296801</v>
      </c>
      <c r="E2688">
        <v>429.13000488281199</v>
      </c>
      <c r="F2688">
        <v>435.08999633789</v>
      </c>
      <c r="G2688" s="2">
        <v>14492000</v>
      </c>
      <c r="H2688" s="3">
        <f t="shared" si="41"/>
        <v>-1.8512562752048822E-3</v>
      </c>
      <c r="J2688" s="3">
        <v>1.4424863379256747E-2</v>
      </c>
      <c r="K2688" s="3">
        <v>0.84470292360892796</v>
      </c>
    </row>
    <row r="2689" spans="1:11" x14ac:dyDescent="0.2">
      <c r="A2689" s="1">
        <v>45562</v>
      </c>
      <c r="B2689">
        <v>421.36373901367102</v>
      </c>
      <c r="C2689">
        <v>428.01998901367102</v>
      </c>
      <c r="D2689">
        <v>431.850006103515</v>
      </c>
      <c r="E2689">
        <v>427.47000122070301</v>
      </c>
      <c r="F2689">
        <v>431.51998901367102</v>
      </c>
      <c r="G2689" s="2">
        <v>14896100</v>
      </c>
      <c r="H2689" s="3">
        <f t="shared" si="41"/>
        <v>-7.6279822197039548E-3</v>
      </c>
      <c r="J2689" s="3">
        <v>1.4458678926305923E-2</v>
      </c>
      <c r="K2689" s="3">
        <v>0.84501729016032689</v>
      </c>
    </row>
    <row r="2690" spans="1:11" x14ac:dyDescent="0.2">
      <c r="A2690" s="1">
        <v>45565</v>
      </c>
      <c r="B2690">
        <v>423.60827636718699</v>
      </c>
      <c r="C2690">
        <v>430.29998779296801</v>
      </c>
      <c r="D2690">
        <v>430.42001342773398</v>
      </c>
      <c r="E2690">
        <v>425.36999511718699</v>
      </c>
      <c r="F2690">
        <v>428.20999145507801</v>
      </c>
      <c r="G2690" s="2">
        <v>16807300</v>
      </c>
      <c r="H2690" s="3">
        <f t="shared" ref="H2690:H2753" si="42">B2690/B2689-1</f>
        <v>5.326840317987358E-3</v>
      </c>
      <c r="J2690" s="3">
        <v>1.4475341126557684E-2</v>
      </c>
      <c r="K2690" s="3">
        <v>0.84533165671172583</v>
      </c>
    </row>
    <row r="2691" spans="1:11" x14ac:dyDescent="0.2">
      <c r="A2691" s="1">
        <v>45566</v>
      </c>
      <c r="B2691">
        <v>414.14773559570301</v>
      </c>
      <c r="C2691">
        <v>420.69000244140602</v>
      </c>
      <c r="D2691">
        <v>428.48001098632801</v>
      </c>
      <c r="E2691">
        <v>418.80999755859301</v>
      </c>
      <c r="F2691">
        <v>428.45001220703102</v>
      </c>
      <c r="G2691" s="2">
        <v>19092900</v>
      </c>
      <c r="H2691" s="3">
        <f t="shared" si="42"/>
        <v>-2.2333229304716151E-2</v>
      </c>
      <c r="J2691" s="3">
        <v>1.4489315407685499E-2</v>
      </c>
      <c r="K2691" s="3">
        <v>0.84564602326312477</v>
      </c>
    </row>
    <row r="2692" spans="1:11" x14ac:dyDescent="0.2">
      <c r="A2692" s="1">
        <v>45567</v>
      </c>
      <c r="B2692">
        <v>410.64306640625</v>
      </c>
      <c r="C2692">
        <v>417.13000488281199</v>
      </c>
      <c r="D2692">
        <v>422.82000732421801</v>
      </c>
      <c r="E2692">
        <v>416.70999145507801</v>
      </c>
      <c r="F2692">
        <v>422.579986572265</v>
      </c>
      <c r="G2692" s="2">
        <v>16582300</v>
      </c>
      <c r="H2692" s="3">
        <f t="shared" si="42"/>
        <v>-8.4623647269541635E-3</v>
      </c>
      <c r="J2692" s="3">
        <v>1.4519920833868882E-2</v>
      </c>
      <c r="K2692" s="3">
        <v>0.84596038981452371</v>
      </c>
    </row>
    <row r="2693" spans="1:11" x14ac:dyDescent="0.2">
      <c r="A2693" s="1">
        <v>45568</v>
      </c>
      <c r="B2693">
        <v>410.06228637695301</v>
      </c>
      <c r="C2693">
        <v>416.54000854492102</v>
      </c>
      <c r="D2693">
        <v>419.54998779296801</v>
      </c>
      <c r="E2693">
        <v>414.29000854492102</v>
      </c>
      <c r="F2693">
        <v>417.63000488281199</v>
      </c>
      <c r="G2693" s="2">
        <v>13686400</v>
      </c>
      <c r="H2693" s="3">
        <f t="shared" si="42"/>
        <v>-1.4143183626104117E-3</v>
      </c>
      <c r="J2693" s="3">
        <v>1.4548165839829208E-2</v>
      </c>
      <c r="K2693" s="3">
        <v>0.84627475636592264</v>
      </c>
    </row>
    <row r="2694" spans="1:11" x14ac:dyDescent="0.2">
      <c r="A2694" s="1">
        <v>45569</v>
      </c>
      <c r="B2694">
        <v>409.58972167968699</v>
      </c>
      <c r="C2694">
        <v>416.05999755859301</v>
      </c>
      <c r="D2694">
        <v>419.75</v>
      </c>
      <c r="E2694">
        <v>414.97000122070301</v>
      </c>
      <c r="F2694">
        <v>418.239990234375</v>
      </c>
      <c r="G2694" s="2">
        <v>19169700</v>
      </c>
      <c r="H2694" s="3">
        <f t="shared" si="42"/>
        <v>-1.15242174900132E-3</v>
      </c>
      <c r="J2694" s="3">
        <v>1.4550685461780954E-2</v>
      </c>
      <c r="K2694" s="3">
        <v>0.84658912291732158</v>
      </c>
    </row>
    <row r="2695" spans="1:11" x14ac:dyDescent="0.2">
      <c r="A2695" s="1">
        <v>45572</v>
      </c>
      <c r="B2695">
        <v>403.171142578125</v>
      </c>
      <c r="C2695">
        <v>409.54000854492102</v>
      </c>
      <c r="D2695">
        <v>417.10998535156199</v>
      </c>
      <c r="E2695">
        <v>409</v>
      </c>
      <c r="F2695">
        <v>416</v>
      </c>
      <c r="G2695" s="2">
        <v>20919800</v>
      </c>
      <c r="H2695" s="3">
        <f t="shared" si="42"/>
        <v>-1.5670752369566388E-2</v>
      </c>
      <c r="J2695" s="3">
        <v>1.4555443795115197E-2</v>
      </c>
      <c r="K2695" s="3">
        <v>0.84690348946872052</v>
      </c>
    </row>
    <row r="2696" spans="1:11" x14ac:dyDescent="0.2">
      <c r="A2696" s="1">
        <v>45573</v>
      </c>
      <c r="B2696">
        <v>408.2607421875</v>
      </c>
      <c r="C2696">
        <v>414.70999145507801</v>
      </c>
      <c r="D2696">
        <v>415.66000366210898</v>
      </c>
      <c r="E2696">
        <v>408.17001342773398</v>
      </c>
      <c r="F2696">
        <v>410.89999389648398</v>
      </c>
      <c r="G2696" s="2">
        <v>19229300</v>
      </c>
      <c r="H2696" s="3">
        <f t="shared" si="42"/>
        <v>1.26239184105017E-2</v>
      </c>
      <c r="J2696" s="3">
        <v>1.4566961393946309E-2</v>
      </c>
      <c r="K2696" s="3">
        <v>0.84721785602011945</v>
      </c>
    </row>
    <row r="2697" spans="1:11" x14ac:dyDescent="0.2">
      <c r="A2697" s="1">
        <v>45574</v>
      </c>
      <c r="B2697">
        <v>410.96792602539</v>
      </c>
      <c r="C2697">
        <v>417.45999145507801</v>
      </c>
      <c r="D2697">
        <v>420.38000488281199</v>
      </c>
      <c r="E2697">
        <v>414.29998779296801</v>
      </c>
      <c r="F2697">
        <v>415.85998535156199</v>
      </c>
      <c r="G2697" s="2">
        <v>14974300</v>
      </c>
      <c r="H2697" s="3">
        <f t="shared" si="42"/>
        <v>6.631016794278688E-3</v>
      </c>
      <c r="J2697" s="3">
        <v>1.4568234307484884E-2</v>
      </c>
      <c r="K2697" s="3">
        <v>0.84753222257151839</v>
      </c>
    </row>
    <row r="2698" spans="1:11" x14ac:dyDescent="0.2">
      <c r="A2698" s="1">
        <v>45575</v>
      </c>
      <c r="B2698">
        <v>409.37313842773398</v>
      </c>
      <c r="C2698">
        <v>415.83999633789</v>
      </c>
      <c r="D2698">
        <v>417.350006103515</v>
      </c>
      <c r="E2698">
        <v>413.14999389648398</v>
      </c>
      <c r="F2698">
        <v>415.23001098632801</v>
      </c>
      <c r="G2698" s="2">
        <v>13848400</v>
      </c>
      <c r="H2698" s="3">
        <f t="shared" si="42"/>
        <v>-3.8805646296531382E-3</v>
      </c>
      <c r="J2698" s="3">
        <v>1.4571485059522882E-2</v>
      </c>
      <c r="K2698" s="3">
        <v>0.84784658912291733</v>
      </c>
    </row>
    <row r="2699" spans="1:11" x14ac:dyDescent="0.2">
      <c r="A2699" s="1">
        <v>45576</v>
      </c>
      <c r="B2699">
        <v>409.84567260742102</v>
      </c>
      <c r="C2699">
        <v>416.32000732421801</v>
      </c>
      <c r="D2699">
        <v>417.13000488281199</v>
      </c>
      <c r="E2699">
        <v>413.25</v>
      </c>
      <c r="F2699">
        <v>416.14001464843699</v>
      </c>
      <c r="G2699" s="2">
        <v>14144900</v>
      </c>
      <c r="H2699" s="3">
        <f t="shared" si="42"/>
        <v>1.1542872145982042E-3</v>
      </c>
      <c r="J2699" s="3">
        <v>1.4579900550292013E-2</v>
      </c>
      <c r="K2699" s="3">
        <v>0.84816095567431626</v>
      </c>
    </row>
    <row r="2700" spans="1:11" x14ac:dyDescent="0.2">
      <c r="A2700" s="1">
        <v>45579</v>
      </c>
      <c r="B2700">
        <v>412.62185668945301</v>
      </c>
      <c r="C2700">
        <v>419.14001464843699</v>
      </c>
      <c r="D2700">
        <v>424.04000854492102</v>
      </c>
      <c r="E2700">
        <v>417.51998901367102</v>
      </c>
      <c r="F2700">
        <v>417.76998901367102</v>
      </c>
      <c r="G2700" s="2">
        <v>16653100</v>
      </c>
      <c r="H2700" s="3">
        <f t="shared" si="42"/>
        <v>6.7737303760462275E-3</v>
      </c>
      <c r="J2700" s="3">
        <v>1.4585491552060237E-2</v>
      </c>
      <c r="K2700" s="3">
        <v>0.8484753222257152</v>
      </c>
    </row>
    <row r="2701" spans="1:11" x14ac:dyDescent="0.2">
      <c r="A2701" s="1">
        <v>45580</v>
      </c>
      <c r="B2701">
        <v>412.22802734375</v>
      </c>
      <c r="C2701">
        <v>418.739990234375</v>
      </c>
      <c r="D2701">
        <v>422.48001098632801</v>
      </c>
      <c r="E2701">
        <v>415.260009765625</v>
      </c>
      <c r="F2701">
        <v>422.17999267578102</v>
      </c>
      <c r="G2701" s="2">
        <v>18900200</v>
      </c>
      <c r="H2701" s="3">
        <f t="shared" si="42"/>
        <v>-9.5445585181253012E-4</v>
      </c>
      <c r="J2701" s="3">
        <v>1.4601453961861743E-2</v>
      </c>
      <c r="K2701" s="3">
        <v>0.84878968877711414</v>
      </c>
    </row>
    <row r="2702" spans="1:11" x14ac:dyDescent="0.2">
      <c r="A2702" s="1">
        <v>45581</v>
      </c>
      <c r="B2702">
        <v>409.64880371093699</v>
      </c>
      <c r="C2702">
        <v>416.11999511718699</v>
      </c>
      <c r="D2702">
        <v>416.35998535156199</v>
      </c>
      <c r="E2702">
        <v>410.48001098632801</v>
      </c>
      <c r="F2702">
        <v>415.17001342773398</v>
      </c>
      <c r="G2702" s="2">
        <v>15508900</v>
      </c>
      <c r="H2702" s="3">
        <f t="shared" si="42"/>
        <v>-6.2567886260247452E-3</v>
      </c>
      <c r="J2702" s="3">
        <v>1.4645872779069924E-2</v>
      </c>
      <c r="K2702" s="3">
        <v>0.84910405532851307</v>
      </c>
    </row>
    <row r="2703" spans="1:11" x14ac:dyDescent="0.2">
      <c r="A2703" s="1">
        <v>45582</v>
      </c>
      <c r="B2703">
        <v>410.23944091796801</v>
      </c>
      <c r="C2703">
        <v>416.72000122070301</v>
      </c>
      <c r="D2703">
        <v>422.5</v>
      </c>
      <c r="E2703">
        <v>415.58999633789</v>
      </c>
      <c r="F2703">
        <v>422.35998535156199</v>
      </c>
      <c r="G2703" s="2">
        <v>14820000</v>
      </c>
      <c r="H2703" s="3">
        <f t="shared" si="42"/>
        <v>1.4418135770946083E-3</v>
      </c>
      <c r="J2703" s="3">
        <v>1.4682678907785185E-2</v>
      </c>
      <c r="K2703" s="3">
        <v>0.84941842187991201</v>
      </c>
    </row>
    <row r="2704" spans="1:11" x14ac:dyDescent="0.2">
      <c r="A2704" s="1">
        <v>45583</v>
      </c>
      <c r="B2704">
        <v>411.65704345703102</v>
      </c>
      <c r="C2704">
        <v>418.16000366210898</v>
      </c>
      <c r="D2704">
        <v>419.64999389648398</v>
      </c>
      <c r="E2704">
        <v>416.260009765625</v>
      </c>
      <c r="F2704">
        <v>417.14001464843699</v>
      </c>
      <c r="G2704" s="2">
        <v>17145300</v>
      </c>
      <c r="H2704" s="3">
        <f t="shared" si="42"/>
        <v>3.4555491200234378E-3</v>
      </c>
      <c r="J2704" s="3">
        <v>1.4736301208752911E-2</v>
      </c>
      <c r="K2704" s="3">
        <v>0.84973278843131095</v>
      </c>
    </row>
    <row r="2705" spans="1:11" x14ac:dyDescent="0.2">
      <c r="A2705" s="1">
        <v>45586</v>
      </c>
      <c r="B2705">
        <v>412.26742553710898</v>
      </c>
      <c r="C2705">
        <v>418.77999877929602</v>
      </c>
      <c r="D2705">
        <v>418.95999145507801</v>
      </c>
      <c r="E2705">
        <v>413.75</v>
      </c>
      <c r="F2705">
        <v>416.11999511718699</v>
      </c>
      <c r="G2705" s="2">
        <v>14206100</v>
      </c>
      <c r="H2705" s="3">
        <f t="shared" si="42"/>
        <v>1.482744167212724E-3</v>
      </c>
      <c r="J2705" s="3">
        <v>1.4738000413001107E-2</v>
      </c>
      <c r="K2705" s="3">
        <v>0.85004715498270988</v>
      </c>
    </row>
    <row r="2706" spans="1:11" x14ac:dyDescent="0.2">
      <c r="A2706" s="1">
        <v>45587</v>
      </c>
      <c r="B2706">
        <v>420.86166381835898</v>
      </c>
      <c r="C2706">
        <v>427.510009765625</v>
      </c>
      <c r="D2706">
        <v>430.579986572265</v>
      </c>
      <c r="E2706">
        <v>418.04000854492102</v>
      </c>
      <c r="F2706">
        <v>418.489990234375</v>
      </c>
      <c r="G2706" s="2">
        <v>25482200</v>
      </c>
      <c r="H2706" s="3">
        <f t="shared" si="42"/>
        <v>2.084627052465593E-2</v>
      </c>
      <c r="J2706" s="3">
        <v>1.4793449697369843E-2</v>
      </c>
      <c r="K2706" s="3">
        <v>0.85036152153410882</v>
      </c>
    </row>
    <row r="2707" spans="1:11" x14ac:dyDescent="0.2">
      <c r="A2707" s="1">
        <v>45588</v>
      </c>
      <c r="B2707">
        <v>417.99688720703102</v>
      </c>
      <c r="C2707">
        <v>424.600006103515</v>
      </c>
      <c r="D2707">
        <v>431.079986572265</v>
      </c>
      <c r="E2707">
        <v>422.52999877929602</v>
      </c>
      <c r="F2707">
        <v>430.85998535156199</v>
      </c>
      <c r="G2707" s="2">
        <v>19654400</v>
      </c>
      <c r="H2707" s="3">
        <f t="shared" si="42"/>
        <v>-6.8069317251104877E-3</v>
      </c>
      <c r="J2707" s="3">
        <v>1.4804204747513428E-2</v>
      </c>
      <c r="K2707" s="3">
        <v>0.85067588808550765</v>
      </c>
    </row>
    <row r="2708" spans="1:11" x14ac:dyDescent="0.2">
      <c r="A2708" s="1">
        <v>45589</v>
      </c>
      <c r="B2708">
        <v>418.12487792968699</v>
      </c>
      <c r="C2708">
        <v>424.73001098632801</v>
      </c>
      <c r="D2708">
        <v>425.98001098632801</v>
      </c>
      <c r="E2708">
        <v>422.39999389648398</v>
      </c>
      <c r="F2708">
        <v>425.329986572265</v>
      </c>
      <c r="G2708" s="2">
        <v>13581600</v>
      </c>
      <c r="H2708" s="3">
        <f t="shared" si="42"/>
        <v>3.0620018132476723E-4</v>
      </c>
      <c r="J2708" s="3">
        <v>1.4812383418226993E-2</v>
      </c>
      <c r="K2708" s="3">
        <v>0.85099025463690658</v>
      </c>
    </row>
    <row r="2709" spans="1:11" x14ac:dyDescent="0.2">
      <c r="A2709" s="1">
        <v>45590</v>
      </c>
      <c r="B2709">
        <v>421.49172973632801</v>
      </c>
      <c r="C2709">
        <v>428.14999389648398</v>
      </c>
      <c r="D2709">
        <v>432.51998901367102</v>
      </c>
      <c r="E2709">
        <v>426.57000732421801</v>
      </c>
      <c r="F2709">
        <v>426.760009765625</v>
      </c>
      <c r="G2709" s="2">
        <v>16899100</v>
      </c>
      <c r="H2709" s="3">
        <f t="shared" si="42"/>
        <v>8.0522637717987955E-3</v>
      </c>
      <c r="J2709" s="3">
        <v>1.4838863978170913E-2</v>
      </c>
      <c r="K2709" s="3">
        <v>0.85130462118830552</v>
      </c>
    </row>
    <row r="2710" spans="1:11" x14ac:dyDescent="0.2">
      <c r="A2710" s="1">
        <v>45593</v>
      </c>
      <c r="B2710">
        <v>419.95599365234301</v>
      </c>
      <c r="C2710">
        <v>426.58999633789</v>
      </c>
      <c r="D2710">
        <v>431.94000244140602</v>
      </c>
      <c r="E2710">
        <v>426.29998779296801</v>
      </c>
      <c r="F2710">
        <v>431.66000366210898</v>
      </c>
      <c r="G2710" s="2">
        <v>14882400</v>
      </c>
      <c r="H2710" s="3">
        <f t="shared" si="42"/>
        <v>-3.6435734692723543E-3</v>
      </c>
      <c r="J2710" s="3">
        <v>1.4873491273669437E-2</v>
      </c>
      <c r="K2710" s="3">
        <v>0.85161898773970446</v>
      </c>
    </row>
    <row r="2711" spans="1:11" x14ac:dyDescent="0.2">
      <c r="A2711" s="1">
        <v>45594</v>
      </c>
      <c r="B2711">
        <v>425.23263549804602</v>
      </c>
      <c r="C2711">
        <v>431.95001220703102</v>
      </c>
      <c r="D2711">
        <v>433.17001342773398</v>
      </c>
      <c r="E2711">
        <v>425.79998779296801</v>
      </c>
      <c r="F2711">
        <v>428</v>
      </c>
      <c r="G2711" s="2">
        <v>17644100</v>
      </c>
      <c r="H2711" s="3">
        <f t="shared" si="42"/>
        <v>1.2564749462943059E-2</v>
      </c>
      <c r="J2711" s="3">
        <v>1.4878461254248077E-2</v>
      </c>
      <c r="K2711" s="3">
        <v>0.8519333542911034</v>
      </c>
    </row>
    <row r="2712" spans="1:11" x14ac:dyDescent="0.2">
      <c r="A2712" s="1">
        <v>45595</v>
      </c>
      <c r="B2712">
        <v>425.803619384765</v>
      </c>
      <c r="C2712">
        <v>432.52999877929602</v>
      </c>
      <c r="D2712">
        <v>438.5</v>
      </c>
      <c r="E2712">
        <v>432.100006103515</v>
      </c>
      <c r="F2712">
        <v>437.44000244140602</v>
      </c>
      <c r="G2712" s="2">
        <v>29749100</v>
      </c>
      <c r="H2712" s="3">
        <f t="shared" si="42"/>
        <v>1.3427565032730904E-3</v>
      </c>
      <c r="J2712" s="3">
        <v>1.4944095586940431E-2</v>
      </c>
      <c r="K2712" s="3">
        <v>0.85224772084250233</v>
      </c>
    </row>
    <row r="2713" spans="1:11" x14ac:dyDescent="0.2">
      <c r="A2713" s="1">
        <v>45596</v>
      </c>
      <c r="B2713">
        <v>400.03076171875</v>
      </c>
      <c r="C2713">
        <v>406.350006103515</v>
      </c>
      <c r="D2713">
        <v>416.16000366210898</v>
      </c>
      <c r="E2713">
        <v>406.29998779296801</v>
      </c>
      <c r="F2713">
        <v>415.35998535156199</v>
      </c>
      <c r="G2713" s="2">
        <v>53971000</v>
      </c>
      <c r="H2713" s="3">
        <f t="shared" si="42"/>
        <v>-6.0527568326576686E-2</v>
      </c>
      <c r="J2713" s="3">
        <v>1.4962137211544491E-2</v>
      </c>
      <c r="K2713" s="3">
        <v>0.85256208739390127</v>
      </c>
    </row>
    <row r="2714" spans="1:11" x14ac:dyDescent="0.2">
      <c r="A2714" s="1">
        <v>45597</v>
      </c>
      <c r="B2714">
        <v>403.98822021484301</v>
      </c>
      <c r="C2714">
        <v>410.36999511718699</v>
      </c>
      <c r="D2714">
        <v>415.5</v>
      </c>
      <c r="E2714">
        <v>407.5</v>
      </c>
      <c r="F2714">
        <v>409.010009765625</v>
      </c>
      <c r="G2714" s="2">
        <v>24230400</v>
      </c>
      <c r="H2714" s="3">
        <f t="shared" si="42"/>
        <v>9.8928854348341311E-3</v>
      </c>
      <c r="J2714" s="3">
        <v>1.4981959418438162E-2</v>
      </c>
      <c r="K2714" s="3">
        <v>0.85287645394530021</v>
      </c>
    </row>
    <row r="2715" spans="1:11" x14ac:dyDescent="0.2">
      <c r="A2715" s="1">
        <v>45600</v>
      </c>
      <c r="B2715">
        <v>402.10791015625</v>
      </c>
      <c r="C2715">
        <v>408.45999145507801</v>
      </c>
      <c r="D2715">
        <v>410.42001342773398</v>
      </c>
      <c r="E2715">
        <v>405.57000732421801</v>
      </c>
      <c r="F2715">
        <v>409.79998779296801</v>
      </c>
      <c r="G2715" s="2">
        <v>19672300</v>
      </c>
      <c r="H2715" s="3">
        <f t="shared" si="42"/>
        <v>-4.6543685298374715E-3</v>
      </c>
      <c r="J2715" s="3">
        <v>1.4982825437293457E-2</v>
      </c>
      <c r="K2715" s="3">
        <v>0.85319082049669914</v>
      </c>
    </row>
    <row r="2716" spans="1:11" x14ac:dyDescent="0.2">
      <c r="A2716" s="1">
        <v>45601</v>
      </c>
      <c r="B2716">
        <v>405.06124877929602</v>
      </c>
      <c r="C2716">
        <v>411.45999145507801</v>
      </c>
      <c r="D2716">
        <v>414.89999389648398</v>
      </c>
      <c r="E2716">
        <v>408.079986572265</v>
      </c>
      <c r="F2716">
        <v>408.36999511718699</v>
      </c>
      <c r="G2716" s="2">
        <v>17626000</v>
      </c>
      <c r="H2716" s="3">
        <f t="shared" si="42"/>
        <v>7.3446419442442235E-3</v>
      </c>
      <c r="J2716" s="3">
        <v>1.5004701523528174E-2</v>
      </c>
      <c r="K2716" s="3">
        <v>0.85350518704809808</v>
      </c>
    </row>
    <row r="2717" spans="1:11" x14ac:dyDescent="0.2">
      <c r="A2717" s="1">
        <v>45602</v>
      </c>
      <c r="B2717">
        <v>413.64569091796801</v>
      </c>
      <c r="C2717">
        <v>420.17999267578102</v>
      </c>
      <c r="D2717">
        <v>420.45001220703102</v>
      </c>
      <c r="E2717">
        <v>410.51998901367102</v>
      </c>
      <c r="F2717">
        <v>412.42001342773398</v>
      </c>
      <c r="G2717" s="2">
        <v>26681800</v>
      </c>
      <c r="H2717" s="3">
        <f t="shared" si="42"/>
        <v>2.1192948386305366E-2</v>
      </c>
      <c r="J2717" s="3">
        <v>1.5034088956453973E-2</v>
      </c>
      <c r="K2717" s="3">
        <v>0.85381955359949702</v>
      </c>
    </row>
    <row r="2718" spans="1:11" x14ac:dyDescent="0.2">
      <c r="A2718" s="1">
        <v>45603</v>
      </c>
      <c r="B2718">
        <v>418.81399536132801</v>
      </c>
      <c r="C2718">
        <v>425.42999267578102</v>
      </c>
      <c r="D2718">
        <v>426.850006103515</v>
      </c>
      <c r="E2718">
        <v>419.88000488281199</v>
      </c>
      <c r="F2718">
        <v>421.27999877929602</v>
      </c>
      <c r="G2718" s="2">
        <v>19901800</v>
      </c>
      <c r="H2718" s="3">
        <f t="shared" si="42"/>
        <v>1.2494520206146609E-2</v>
      </c>
      <c r="J2718" s="3">
        <v>1.5064382063562753E-2</v>
      </c>
      <c r="K2718" s="3">
        <v>0.85413392015089595</v>
      </c>
    </row>
    <row r="2719" spans="1:11" x14ac:dyDescent="0.2">
      <c r="A2719" s="1">
        <v>45604</v>
      </c>
      <c r="B2719">
        <v>415.96893310546801</v>
      </c>
      <c r="C2719">
        <v>422.54000854492102</v>
      </c>
      <c r="D2719">
        <v>426.5</v>
      </c>
      <c r="E2719">
        <v>421.77999877929602</v>
      </c>
      <c r="F2719">
        <v>425.32000732421801</v>
      </c>
      <c r="G2719" s="2">
        <v>16891400</v>
      </c>
      <c r="H2719" s="3">
        <f t="shared" si="42"/>
        <v>-6.7931403615235642E-3</v>
      </c>
      <c r="J2719" s="3">
        <v>1.5089672931574816E-2</v>
      </c>
      <c r="K2719" s="3">
        <v>0.85444828670229489</v>
      </c>
    </row>
    <row r="2720" spans="1:11" x14ac:dyDescent="0.2">
      <c r="A2720" s="1">
        <v>45607</v>
      </c>
      <c r="B2720">
        <v>411.50942993164</v>
      </c>
      <c r="C2720">
        <v>418.010009765625</v>
      </c>
      <c r="D2720">
        <v>424.80999755859301</v>
      </c>
      <c r="E2720">
        <v>416</v>
      </c>
      <c r="F2720">
        <v>422.51998901367102</v>
      </c>
      <c r="G2720" s="2">
        <v>24503300</v>
      </c>
      <c r="H2720" s="3">
        <f t="shared" si="42"/>
        <v>-1.072076017921586E-2</v>
      </c>
      <c r="J2720" s="3">
        <v>1.5106679317070881E-2</v>
      </c>
      <c r="K2720" s="3">
        <v>0.85476265325369383</v>
      </c>
    </row>
    <row r="2721" spans="1:11" x14ac:dyDescent="0.2">
      <c r="A2721" s="1">
        <v>45608</v>
      </c>
      <c r="B2721">
        <v>416.45132446289</v>
      </c>
      <c r="C2721">
        <v>423.02999877929602</v>
      </c>
      <c r="D2721">
        <v>424.44000244140602</v>
      </c>
      <c r="E2721">
        <v>417.20001220703102</v>
      </c>
      <c r="F2721">
        <v>418.25</v>
      </c>
      <c r="G2721" s="2">
        <v>19401200</v>
      </c>
      <c r="H2721" s="3">
        <f t="shared" si="42"/>
        <v>1.2009189028963307E-2</v>
      </c>
      <c r="J2721" s="3">
        <v>1.5159264590280719E-2</v>
      </c>
      <c r="K2721" s="3">
        <v>0.85507701980509276</v>
      </c>
    </row>
    <row r="2722" spans="1:11" x14ac:dyDescent="0.2">
      <c r="A2722" s="1">
        <v>45609</v>
      </c>
      <c r="B2722">
        <v>418.58758544921801</v>
      </c>
      <c r="C2722">
        <v>425.20001220703102</v>
      </c>
      <c r="D2722">
        <v>429.329986572265</v>
      </c>
      <c r="E2722">
        <v>418.20999145507801</v>
      </c>
      <c r="F2722">
        <v>421.64001464843699</v>
      </c>
      <c r="G2722" s="2">
        <v>21502200</v>
      </c>
      <c r="H2722" s="3">
        <f t="shared" si="42"/>
        <v>5.1296774937219514E-3</v>
      </c>
      <c r="J2722" s="3">
        <v>1.5194803982287342E-2</v>
      </c>
      <c r="K2722" s="3">
        <v>0.8553913863564917</v>
      </c>
    </row>
    <row r="2723" spans="1:11" x14ac:dyDescent="0.2">
      <c r="A2723" s="1">
        <v>45610</v>
      </c>
      <c r="B2723">
        <v>420.25131225585898</v>
      </c>
      <c r="C2723">
        <v>426.89001464843699</v>
      </c>
      <c r="D2723">
        <v>428.17001342773398</v>
      </c>
      <c r="E2723">
        <v>420</v>
      </c>
      <c r="F2723">
        <v>425</v>
      </c>
      <c r="G2723" s="2">
        <v>30246900</v>
      </c>
      <c r="H2723" s="3">
        <f t="shared" si="42"/>
        <v>3.9746205202322304E-3</v>
      </c>
      <c r="J2723" s="3">
        <v>1.5222424415749058E-2</v>
      </c>
      <c r="K2723" s="3">
        <v>0.85570575290789064</v>
      </c>
    </row>
    <row r="2724" spans="1:11" x14ac:dyDescent="0.2">
      <c r="A2724" s="1">
        <v>45611</v>
      </c>
      <c r="B2724">
        <v>408.54620361328102</v>
      </c>
      <c r="C2724">
        <v>415</v>
      </c>
      <c r="D2724">
        <v>422.79998779296801</v>
      </c>
      <c r="E2724">
        <v>413.64001464843699</v>
      </c>
      <c r="F2724">
        <v>419.82000732421801</v>
      </c>
      <c r="G2724" s="2">
        <v>28247600</v>
      </c>
      <c r="H2724" s="3">
        <f t="shared" si="42"/>
        <v>-2.7852640315972677E-2</v>
      </c>
      <c r="J2724" s="3">
        <v>1.5263562716119061E-2</v>
      </c>
      <c r="K2724" s="3">
        <v>0.85602011945928957</v>
      </c>
    </row>
    <row r="2725" spans="1:11" x14ac:dyDescent="0.2">
      <c r="A2725" s="1">
        <v>45614</v>
      </c>
      <c r="B2725">
        <v>409.29440307617102</v>
      </c>
      <c r="C2725">
        <v>415.760009765625</v>
      </c>
      <c r="D2725">
        <v>418.39999389648398</v>
      </c>
      <c r="E2725">
        <v>412.100006103515</v>
      </c>
      <c r="F2725">
        <v>414.86999511718699</v>
      </c>
      <c r="G2725" s="2">
        <v>24727000</v>
      </c>
      <c r="H2725" s="3">
        <f t="shared" si="42"/>
        <v>1.8313704943841991E-3</v>
      </c>
      <c r="J2725" s="3">
        <v>1.5294738983263834E-2</v>
      </c>
      <c r="K2725" s="3">
        <v>0.85633448601068851</v>
      </c>
    </row>
    <row r="2726" spans="1:11" x14ac:dyDescent="0.2">
      <c r="A2726" s="1">
        <v>45615</v>
      </c>
      <c r="B2726">
        <v>411.29281616210898</v>
      </c>
      <c r="C2726">
        <v>417.79000854492102</v>
      </c>
      <c r="D2726">
        <v>417.94000244140602</v>
      </c>
      <c r="E2726">
        <v>411.54998779296801</v>
      </c>
      <c r="F2726">
        <v>413.10998535156199</v>
      </c>
      <c r="G2726" s="2">
        <v>18133500</v>
      </c>
      <c r="H2726" s="3">
        <f t="shared" si="42"/>
        <v>4.8825810246080348E-3</v>
      </c>
      <c r="J2726" s="3">
        <v>1.5298022586337945E-2</v>
      </c>
      <c r="K2726" s="3">
        <v>0.85664885256208745</v>
      </c>
    </row>
    <row r="2727" spans="1:11" x14ac:dyDescent="0.2">
      <c r="A2727" s="1">
        <v>45616</v>
      </c>
      <c r="B2727">
        <v>409.028564453125</v>
      </c>
      <c r="C2727">
        <v>415.489990234375</v>
      </c>
      <c r="D2727">
        <v>417.29000854492102</v>
      </c>
      <c r="E2727">
        <v>410.579986572265</v>
      </c>
      <c r="F2727">
        <v>416.86999511718699</v>
      </c>
      <c r="G2727" s="2">
        <v>19191700</v>
      </c>
      <c r="H2727" s="3">
        <f t="shared" si="42"/>
        <v>-5.5052060721905161E-3</v>
      </c>
      <c r="J2727" s="3">
        <v>1.539268419958395E-2</v>
      </c>
      <c r="K2727" s="3">
        <v>0.85696321911348627</v>
      </c>
    </row>
    <row r="2728" spans="1:11" x14ac:dyDescent="0.2">
      <c r="A2728" s="1">
        <v>45617</v>
      </c>
      <c r="B2728">
        <v>407.26287841796801</v>
      </c>
      <c r="C2728">
        <v>412.86999511718699</v>
      </c>
      <c r="D2728">
        <v>419.77999877929602</v>
      </c>
      <c r="E2728">
        <v>410.29000854492102</v>
      </c>
      <c r="F2728">
        <v>419.5</v>
      </c>
      <c r="G2728" s="2">
        <v>20780200</v>
      </c>
      <c r="H2728" s="3">
        <f t="shared" si="42"/>
        <v>-4.3167792878174849E-3</v>
      </c>
      <c r="J2728" s="3">
        <v>1.5443573444230863E-2</v>
      </c>
      <c r="K2728" s="3">
        <v>0.85727758566488521</v>
      </c>
    </row>
    <row r="2729" spans="1:11" x14ac:dyDescent="0.2">
      <c r="A2729" s="1">
        <v>45618</v>
      </c>
      <c r="B2729">
        <v>411.33676147460898</v>
      </c>
      <c r="C2729">
        <v>417</v>
      </c>
      <c r="D2729">
        <v>417.39999389648398</v>
      </c>
      <c r="E2729">
        <v>411.05999755859301</v>
      </c>
      <c r="F2729">
        <v>411.36999511718699</v>
      </c>
      <c r="G2729" s="2">
        <v>24814600</v>
      </c>
      <c r="H2729" s="3">
        <f t="shared" si="42"/>
        <v>1.0003079761323086E-2</v>
      </c>
      <c r="J2729" s="3">
        <v>1.5476152042830593E-2</v>
      </c>
      <c r="K2729" s="3">
        <v>0.85759195221628415</v>
      </c>
    </row>
    <row r="2730" spans="1:11" x14ac:dyDescent="0.2">
      <c r="A2730" s="1">
        <v>45621</v>
      </c>
      <c r="B2730">
        <v>413.10250854492102</v>
      </c>
      <c r="C2730">
        <v>418.79000854492102</v>
      </c>
      <c r="D2730">
        <v>421.079986572265</v>
      </c>
      <c r="E2730">
        <v>414.850006103515</v>
      </c>
      <c r="F2730">
        <v>418.38000488281199</v>
      </c>
      <c r="G2730" s="2">
        <v>27691100</v>
      </c>
      <c r="H2730" s="3">
        <f t="shared" si="42"/>
        <v>4.2927042649483216E-3</v>
      </c>
      <c r="J2730" s="3">
        <v>1.5483735646249386E-2</v>
      </c>
      <c r="K2730" s="3">
        <v>0.85790631876768308</v>
      </c>
    </row>
    <row r="2731" spans="1:11" x14ac:dyDescent="0.2">
      <c r="A2731" s="1">
        <v>45622</v>
      </c>
      <c r="B2731">
        <v>422.17752075195301</v>
      </c>
      <c r="C2731">
        <v>427.989990234375</v>
      </c>
      <c r="D2731">
        <v>429.04000854492102</v>
      </c>
      <c r="E2731">
        <v>418.850006103515</v>
      </c>
      <c r="F2731">
        <v>419.58999633789</v>
      </c>
      <c r="G2731" s="2">
        <v>23458900</v>
      </c>
      <c r="H2731" s="3">
        <f t="shared" si="42"/>
        <v>2.1967942627598935E-2</v>
      </c>
      <c r="J2731" s="3">
        <v>1.5551274164582241E-2</v>
      </c>
      <c r="K2731" s="3">
        <v>0.85822068531908202</v>
      </c>
    </row>
    <row r="2732" spans="1:11" x14ac:dyDescent="0.2">
      <c r="A2732" s="1">
        <v>45623</v>
      </c>
      <c r="B2732">
        <v>417.24545288085898</v>
      </c>
      <c r="C2732">
        <v>422.989990234375</v>
      </c>
      <c r="D2732">
        <v>427.23001098632801</v>
      </c>
      <c r="E2732">
        <v>422.01998901367102</v>
      </c>
      <c r="F2732">
        <v>425.10998535156199</v>
      </c>
      <c r="G2732" s="2">
        <v>18332400</v>
      </c>
      <c r="H2732" s="3">
        <f t="shared" si="42"/>
        <v>-1.1682450222146756E-2</v>
      </c>
      <c r="J2732" s="3">
        <v>1.5568722214230224E-2</v>
      </c>
      <c r="K2732" s="3">
        <v>0.85853505187048096</v>
      </c>
    </row>
    <row r="2733" spans="1:11" x14ac:dyDescent="0.2">
      <c r="A2733" s="1">
        <v>45625</v>
      </c>
      <c r="B2733">
        <v>417.70907592773398</v>
      </c>
      <c r="C2733">
        <v>423.45999145507801</v>
      </c>
      <c r="D2733">
        <v>424.88000488281199</v>
      </c>
      <c r="E2733">
        <v>417.79998779296801</v>
      </c>
      <c r="F2733">
        <v>420.08999633789</v>
      </c>
      <c r="G2733" s="2">
        <v>16271900</v>
      </c>
      <c r="H2733" s="3">
        <f t="shared" si="42"/>
        <v>1.1111518260389364E-3</v>
      </c>
      <c r="J2733" s="3">
        <v>1.5581798575616146E-2</v>
      </c>
      <c r="K2733" s="3">
        <v>0.8588494184218799</v>
      </c>
    </row>
    <row r="2734" spans="1:11" x14ac:dyDescent="0.2">
      <c r="A2734" s="1">
        <v>45628</v>
      </c>
      <c r="B2734">
        <v>425.12698364257801</v>
      </c>
      <c r="C2734">
        <v>430.98001098632801</v>
      </c>
      <c r="D2734">
        <v>433</v>
      </c>
      <c r="E2734">
        <v>421.30999755859301</v>
      </c>
      <c r="F2734">
        <v>421.57000732421801</v>
      </c>
      <c r="G2734" s="2">
        <v>20207200</v>
      </c>
      <c r="H2734" s="3">
        <f t="shared" si="42"/>
        <v>1.7758550489641145E-2</v>
      </c>
      <c r="J2734" s="3">
        <v>1.5593192175646475E-2</v>
      </c>
      <c r="K2734" s="3">
        <v>0.85916378497327883</v>
      </c>
    </row>
    <row r="2735" spans="1:11" x14ac:dyDescent="0.2">
      <c r="A2735" s="1">
        <v>45629</v>
      </c>
      <c r="B2735">
        <v>425.34396362304602</v>
      </c>
      <c r="C2735">
        <v>431.20001220703102</v>
      </c>
      <c r="D2735">
        <v>432.47000122070301</v>
      </c>
      <c r="E2735">
        <v>427.739990234375</v>
      </c>
      <c r="F2735">
        <v>429.83999633789</v>
      </c>
      <c r="G2735" s="2">
        <v>18302000</v>
      </c>
      <c r="H2735" s="3">
        <f t="shared" si="42"/>
        <v>5.103886340238617E-4</v>
      </c>
      <c r="J2735" s="3">
        <v>1.5594421487618249E-2</v>
      </c>
      <c r="K2735" s="3">
        <v>0.85947815152467777</v>
      </c>
    </row>
    <row r="2736" spans="1:11" x14ac:dyDescent="0.2">
      <c r="A2736" s="1">
        <v>45630</v>
      </c>
      <c r="B2736">
        <v>431.4794921875</v>
      </c>
      <c r="C2736">
        <v>437.42001342773398</v>
      </c>
      <c r="D2736">
        <v>439.67001342773398</v>
      </c>
      <c r="E2736">
        <v>432.63000488281199</v>
      </c>
      <c r="F2736">
        <v>433.02999877929602</v>
      </c>
      <c r="G2736" s="2">
        <v>26009400</v>
      </c>
      <c r="H2736" s="3">
        <f t="shared" si="42"/>
        <v>1.4424863379256747E-2</v>
      </c>
      <c r="J2736" s="3">
        <v>1.5595367641161317E-2</v>
      </c>
      <c r="K2736" s="3">
        <v>0.85979251807607671</v>
      </c>
    </row>
    <row r="2737" spans="1:11" x14ac:dyDescent="0.2">
      <c r="A2737" s="1">
        <v>45631</v>
      </c>
      <c r="B2737">
        <v>436.60885620117102</v>
      </c>
      <c r="C2737">
        <v>442.61999511718699</v>
      </c>
      <c r="D2737">
        <v>444.66000366210898</v>
      </c>
      <c r="E2737">
        <v>436.17001342773398</v>
      </c>
      <c r="F2737">
        <v>437.92001342773398</v>
      </c>
      <c r="G2737" s="2">
        <v>21697800</v>
      </c>
      <c r="H2737" s="3">
        <f t="shared" si="42"/>
        <v>1.1887851234055891E-2</v>
      </c>
      <c r="J2737" s="3">
        <v>1.5658094781409559E-2</v>
      </c>
      <c r="K2737" s="3">
        <v>0.86010688462747564</v>
      </c>
    </row>
    <row r="2738" spans="1:11" x14ac:dyDescent="0.2">
      <c r="A2738" s="1">
        <v>45632</v>
      </c>
      <c r="B2738">
        <v>437.54595947265602</v>
      </c>
      <c r="C2738">
        <v>443.57000732421801</v>
      </c>
      <c r="D2738">
        <v>446.100006103515</v>
      </c>
      <c r="E2738">
        <v>441.76998901367102</v>
      </c>
      <c r="F2738">
        <v>442.29998779296801</v>
      </c>
      <c r="G2738" s="2">
        <v>18821000</v>
      </c>
      <c r="H2738" s="3">
        <f t="shared" si="42"/>
        <v>2.1463221787081377E-3</v>
      </c>
      <c r="J2738" s="3">
        <v>1.5664912477863391E-2</v>
      </c>
      <c r="K2738" s="3">
        <v>0.86042125117887458</v>
      </c>
    </row>
    <row r="2739" spans="1:11" x14ac:dyDescent="0.2">
      <c r="A2739" s="1">
        <v>45635</v>
      </c>
      <c r="B2739">
        <v>439.96267700195301</v>
      </c>
      <c r="C2739">
        <v>446.01998901367102</v>
      </c>
      <c r="D2739">
        <v>448.329986572265</v>
      </c>
      <c r="E2739">
        <v>440.5</v>
      </c>
      <c r="F2739">
        <v>442.600006103515</v>
      </c>
      <c r="G2739" s="2">
        <v>19144400</v>
      </c>
      <c r="H2739" s="3">
        <f t="shared" si="42"/>
        <v>5.5233455525671715E-3</v>
      </c>
      <c r="J2739" s="3">
        <v>1.5735274513311026E-2</v>
      </c>
      <c r="K2739" s="3">
        <v>0.86073561773027352</v>
      </c>
    </row>
    <row r="2740" spans="1:11" x14ac:dyDescent="0.2">
      <c r="A2740" s="1">
        <v>45636</v>
      </c>
      <c r="B2740">
        <v>437.30923461914</v>
      </c>
      <c r="C2740">
        <v>443.329986572265</v>
      </c>
      <c r="D2740">
        <v>449.61999511718699</v>
      </c>
      <c r="E2740">
        <v>441.600006103515</v>
      </c>
      <c r="F2740">
        <v>444.39001464843699</v>
      </c>
      <c r="G2740" s="2">
        <v>18469500</v>
      </c>
      <c r="H2740" s="3">
        <f t="shared" si="42"/>
        <v>-6.0310624548755021E-3</v>
      </c>
      <c r="J2740" s="3">
        <v>1.5781270376355572E-2</v>
      </c>
      <c r="K2740" s="3">
        <v>0.86104998428167245</v>
      </c>
    </row>
    <row r="2741" spans="1:11" x14ac:dyDescent="0.2">
      <c r="A2741" s="1">
        <v>45637</v>
      </c>
      <c r="B2741">
        <v>442.89239501953102</v>
      </c>
      <c r="C2741">
        <v>448.989990234375</v>
      </c>
      <c r="D2741">
        <v>450.350006103515</v>
      </c>
      <c r="E2741">
        <v>444.04998779296801</v>
      </c>
      <c r="F2741">
        <v>444.04998779296801</v>
      </c>
      <c r="G2741" s="2">
        <v>19200200</v>
      </c>
      <c r="H2741" s="3">
        <f t="shared" si="42"/>
        <v>1.2767076380752584E-2</v>
      </c>
      <c r="J2741" s="3">
        <v>1.5807029732342048E-2</v>
      </c>
      <c r="K2741" s="3">
        <v>0.86136435083307139</v>
      </c>
    </row>
    <row r="2742" spans="1:11" x14ac:dyDescent="0.2">
      <c r="A2742" s="1">
        <v>45638</v>
      </c>
      <c r="B2742">
        <v>443.45458984375</v>
      </c>
      <c r="C2742">
        <v>449.55999755859301</v>
      </c>
      <c r="D2742">
        <v>456.16000366210898</v>
      </c>
      <c r="E2742">
        <v>449.10998535156199</v>
      </c>
      <c r="F2742">
        <v>449.10998535156199</v>
      </c>
      <c r="G2742" s="2">
        <v>20834800</v>
      </c>
      <c r="H2742" s="3">
        <f t="shared" si="42"/>
        <v>1.2693711396742913E-3</v>
      </c>
      <c r="J2742" s="3">
        <v>1.5814955842588407E-2</v>
      </c>
      <c r="K2742" s="3">
        <v>0.86167871738447033</v>
      </c>
    </row>
    <row r="2743" spans="1:11" x14ac:dyDescent="0.2">
      <c r="A2743" s="1">
        <v>45639</v>
      </c>
      <c r="B2743">
        <v>441.195709228515</v>
      </c>
      <c r="C2743">
        <v>447.26998901367102</v>
      </c>
      <c r="D2743">
        <v>451.42999267578102</v>
      </c>
      <c r="E2743">
        <v>445.579986572265</v>
      </c>
      <c r="F2743">
        <v>448.44000244140602</v>
      </c>
      <c r="G2743" s="2">
        <v>20177800</v>
      </c>
      <c r="H2743" s="3">
        <f t="shared" si="42"/>
        <v>-5.0938262157370628E-3</v>
      </c>
      <c r="J2743" s="3">
        <v>1.5825817389439001E-2</v>
      </c>
      <c r="K2743" s="3">
        <v>0.86199308393586926</v>
      </c>
    </row>
    <row r="2744" spans="1:11" x14ac:dyDescent="0.2">
      <c r="A2744" s="1">
        <v>45642</v>
      </c>
      <c r="B2744">
        <v>445.45703125</v>
      </c>
      <c r="C2744">
        <v>451.58999633789</v>
      </c>
      <c r="D2744">
        <v>452.17999267578102</v>
      </c>
      <c r="E2744">
        <v>445.27999877929602</v>
      </c>
      <c r="F2744">
        <v>447.26998901367102</v>
      </c>
      <c r="G2744" s="2">
        <v>23598800</v>
      </c>
      <c r="H2744" s="3">
        <f t="shared" si="42"/>
        <v>9.6585753948887909E-3</v>
      </c>
      <c r="J2744" s="3">
        <v>1.5829494982074532E-2</v>
      </c>
      <c r="K2744" s="3">
        <v>0.8623074504872682</v>
      </c>
    </row>
    <row r="2745" spans="1:11" x14ac:dyDescent="0.2">
      <c r="A2745" s="1">
        <v>45643</v>
      </c>
      <c r="B2745">
        <v>448.2880859375</v>
      </c>
      <c r="C2745">
        <v>454.45999145507801</v>
      </c>
      <c r="D2745">
        <v>455.29000854492102</v>
      </c>
      <c r="E2745">
        <v>449.57000732421801</v>
      </c>
      <c r="F2745">
        <v>451.010009765625</v>
      </c>
      <c r="G2745" s="2">
        <v>22733500</v>
      </c>
      <c r="H2745" s="3">
        <f t="shared" si="42"/>
        <v>6.3553934249409583E-3</v>
      </c>
      <c r="J2745" s="3">
        <v>1.5844077365528397E-2</v>
      </c>
      <c r="K2745" s="3">
        <v>0.86262181703866714</v>
      </c>
    </row>
    <row r="2746" spans="1:11" x14ac:dyDescent="0.2">
      <c r="A2746" s="1">
        <v>45644</v>
      </c>
      <c r="B2746">
        <v>431.44989013671801</v>
      </c>
      <c r="C2746">
        <v>437.39001464843699</v>
      </c>
      <c r="D2746">
        <v>452.64999389648398</v>
      </c>
      <c r="E2746">
        <v>437.01998901367102</v>
      </c>
      <c r="F2746">
        <v>451.32000732421801</v>
      </c>
      <c r="G2746" s="2">
        <v>24444500</v>
      </c>
      <c r="H2746" s="3">
        <f t="shared" si="42"/>
        <v>-3.7561104854188732E-2</v>
      </c>
      <c r="J2746" s="3">
        <v>1.5928146711610358E-2</v>
      </c>
      <c r="K2746" s="3">
        <v>0.86293618359006596</v>
      </c>
    </row>
    <row r="2747" spans="1:11" x14ac:dyDescent="0.2">
      <c r="A2747" s="1">
        <v>45645</v>
      </c>
      <c r="B2747">
        <v>431.09475708007801</v>
      </c>
      <c r="C2747">
        <v>437.02999877929602</v>
      </c>
      <c r="D2747">
        <v>443.17999267578102</v>
      </c>
      <c r="E2747">
        <v>436.32000732421801</v>
      </c>
      <c r="F2747">
        <v>441.61999511718699</v>
      </c>
      <c r="G2747" s="2">
        <v>22963700</v>
      </c>
      <c r="H2747" s="3">
        <f t="shared" si="42"/>
        <v>-8.2311541793989029E-4</v>
      </c>
      <c r="J2747" s="3">
        <v>1.5962269016385422E-2</v>
      </c>
      <c r="K2747" s="3">
        <v>0.8632505501414649</v>
      </c>
    </row>
    <row r="2748" spans="1:11" x14ac:dyDescent="0.2">
      <c r="A2748" s="1">
        <v>45646</v>
      </c>
      <c r="B2748">
        <v>430.670654296875</v>
      </c>
      <c r="C2748">
        <v>436.600006103515</v>
      </c>
      <c r="D2748">
        <v>443.739990234375</v>
      </c>
      <c r="E2748">
        <v>428.63000488281199</v>
      </c>
      <c r="F2748">
        <v>433.10998535156199</v>
      </c>
      <c r="G2748" s="2">
        <v>64263700</v>
      </c>
      <c r="H2748" s="3">
        <f t="shared" si="42"/>
        <v>-9.8378088862771662E-4</v>
      </c>
      <c r="J2748" s="3">
        <v>1.5997159437471486E-2</v>
      </c>
      <c r="K2748" s="3">
        <v>0.86356491669286384</v>
      </c>
    </row>
    <row r="2749" spans="1:11" x14ac:dyDescent="0.2">
      <c r="A2749" s="1">
        <v>45649</v>
      </c>
      <c r="B2749">
        <v>429.33898925781199</v>
      </c>
      <c r="C2749">
        <v>435.25</v>
      </c>
      <c r="D2749">
        <v>437.64999389648398</v>
      </c>
      <c r="E2749">
        <v>432.829986572265</v>
      </c>
      <c r="F2749">
        <v>436.739990234375</v>
      </c>
      <c r="G2749" s="2">
        <v>19152500</v>
      </c>
      <c r="H2749" s="3">
        <f t="shared" si="42"/>
        <v>-3.0920728537613407E-3</v>
      </c>
      <c r="J2749" s="3">
        <v>1.6007241962923136E-2</v>
      </c>
      <c r="K2749" s="3">
        <v>0.86387928324426277</v>
      </c>
    </row>
    <row r="2750" spans="1:11" x14ac:dyDescent="0.2">
      <c r="A2750" s="1">
        <v>45650</v>
      </c>
      <c r="B2750">
        <v>433.36349487304602</v>
      </c>
      <c r="C2750">
        <v>439.329986572265</v>
      </c>
      <c r="D2750">
        <v>439.600006103515</v>
      </c>
      <c r="E2750">
        <v>434.19000244140602</v>
      </c>
      <c r="F2750">
        <v>434.64999389648398</v>
      </c>
      <c r="G2750" s="2">
        <v>7164500</v>
      </c>
      <c r="H2750" s="3">
        <f t="shared" si="42"/>
        <v>9.3737249956988844E-3</v>
      </c>
      <c r="J2750" s="3">
        <v>1.6013974008109333E-2</v>
      </c>
      <c r="K2750" s="3">
        <v>0.86419364979566171</v>
      </c>
    </row>
    <row r="2751" spans="1:11" x14ac:dyDescent="0.2">
      <c r="A2751" s="1">
        <v>45652</v>
      </c>
      <c r="B2751">
        <v>432.16009521484301</v>
      </c>
      <c r="C2751">
        <v>438.10998535156199</v>
      </c>
      <c r="D2751">
        <v>440.94000244140602</v>
      </c>
      <c r="E2751">
        <v>436.63000488281199</v>
      </c>
      <c r="F2751">
        <v>439.079986572265</v>
      </c>
      <c r="G2751" s="2">
        <v>8194200</v>
      </c>
      <c r="H2751" s="3">
        <f t="shared" si="42"/>
        <v>-2.7768828534012746E-3</v>
      </c>
      <c r="J2751" s="3">
        <v>1.6017223832966332E-2</v>
      </c>
      <c r="K2751" s="3">
        <v>0.86450801634706065</v>
      </c>
    </row>
    <row r="2752" spans="1:11" x14ac:dyDescent="0.2">
      <c r="A2752" s="1">
        <v>45653</v>
      </c>
      <c r="B2752">
        <v>424.68304443359301</v>
      </c>
      <c r="C2752">
        <v>430.52999877929602</v>
      </c>
      <c r="D2752">
        <v>435.22000122070301</v>
      </c>
      <c r="E2752">
        <v>426.350006103515</v>
      </c>
      <c r="F2752">
        <v>434.600006103515</v>
      </c>
      <c r="G2752" s="2">
        <v>18117700</v>
      </c>
      <c r="H2752" s="3">
        <f t="shared" si="42"/>
        <v>-1.7301576115057227E-2</v>
      </c>
      <c r="J2752" s="3">
        <v>1.6017532844582627E-2</v>
      </c>
      <c r="K2752" s="3">
        <v>0.86482238289845959</v>
      </c>
    </row>
    <row r="2753" spans="1:11" x14ac:dyDescent="0.2">
      <c r="A2753" s="1">
        <v>45656</v>
      </c>
      <c r="B2753">
        <v>419.06048583984301</v>
      </c>
      <c r="C2753">
        <v>424.829986572265</v>
      </c>
      <c r="D2753">
        <v>427.54998779296801</v>
      </c>
      <c r="E2753">
        <v>421.89999389648398</v>
      </c>
      <c r="F2753">
        <v>426.05999755859301</v>
      </c>
      <c r="G2753" s="2">
        <v>13158700</v>
      </c>
      <c r="H2753" s="3">
        <f t="shared" si="42"/>
        <v>-1.3239423300378972E-2</v>
      </c>
      <c r="J2753" s="3">
        <v>1.6160017478718203E-2</v>
      </c>
      <c r="K2753" s="3">
        <v>0.86513674944985852</v>
      </c>
    </row>
    <row r="2754" spans="1:11" x14ac:dyDescent="0.2">
      <c r="A2754" s="1">
        <v>45657</v>
      </c>
      <c r="B2754">
        <v>415.77569580078102</v>
      </c>
      <c r="C2754">
        <v>421.5</v>
      </c>
      <c r="D2754">
        <v>426.73001098632801</v>
      </c>
      <c r="E2754">
        <v>420.66000366210898</v>
      </c>
      <c r="F2754">
        <v>426.100006103515</v>
      </c>
      <c r="G2754" s="2">
        <v>13246500</v>
      </c>
      <c r="H2754" s="3">
        <f t="shared" ref="H2754:H2817" si="43">B2754/B2753-1</f>
        <v>-7.838462823520409E-3</v>
      </c>
      <c r="J2754" s="3">
        <v>1.619213402133024E-2</v>
      </c>
      <c r="K2754" s="3">
        <v>0.86545111600125746</v>
      </c>
    </row>
    <row r="2755" spans="1:11" x14ac:dyDescent="0.2">
      <c r="A2755" s="1">
        <v>45659</v>
      </c>
      <c r="B2755">
        <v>412.89535522460898</v>
      </c>
      <c r="C2755">
        <v>418.579986572265</v>
      </c>
      <c r="D2755">
        <v>426.07000732421801</v>
      </c>
      <c r="E2755">
        <v>414.850006103515</v>
      </c>
      <c r="F2755">
        <v>425.52999877929602</v>
      </c>
      <c r="G2755" s="2">
        <v>16896500</v>
      </c>
      <c r="H2755" s="3">
        <f t="shared" si="43"/>
        <v>-6.9276309444314954E-3</v>
      </c>
      <c r="J2755" s="3">
        <v>1.626791575945985E-2</v>
      </c>
      <c r="K2755" s="3">
        <v>0.8657654825526564</v>
      </c>
    </row>
    <row r="2756" spans="1:11" x14ac:dyDescent="0.2">
      <c r="A2756" s="1">
        <v>45660</v>
      </c>
      <c r="B2756">
        <v>417.6005859375</v>
      </c>
      <c r="C2756">
        <v>423.350006103515</v>
      </c>
      <c r="D2756">
        <v>424.02999877929602</v>
      </c>
      <c r="E2756">
        <v>419.54000854492102</v>
      </c>
      <c r="F2756">
        <v>421.079986572265</v>
      </c>
      <c r="G2756" s="2">
        <v>16662900</v>
      </c>
      <c r="H2756" s="3">
        <f t="shared" si="43"/>
        <v>1.1395697852622844E-2</v>
      </c>
      <c r="J2756" s="3">
        <v>1.6301144617347774E-2</v>
      </c>
      <c r="K2756" s="3">
        <v>0.86607984910405533</v>
      </c>
    </row>
    <row r="2757" spans="1:11" x14ac:dyDescent="0.2">
      <c r="A2757" s="1">
        <v>45663</v>
      </c>
      <c r="B2757">
        <v>422.03948974609301</v>
      </c>
      <c r="C2757">
        <v>427.850006103515</v>
      </c>
      <c r="D2757">
        <v>434.32000732421801</v>
      </c>
      <c r="E2757">
        <v>425.48001098632801</v>
      </c>
      <c r="F2757">
        <v>428</v>
      </c>
      <c r="G2757" s="2">
        <v>20573600</v>
      </c>
      <c r="H2757" s="3">
        <f t="shared" si="43"/>
        <v>1.0629544014234993E-2</v>
      </c>
      <c r="J2757" s="3">
        <v>1.6315159277453972E-2</v>
      </c>
      <c r="K2757" s="3">
        <v>0.86639421565545427</v>
      </c>
    </row>
    <row r="2758" spans="1:11" x14ac:dyDescent="0.2">
      <c r="A2758" s="1">
        <v>45664</v>
      </c>
      <c r="B2758">
        <v>416.63385009765602</v>
      </c>
      <c r="C2758">
        <v>422.36999511718699</v>
      </c>
      <c r="D2758">
        <v>430.64999389648398</v>
      </c>
      <c r="E2758">
        <v>420.79998779296801</v>
      </c>
      <c r="F2758">
        <v>429</v>
      </c>
      <c r="G2758" s="2">
        <v>18139100</v>
      </c>
      <c r="H2758" s="3">
        <f t="shared" si="43"/>
        <v>-1.2808374049758098E-2</v>
      </c>
      <c r="J2758" s="3">
        <v>1.632422681012824E-2</v>
      </c>
      <c r="K2758" s="3">
        <v>0.86670858220685321</v>
      </c>
    </row>
    <row r="2759" spans="1:11" x14ac:dyDescent="0.2">
      <c r="A2759" s="1">
        <v>45665</v>
      </c>
      <c r="B2759">
        <v>418.79412841796801</v>
      </c>
      <c r="C2759">
        <v>424.55999755859301</v>
      </c>
      <c r="D2759">
        <v>426.97000122070301</v>
      </c>
      <c r="E2759">
        <v>421.54000854492102</v>
      </c>
      <c r="F2759">
        <v>423.45999145507801</v>
      </c>
      <c r="G2759" s="2">
        <v>15054600</v>
      </c>
      <c r="H2759" s="3">
        <f t="shared" si="43"/>
        <v>5.1850763441463332E-3</v>
      </c>
      <c r="J2759" s="3">
        <v>1.6332331545262813E-2</v>
      </c>
      <c r="K2759" s="3">
        <v>0.86702294875825214</v>
      </c>
    </row>
    <row r="2760" spans="1:11" x14ac:dyDescent="0.2">
      <c r="A2760" s="1">
        <v>45667</v>
      </c>
      <c r="B2760">
        <v>413.26031494140602</v>
      </c>
      <c r="C2760">
        <v>418.95001220703102</v>
      </c>
      <c r="D2760">
        <v>424.70999145507801</v>
      </c>
      <c r="E2760">
        <v>415.01998901367102</v>
      </c>
      <c r="F2760">
        <v>424.63000488281199</v>
      </c>
      <c r="G2760" s="2">
        <v>20201100</v>
      </c>
      <c r="H2760" s="3">
        <f t="shared" si="43"/>
        <v>-1.321368448374971E-2</v>
      </c>
      <c r="J2760" s="3">
        <v>1.6352738529139543E-2</v>
      </c>
      <c r="K2760" s="3">
        <v>0.86733731530965108</v>
      </c>
    </row>
    <row r="2761" spans="1:11" x14ac:dyDescent="0.2">
      <c r="A2761" s="1">
        <v>45670</v>
      </c>
      <c r="B2761">
        <v>411.52426147460898</v>
      </c>
      <c r="C2761">
        <v>417.19000244140602</v>
      </c>
      <c r="D2761">
        <v>418.5</v>
      </c>
      <c r="E2761">
        <v>412.29000854492102</v>
      </c>
      <c r="F2761">
        <v>415.239990234375</v>
      </c>
      <c r="G2761" s="2">
        <v>17604800</v>
      </c>
      <c r="H2761" s="3">
        <f t="shared" si="43"/>
        <v>-4.200871470185108E-3</v>
      </c>
      <c r="J2761" s="3">
        <v>1.6371206277803863E-2</v>
      </c>
      <c r="K2761" s="3">
        <v>0.86765168186105002</v>
      </c>
    </row>
    <row r="2762" spans="1:11" x14ac:dyDescent="0.2">
      <c r="A2762" s="1">
        <v>45671</v>
      </c>
      <c r="B2762">
        <v>410.02487182617102</v>
      </c>
      <c r="C2762">
        <v>415.67001342773398</v>
      </c>
      <c r="D2762">
        <v>419.739990234375</v>
      </c>
      <c r="E2762">
        <v>410.72000122070301</v>
      </c>
      <c r="F2762">
        <v>417.80999755859301</v>
      </c>
      <c r="G2762" s="2">
        <v>16935900</v>
      </c>
      <c r="H2762" s="3">
        <f t="shared" si="43"/>
        <v>-3.6435024342555966E-3</v>
      </c>
      <c r="J2762" s="3">
        <v>1.6379190683877942E-2</v>
      </c>
      <c r="K2762" s="3">
        <v>0.86796604841244895</v>
      </c>
    </row>
    <row r="2763" spans="1:11" x14ac:dyDescent="0.2">
      <c r="A2763" s="1">
        <v>45672</v>
      </c>
      <c r="B2763">
        <v>420.52038574218699</v>
      </c>
      <c r="C2763">
        <v>426.30999755859301</v>
      </c>
      <c r="D2763">
        <v>428.14999389648398</v>
      </c>
      <c r="E2763">
        <v>418.26998901367102</v>
      </c>
      <c r="F2763">
        <v>419.13000488281199</v>
      </c>
      <c r="G2763" s="2">
        <v>19637800</v>
      </c>
      <c r="H2763" s="3">
        <f t="shared" si="43"/>
        <v>2.5597261622864353E-2</v>
      </c>
      <c r="J2763" s="3">
        <v>1.6385716797225225E-2</v>
      </c>
      <c r="K2763" s="3">
        <v>0.86828041496384789</v>
      </c>
    </row>
    <row r="2764" spans="1:11" x14ac:dyDescent="0.2">
      <c r="A2764" s="1">
        <v>45673</v>
      </c>
      <c r="B2764">
        <v>418.81384277343699</v>
      </c>
      <c r="C2764">
        <v>424.579986572265</v>
      </c>
      <c r="D2764">
        <v>429.489990234375</v>
      </c>
      <c r="E2764">
        <v>424.39001464843699</v>
      </c>
      <c r="F2764">
        <v>428.70001220703102</v>
      </c>
      <c r="G2764" s="2">
        <v>15300000</v>
      </c>
      <c r="H2764" s="3">
        <f t="shared" si="43"/>
        <v>-4.0581694172521221E-3</v>
      </c>
      <c r="J2764" s="3">
        <v>1.639968976405437E-2</v>
      </c>
      <c r="K2764" s="3">
        <v>0.86859478151524683</v>
      </c>
    </row>
    <row r="2765" spans="1:11" x14ac:dyDescent="0.2">
      <c r="A2765" s="1">
        <v>45674</v>
      </c>
      <c r="B2765">
        <v>423.20343017578102</v>
      </c>
      <c r="C2765">
        <v>429.02999877929602</v>
      </c>
      <c r="D2765">
        <v>434.48001098632801</v>
      </c>
      <c r="E2765">
        <v>428.17001342773398</v>
      </c>
      <c r="F2765">
        <v>434.08999633789</v>
      </c>
      <c r="G2765" s="2">
        <v>26197500</v>
      </c>
      <c r="H2765" s="3">
        <f t="shared" si="43"/>
        <v>1.0480998844917933E-2</v>
      </c>
      <c r="J2765" s="3">
        <v>1.6406089077159347E-2</v>
      </c>
      <c r="K2765" s="3">
        <v>0.86890914806664565</v>
      </c>
    </row>
    <row r="2766" spans="1:11" x14ac:dyDescent="0.2">
      <c r="A2766" s="1">
        <v>45678</v>
      </c>
      <c r="B2766">
        <v>422.68060302734301</v>
      </c>
      <c r="C2766">
        <v>428.5</v>
      </c>
      <c r="D2766">
        <v>430.89999389648398</v>
      </c>
      <c r="E2766">
        <v>425.600006103515</v>
      </c>
      <c r="F2766">
        <v>430.20001220703102</v>
      </c>
      <c r="G2766" s="2">
        <v>26085700</v>
      </c>
      <c r="H2766" s="3">
        <f t="shared" si="43"/>
        <v>-1.2354038534632128E-3</v>
      </c>
      <c r="J2766" s="3">
        <v>1.6419649960163651E-2</v>
      </c>
      <c r="K2766" s="3">
        <v>0.86922351461804459</v>
      </c>
    </row>
    <row r="2767" spans="1:11" x14ac:dyDescent="0.2">
      <c r="A2767" s="1">
        <v>45679</v>
      </c>
      <c r="B2767">
        <v>440.14025878906199</v>
      </c>
      <c r="C2767">
        <v>446.20001220703102</v>
      </c>
      <c r="D2767">
        <v>447.26998901367102</v>
      </c>
      <c r="E2767">
        <v>436</v>
      </c>
      <c r="F2767">
        <v>437.55999755859301</v>
      </c>
      <c r="G2767" s="2">
        <v>27803800</v>
      </c>
      <c r="H2767" s="3">
        <f t="shared" si="43"/>
        <v>4.130697182853571E-2</v>
      </c>
      <c r="J2767" s="3">
        <v>1.6450908711926893E-2</v>
      </c>
      <c r="K2767" s="3">
        <v>0.86953788116944353</v>
      </c>
    </row>
    <row r="2768" spans="1:11" x14ac:dyDescent="0.2">
      <c r="A2768" s="1">
        <v>45680</v>
      </c>
      <c r="B2768">
        <v>440.643310546875</v>
      </c>
      <c r="C2768">
        <v>446.70999145507801</v>
      </c>
      <c r="D2768">
        <v>446.75</v>
      </c>
      <c r="E2768">
        <v>441.5</v>
      </c>
      <c r="F2768">
        <v>442</v>
      </c>
      <c r="G2768" s="2">
        <v>18389300</v>
      </c>
      <c r="H2768" s="3">
        <f t="shared" si="43"/>
        <v>1.1429351161764689E-3</v>
      </c>
      <c r="J2768" s="3">
        <v>1.6452967103252059E-2</v>
      </c>
      <c r="K2768" s="3">
        <v>0.86985224772084246</v>
      </c>
    </row>
    <row r="2769" spans="1:11" x14ac:dyDescent="0.2">
      <c r="A2769" s="1">
        <v>45681</v>
      </c>
      <c r="B2769">
        <v>438.029296875</v>
      </c>
      <c r="C2769">
        <v>444.05999755859301</v>
      </c>
      <c r="D2769">
        <v>446.64999389648398</v>
      </c>
      <c r="E2769">
        <v>441.39999389648398</v>
      </c>
      <c r="F2769">
        <v>445.16000366210898</v>
      </c>
      <c r="G2769" s="2">
        <v>15549500</v>
      </c>
      <c r="H2769" s="3">
        <f t="shared" si="43"/>
        <v>-5.9322667774777127E-3</v>
      </c>
      <c r="J2769" s="3">
        <v>1.6485569278334999E-2</v>
      </c>
      <c r="K2769" s="3">
        <v>0.8701666142722414</v>
      </c>
    </row>
    <row r="2770" spans="1:11" x14ac:dyDescent="0.2">
      <c r="A2770" s="1">
        <v>45684</v>
      </c>
      <c r="B2770">
        <v>428.65835571289</v>
      </c>
      <c r="C2770">
        <v>434.55999755859301</v>
      </c>
      <c r="D2770">
        <v>435.20001220703102</v>
      </c>
      <c r="E2770">
        <v>423.5</v>
      </c>
      <c r="F2770">
        <v>424.010009765625</v>
      </c>
      <c r="G2770" s="2">
        <v>35647800</v>
      </c>
      <c r="H2770" s="3">
        <f t="shared" si="43"/>
        <v>-2.1393411876704183E-2</v>
      </c>
      <c r="J2770" s="3">
        <v>1.6508456832467155E-2</v>
      </c>
      <c r="K2770" s="3">
        <v>0.87048098082364034</v>
      </c>
    </row>
    <row r="2771" spans="1:11" x14ac:dyDescent="0.2">
      <c r="A2771" s="1">
        <v>45685</v>
      </c>
      <c r="B2771">
        <v>441.126708984375</v>
      </c>
      <c r="C2771">
        <v>447.20001220703102</v>
      </c>
      <c r="D2771">
        <v>448.38000488281199</v>
      </c>
      <c r="E2771">
        <v>431.38000488281199</v>
      </c>
      <c r="F2771">
        <v>434.600006103515</v>
      </c>
      <c r="G2771" s="2">
        <v>23491700</v>
      </c>
      <c r="H2771" s="3">
        <f t="shared" si="43"/>
        <v>2.9086924599309949E-2</v>
      </c>
      <c r="J2771" s="3">
        <v>1.6530086158770274E-2</v>
      </c>
      <c r="K2771" s="3">
        <v>0.87079534737503927</v>
      </c>
    </row>
    <row r="2772" spans="1:11" x14ac:dyDescent="0.2">
      <c r="A2772" s="1">
        <v>45686</v>
      </c>
      <c r="B2772">
        <v>436.32275390625</v>
      </c>
      <c r="C2772">
        <v>442.329986572265</v>
      </c>
      <c r="D2772">
        <v>446.88000488281199</v>
      </c>
      <c r="E2772">
        <v>440.39999389648398</v>
      </c>
      <c r="F2772">
        <v>446.69000244140602</v>
      </c>
      <c r="G2772" s="2">
        <v>23581400</v>
      </c>
      <c r="H2772" s="3">
        <f t="shared" si="43"/>
        <v>-1.0890193180969177E-2</v>
      </c>
      <c r="J2772" s="3">
        <v>1.6549822680157034E-2</v>
      </c>
      <c r="K2772" s="3">
        <v>0.87110971392643821</v>
      </c>
    </row>
    <row r="2773" spans="1:11" x14ac:dyDescent="0.2">
      <c r="A2773" s="1">
        <v>45687</v>
      </c>
      <c r="B2773">
        <v>409.35406494140602</v>
      </c>
      <c r="C2773">
        <v>414.989990234375</v>
      </c>
      <c r="D2773">
        <v>422.85998535156199</v>
      </c>
      <c r="E2773">
        <v>413.16000366210898</v>
      </c>
      <c r="F2773">
        <v>418.76998901367102</v>
      </c>
      <c r="G2773" s="2">
        <v>54586300</v>
      </c>
      <c r="H2773" s="3">
        <f t="shared" si="43"/>
        <v>-6.1809036369069537E-2</v>
      </c>
      <c r="J2773" s="3">
        <v>1.6573975757318005E-2</v>
      </c>
      <c r="K2773" s="3">
        <v>0.87142408047783715</v>
      </c>
    </row>
    <row r="2774" spans="1:11" x14ac:dyDescent="0.2">
      <c r="A2774" s="1">
        <v>45688</v>
      </c>
      <c r="B2774">
        <v>409.42315673828102</v>
      </c>
      <c r="C2774">
        <v>415.05999755859301</v>
      </c>
      <c r="D2774">
        <v>420.69000244140602</v>
      </c>
      <c r="E2774">
        <v>414.91000366210898</v>
      </c>
      <c r="F2774">
        <v>418.98001098632801</v>
      </c>
      <c r="G2774" s="2">
        <v>34161900</v>
      </c>
      <c r="H2774" s="3">
        <f t="shared" si="43"/>
        <v>1.6878248634188964E-4</v>
      </c>
      <c r="J2774" s="3">
        <v>1.6596933924521995E-2</v>
      </c>
      <c r="K2774" s="3">
        <v>0.87173844702923609</v>
      </c>
    </row>
    <row r="2775" spans="1:11" x14ac:dyDescent="0.2">
      <c r="A2775" s="1">
        <v>45691</v>
      </c>
      <c r="B2775">
        <v>405.33935546875</v>
      </c>
      <c r="C2775">
        <v>410.92001342773398</v>
      </c>
      <c r="D2775">
        <v>415.41000366210898</v>
      </c>
      <c r="E2775">
        <v>408.66000366210898</v>
      </c>
      <c r="F2775">
        <v>411.600006103515</v>
      </c>
      <c r="G2775" s="2">
        <v>25679100</v>
      </c>
      <c r="H2775" s="3">
        <f t="shared" si="43"/>
        <v>-9.9745244066434813E-3</v>
      </c>
      <c r="J2775" s="3">
        <v>1.6613312650014089E-2</v>
      </c>
      <c r="K2775" s="3">
        <v>0.87205281358063502</v>
      </c>
    </row>
    <row r="2776" spans="1:11" x14ac:dyDescent="0.2">
      <c r="A2776" s="1">
        <v>45692</v>
      </c>
      <c r="B2776">
        <v>406.76968383789</v>
      </c>
      <c r="C2776">
        <v>412.36999511718699</v>
      </c>
      <c r="D2776">
        <v>413.92001342773398</v>
      </c>
      <c r="E2776">
        <v>409.739990234375</v>
      </c>
      <c r="F2776">
        <v>412.69000244140602</v>
      </c>
      <c r="G2776" s="2">
        <v>20532100</v>
      </c>
      <c r="H2776" s="3">
        <f t="shared" si="43"/>
        <v>3.5287182205288037E-3</v>
      </c>
      <c r="J2776" s="3">
        <v>1.6646091416568254E-2</v>
      </c>
      <c r="K2776" s="3">
        <v>0.87236718013203396</v>
      </c>
    </row>
    <row r="2777" spans="1:11" x14ac:dyDescent="0.2">
      <c r="A2777" s="1">
        <v>45693</v>
      </c>
      <c r="B2777">
        <v>407.67724609375</v>
      </c>
      <c r="C2777">
        <v>413.29000854492102</v>
      </c>
      <c r="D2777">
        <v>413.829986572265</v>
      </c>
      <c r="E2777">
        <v>410.39999389648398</v>
      </c>
      <c r="F2777">
        <v>412.350006103515</v>
      </c>
      <c r="G2777" s="2">
        <v>16316700</v>
      </c>
      <c r="H2777" s="3">
        <f t="shared" si="43"/>
        <v>2.2311452694732115E-3</v>
      </c>
      <c r="J2777" s="3">
        <v>1.6675681265736264E-2</v>
      </c>
      <c r="K2777" s="3">
        <v>0.8726815466834329</v>
      </c>
    </row>
    <row r="2778" spans="1:11" x14ac:dyDescent="0.2">
      <c r="A2778" s="1">
        <v>45694</v>
      </c>
      <c r="B2778">
        <v>410.1728515625</v>
      </c>
      <c r="C2778">
        <v>415.82000732421801</v>
      </c>
      <c r="D2778">
        <v>418.20001220703102</v>
      </c>
      <c r="E2778">
        <v>414</v>
      </c>
      <c r="F2778">
        <v>414</v>
      </c>
      <c r="G2778" s="2">
        <v>16309800</v>
      </c>
      <c r="H2778" s="3">
        <f t="shared" si="43"/>
        <v>6.1215225835196119E-3</v>
      </c>
      <c r="J2778" s="3">
        <v>1.6710684454402047E-2</v>
      </c>
      <c r="K2778" s="3">
        <v>0.87299591323483183</v>
      </c>
    </row>
    <row r="2779" spans="1:11" x14ac:dyDescent="0.2">
      <c r="A2779" s="1">
        <v>45695</v>
      </c>
      <c r="B2779">
        <v>404.18524169921801</v>
      </c>
      <c r="C2779">
        <v>409.75</v>
      </c>
      <c r="D2779">
        <v>418.64999389648398</v>
      </c>
      <c r="E2779">
        <v>408.100006103515</v>
      </c>
      <c r="F2779">
        <v>416.48001098632801</v>
      </c>
      <c r="G2779" s="2">
        <v>22886800</v>
      </c>
      <c r="H2779" s="3">
        <f t="shared" si="43"/>
        <v>-1.4597772233030493E-2</v>
      </c>
      <c r="J2779" s="3">
        <v>1.672221606757085E-2</v>
      </c>
      <c r="K2779" s="3">
        <v>0.87331027978623077</v>
      </c>
    </row>
    <row r="2780" spans="1:11" x14ac:dyDescent="0.2">
      <c r="A2780" s="1">
        <v>45698</v>
      </c>
      <c r="B2780">
        <v>406.62173461914</v>
      </c>
      <c r="C2780">
        <v>412.22000122070301</v>
      </c>
      <c r="D2780">
        <v>415.45999145507801</v>
      </c>
      <c r="E2780">
        <v>410.92001342773398</v>
      </c>
      <c r="F2780">
        <v>413.70999145507801</v>
      </c>
      <c r="G2780" s="2">
        <v>20817900</v>
      </c>
      <c r="H2780" s="3">
        <f t="shared" si="43"/>
        <v>6.0281590433111099E-3</v>
      </c>
      <c r="J2780" s="3">
        <v>1.6741318133299155E-2</v>
      </c>
      <c r="K2780" s="3">
        <v>0.87362464633762971</v>
      </c>
    </row>
    <row r="2781" spans="1:11" x14ac:dyDescent="0.2">
      <c r="A2781" s="1">
        <v>45699</v>
      </c>
      <c r="B2781">
        <v>405.85232543945301</v>
      </c>
      <c r="C2781">
        <v>411.44000244140602</v>
      </c>
      <c r="D2781">
        <v>412.489990234375</v>
      </c>
      <c r="E2781">
        <v>409.29998779296801</v>
      </c>
      <c r="F2781">
        <v>409.64001464843699</v>
      </c>
      <c r="G2781" s="2">
        <v>18140600</v>
      </c>
      <c r="H2781" s="3">
        <f t="shared" si="43"/>
        <v>-1.8921988525961719E-3</v>
      </c>
      <c r="J2781" s="3">
        <v>1.6749296976786621E-2</v>
      </c>
      <c r="K2781" s="3">
        <v>0.87393901288902864</v>
      </c>
    </row>
    <row r="2782" spans="1:11" x14ac:dyDescent="0.2">
      <c r="A2782" s="1">
        <v>45700</v>
      </c>
      <c r="B2782">
        <v>403.48492431640602</v>
      </c>
      <c r="C2782">
        <v>409.04000854492102</v>
      </c>
      <c r="D2782">
        <v>410.75</v>
      </c>
      <c r="E2782">
        <v>404.36999511718699</v>
      </c>
      <c r="F2782">
        <v>407.20999145507801</v>
      </c>
      <c r="G2782" s="2">
        <v>19121700</v>
      </c>
      <c r="H2782" s="3">
        <f t="shared" si="43"/>
        <v>-5.8331589463818112E-3</v>
      </c>
      <c r="J2782" s="3">
        <v>1.6753681897254902E-2</v>
      </c>
      <c r="K2782" s="3">
        <v>0.87425337944042758</v>
      </c>
    </row>
    <row r="2783" spans="1:11" x14ac:dyDescent="0.2">
      <c r="A2783" s="1">
        <v>45701</v>
      </c>
      <c r="B2783">
        <v>404.96453857421801</v>
      </c>
      <c r="C2783">
        <v>410.54000854492102</v>
      </c>
      <c r="D2783">
        <v>411</v>
      </c>
      <c r="E2783">
        <v>406.35998535156199</v>
      </c>
      <c r="F2783">
        <v>407</v>
      </c>
      <c r="G2783" s="2">
        <v>23891700</v>
      </c>
      <c r="H2783" s="3">
        <f t="shared" si="43"/>
        <v>3.6670868442452154E-3</v>
      </c>
      <c r="J2783" s="3">
        <v>1.6770347640330252E-2</v>
      </c>
      <c r="K2783" s="3">
        <v>0.87456774599182652</v>
      </c>
    </row>
    <row r="2784" spans="1:11" x14ac:dyDescent="0.2">
      <c r="A2784" s="1">
        <v>45702</v>
      </c>
      <c r="B2784">
        <v>402.88317871093699</v>
      </c>
      <c r="C2784">
        <v>408.42999267578102</v>
      </c>
      <c r="D2784">
        <v>408.91000366210898</v>
      </c>
      <c r="E2784">
        <v>405.88000488281199</v>
      </c>
      <c r="F2784">
        <v>407.79000854492102</v>
      </c>
      <c r="G2784" s="2">
        <v>22758500</v>
      </c>
      <c r="H2784" s="3">
        <f t="shared" si="43"/>
        <v>-5.1396101757674728E-3</v>
      </c>
      <c r="J2784" s="3">
        <v>1.6778607490236741E-2</v>
      </c>
      <c r="K2784" s="3">
        <v>0.87488211254322545</v>
      </c>
    </row>
    <row r="2785" spans="1:11" x14ac:dyDescent="0.2">
      <c r="A2785" s="1">
        <v>45706</v>
      </c>
      <c r="B2785">
        <v>404.07678222656199</v>
      </c>
      <c r="C2785">
        <v>409.64001464843699</v>
      </c>
      <c r="D2785">
        <v>410.600006103515</v>
      </c>
      <c r="E2785">
        <v>406.5</v>
      </c>
      <c r="F2785">
        <v>408</v>
      </c>
      <c r="G2785" s="2">
        <v>21423100</v>
      </c>
      <c r="H2785" s="3">
        <f t="shared" si="43"/>
        <v>2.9626541357323788E-3</v>
      </c>
      <c r="J2785" s="3">
        <v>1.6844427507294091E-2</v>
      </c>
      <c r="K2785" s="3">
        <v>0.87519647909462428</v>
      </c>
    </row>
    <row r="2786" spans="1:11" x14ac:dyDescent="0.2">
      <c r="A2786" s="1">
        <v>45707</v>
      </c>
      <c r="B2786">
        <v>409.137115478515</v>
      </c>
      <c r="C2786">
        <v>414.76998901367102</v>
      </c>
      <c r="D2786">
        <v>415.489990234375</v>
      </c>
      <c r="E2786">
        <v>407.64999389648398</v>
      </c>
      <c r="F2786">
        <v>407.88000488281199</v>
      </c>
      <c r="G2786" s="2">
        <v>24114200</v>
      </c>
      <c r="H2786" s="3">
        <f t="shared" si="43"/>
        <v>1.252319725986073E-2</v>
      </c>
      <c r="J2786" s="3">
        <v>1.6847681222913469E-2</v>
      </c>
      <c r="K2786" s="3">
        <v>0.87551084564602322</v>
      </c>
    </row>
    <row r="2787" spans="1:11" x14ac:dyDescent="0.2">
      <c r="A2787" s="1">
        <v>45708</v>
      </c>
      <c r="B2787">
        <v>411.30172729492102</v>
      </c>
      <c r="C2787">
        <v>416.13000488281199</v>
      </c>
      <c r="D2787">
        <v>419.30999755859301</v>
      </c>
      <c r="E2787">
        <v>412.54000854492102</v>
      </c>
      <c r="F2787">
        <v>415.29000854492102</v>
      </c>
      <c r="G2787" s="2">
        <v>23508700</v>
      </c>
      <c r="H2787" s="3">
        <f t="shared" si="43"/>
        <v>5.2906757527346748E-3</v>
      </c>
      <c r="J2787" s="3">
        <v>1.6861823036938839E-2</v>
      </c>
      <c r="K2787" s="3">
        <v>0.87582521219742215</v>
      </c>
    </row>
    <row r="2788" spans="1:11" x14ac:dyDescent="0.2">
      <c r="A2788" s="1">
        <v>45709</v>
      </c>
      <c r="B2788">
        <v>403.47357177734301</v>
      </c>
      <c r="C2788">
        <v>408.20999145507801</v>
      </c>
      <c r="D2788">
        <v>418.04998779296801</v>
      </c>
      <c r="E2788">
        <v>407.89001464843699</v>
      </c>
      <c r="F2788">
        <v>417.33999633789</v>
      </c>
      <c r="G2788" s="2">
        <v>27524800</v>
      </c>
      <c r="H2788" s="3">
        <f t="shared" si="43"/>
        <v>-1.903263467688987E-2</v>
      </c>
      <c r="J2788" s="3">
        <v>1.6885363937735987E-2</v>
      </c>
      <c r="K2788" s="3">
        <v>0.87613957874882109</v>
      </c>
    </row>
    <row r="2789" spans="1:11" x14ac:dyDescent="0.2">
      <c r="A2789" s="1">
        <v>45712</v>
      </c>
      <c r="B2789">
        <v>399.31243896484301</v>
      </c>
      <c r="C2789">
        <v>404</v>
      </c>
      <c r="D2789">
        <v>409.36999511718699</v>
      </c>
      <c r="E2789">
        <v>399.32000732421801</v>
      </c>
      <c r="F2789">
        <v>408.510009765625</v>
      </c>
      <c r="G2789" s="2">
        <v>26443700</v>
      </c>
      <c r="H2789" s="3">
        <f t="shared" si="43"/>
        <v>-1.0313272302247101E-2</v>
      </c>
      <c r="J2789" s="3">
        <v>1.6907486984542919E-2</v>
      </c>
      <c r="K2789" s="3">
        <v>0.87645394530022003</v>
      </c>
    </row>
    <row r="2790" spans="1:11" x14ac:dyDescent="0.2">
      <c r="A2790" s="1">
        <v>45713</v>
      </c>
      <c r="B2790">
        <v>393.283203125</v>
      </c>
      <c r="C2790">
        <v>397.89999389648398</v>
      </c>
      <c r="D2790">
        <v>401.92001342773398</v>
      </c>
      <c r="E2790">
        <v>396.70001220703102</v>
      </c>
      <c r="F2790">
        <v>401.100006103515</v>
      </c>
      <c r="G2790" s="2">
        <v>29387400</v>
      </c>
      <c r="H2790" s="3">
        <f t="shared" si="43"/>
        <v>-1.5099043384355637E-2</v>
      </c>
      <c r="J2790" s="3">
        <v>1.6918331372382189E-2</v>
      </c>
      <c r="K2790" s="3">
        <v>0.87676831185161896</v>
      </c>
    </row>
    <row r="2791" spans="1:11" x14ac:dyDescent="0.2">
      <c r="A2791" s="1">
        <v>45714</v>
      </c>
      <c r="B2791">
        <v>395.09197998046801</v>
      </c>
      <c r="C2791">
        <v>399.73001098632801</v>
      </c>
      <c r="D2791">
        <v>403.600006103515</v>
      </c>
      <c r="E2791">
        <v>394.25</v>
      </c>
      <c r="F2791">
        <v>398.010009765625</v>
      </c>
      <c r="G2791" s="2">
        <v>19619000</v>
      </c>
      <c r="H2791" s="3">
        <f t="shared" si="43"/>
        <v>4.5991713886979202E-3</v>
      </c>
      <c r="J2791" s="3">
        <v>1.694208449546375E-2</v>
      </c>
      <c r="K2791" s="3">
        <v>0.8770826784030179</v>
      </c>
    </row>
    <row r="2792" spans="1:11" x14ac:dyDescent="0.2">
      <c r="A2792" s="1">
        <v>45715</v>
      </c>
      <c r="B2792">
        <v>387.975494384765</v>
      </c>
      <c r="C2792">
        <v>392.52999877929602</v>
      </c>
      <c r="D2792">
        <v>405.739990234375</v>
      </c>
      <c r="E2792">
        <v>392.17001342773398</v>
      </c>
      <c r="F2792">
        <v>401.26998901367102</v>
      </c>
      <c r="G2792" s="2">
        <v>21127400</v>
      </c>
      <c r="H2792" s="3">
        <f t="shared" si="43"/>
        <v>-1.8012224890150419E-2</v>
      </c>
      <c r="J2792" s="3">
        <v>1.6997359419916203E-2</v>
      </c>
      <c r="K2792" s="3">
        <v>0.87739704495441684</v>
      </c>
    </row>
    <row r="2793" spans="1:11" x14ac:dyDescent="0.2">
      <c r="A2793" s="1">
        <v>45716</v>
      </c>
      <c r="B2793">
        <v>392.38372802734301</v>
      </c>
      <c r="C2793">
        <v>396.989990234375</v>
      </c>
      <c r="D2793">
        <v>397.63000488281199</v>
      </c>
      <c r="E2793">
        <v>386.57000732421801</v>
      </c>
      <c r="F2793">
        <v>392.66000366210898</v>
      </c>
      <c r="G2793" s="2">
        <v>32845700</v>
      </c>
      <c r="H2793" s="3">
        <f t="shared" si="43"/>
        <v>1.1362144533299423E-2</v>
      </c>
      <c r="J2793" s="3">
        <v>1.7004939066364688E-2</v>
      </c>
      <c r="K2793" s="3">
        <v>0.87771141150581578</v>
      </c>
    </row>
    <row r="2794" spans="1:11" x14ac:dyDescent="0.2">
      <c r="A2794" s="1">
        <v>45719</v>
      </c>
      <c r="B2794">
        <v>383.98239135742102</v>
      </c>
      <c r="C2794">
        <v>388.489990234375</v>
      </c>
      <c r="D2794">
        <v>398.82000732421801</v>
      </c>
      <c r="E2794">
        <v>386.16000366210898</v>
      </c>
      <c r="F2794">
        <v>398.82000732421801</v>
      </c>
      <c r="G2794" s="2">
        <v>23007700</v>
      </c>
      <c r="H2794" s="3">
        <f t="shared" si="43"/>
        <v>-2.1411022093496546E-2</v>
      </c>
      <c r="J2794" s="3">
        <v>1.7008970366346965E-2</v>
      </c>
      <c r="K2794" s="3">
        <v>0.87802577805721471</v>
      </c>
    </row>
    <row r="2795" spans="1:11" x14ac:dyDescent="0.2">
      <c r="A2795" s="1">
        <v>45720</v>
      </c>
      <c r="B2795">
        <v>384.10095214843699</v>
      </c>
      <c r="C2795">
        <v>388.60998535156199</v>
      </c>
      <c r="D2795">
        <v>392.579986572265</v>
      </c>
      <c r="E2795">
        <v>381</v>
      </c>
      <c r="F2795">
        <v>383.39999389648398</v>
      </c>
      <c r="G2795" s="2">
        <v>29342900</v>
      </c>
      <c r="H2795" s="3">
        <f t="shared" si="43"/>
        <v>3.0876621867181875E-4</v>
      </c>
      <c r="J2795" s="3">
        <v>1.7015962301211829E-2</v>
      </c>
      <c r="K2795" s="3">
        <v>0.87834014460861365</v>
      </c>
    </row>
    <row r="2796" spans="1:11" x14ac:dyDescent="0.2">
      <c r="A2796" s="1">
        <v>45721</v>
      </c>
      <c r="B2796">
        <v>396.36697387695301</v>
      </c>
      <c r="C2796">
        <v>401.01998901367102</v>
      </c>
      <c r="D2796">
        <v>401.67001342773398</v>
      </c>
      <c r="E2796">
        <v>388.80999755859301</v>
      </c>
      <c r="F2796">
        <v>389.33999633789</v>
      </c>
      <c r="G2796" s="2">
        <v>23433100</v>
      </c>
      <c r="H2796" s="3">
        <f t="shared" si="43"/>
        <v>3.1934369492986336E-2</v>
      </c>
      <c r="J2796" s="3">
        <v>1.701791475098946E-2</v>
      </c>
      <c r="K2796" s="3">
        <v>0.87865451116001259</v>
      </c>
    </row>
    <row r="2797" spans="1:11" x14ac:dyDescent="0.2">
      <c r="A2797" s="1">
        <v>45722</v>
      </c>
      <c r="B2797">
        <v>392.284912109375</v>
      </c>
      <c r="C2797">
        <v>396.89001464843699</v>
      </c>
      <c r="D2797">
        <v>402.14999389648398</v>
      </c>
      <c r="E2797">
        <v>392.67999267578102</v>
      </c>
      <c r="F2797">
        <v>394.27999877929602</v>
      </c>
      <c r="G2797" s="2">
        <v>23304600</v>
      </c>
      <c r="H2797" s="3">
        <f t="shared" si="43"/>
        <v>-1.0298692970432066E-2</v>
      </c>
      <c r="J2797" s="3">
        <v>1.7037042501279354E-2</v>
      </c>
      <c r="K2797" s="3">
        <v>0.87896887771141152</v>
      </c>
    </row>
    <row r="2798" spans="1:11" x14ac:dyDescent="0.2">
      <c r="A2798" s="1">
        <v>45723</v>
      </c>
      <c r="B2798">
        <v>388.74645996093699</v>
      </c>
      <c r="C2798">
        <v>393.30999755859301</v>
      </c>
      <c r="D2798">
        <v>394.79998779296801</v>
      </c>
      <c r="E2798">
        <v>385.54000854492102</v>
      </c>
      <c r="F2798">
        <v>392.32000732421801</v>
      </c>
      <c r="G2798" s="2">
        <v>22034100</v>
      </c>
      <c r="H2798" s="3">
        <f t="shared" si="43"/>
        <v>-9.0201076799288904E-3</v>
      </c>
      <c r="J2798" s="3">
        <v>1.7040184158148675E-2</v>
      </c>
      <c r="K2798" s="3">
        <v>0.87928324426281046</v>
      </c>
    </row>
    <row r="2799" spans="1:11" x14ac:dyDescent="0.2">
      <c r="A2799" s="1">
        <v>45726</v>
      </c>
      <c r="B2799">
        <v>375.7490234375</v>
      </c>
      <c r="C2799">
        <v>380.16000366210898</v>
      </c>
      <c r="D2799">
        <v>386.39999389648398</v>
      </c>
      <c r="E2799">
        <v>377.22000122070301</v>
      </c>
      <c r="F2799">
        <v>385.83999633789</v>
      </c>
      <c r="G2799" s="2">
        <v>32840100</v>
      </c>
      <c r="H2799" s="3">
        <f t="shared" si="43"/>
        <v>-3.3434224776588417E-2</v>
      </c>
      <c r="J2799" s="3">
        <v>1.7062821150993113E-2</v>
      </c>
      <c r="K2799" s="3">
        <v>0.8795976108142094</v>
      </c>
    </row>
    <row r="2800" spans="1:11" x14ac:dyDescent="0.2">
      <c r="A2800" s="1">
        <v>45727</v>
      </c>
      <c r="B2800">
        <v>376.03570556640602</v>
      </c>
      <c r="C2800">
        <v>380.45001220703102</v>
      </c>
      <c r="D2800">
        <v>386</v>
      </c>
      <c r="E2800">
        <v>376.91000366210898</v>
      </c>
      <c r="F2800">
        <v>379</v>
      </c>
      <c r="G2800" s="2">
        <v>30380200</v>
      </c>
      <c r="H2800" s="3">
        <f t="shared" si="43"/>
        <v>7.6296174048140486E-4</v>
      </c>
      <c r="J2800" s="3">
        <v>1.7092466719881294E-2</v>
      </c>
      <c r="K2800" s="3">
        <v>0.87991197736560833</v>
      </c>
    </row>
    <row r="2801" spans="1:11" x14ac:dyDescent="0.2">
      <c r="A2801" s="1">
        <v>45728</v>
      </c>
      <c r="B2801">
        <v>378.82293701171801</v>
      </c>
      <c r="C2801">
        <v>383.26998901367102</v>
      </c>
      <c r="D2801">
        <v>385.22000122070301</v>
      </c>
      <c r="E2801">
        <v>378.95001220703102</v>
      </c>
      <c r="F2801">
        <v>382.95001220703102</v>
      </c>
      <c r="G2801" s="2">
        <v>24253600</v>
      </c>
      <c r="H2801" s="3">
        <f t="shared" si="43"/>
        <v>7.4121457192839468E-3</v>
      </c>
      <c r="J2801" s="3">
        <v>1.7122250344436374E-2</v>
      </c>
      <c r="K2801" s="3">
        <v>0.88022634391700727</v>
      </c>
    </row>
    <row r="2802" spans="1:11" x14ac:dyDescent="0.2">
      <c r="A2802" s="1">
        <v>45729</v>
      </c>
      <c r="B2802">
        <v>374.37515258789</v>
      </c>
      <c r="C2802">
        <v>378.76998901367102</v>
      </c>
      <c r="D2802">
        <v>385.32000732421801</v>
      </c>
      <c r="E2802">
        <v>377.45001220703102</v>
      </c>
      <c r="F2802">
        <v>383.16000366210898</v>
      </c>
      <c r="G2802" s="2">
        <v>20473000</v>
      </c>
      <c r="H2802" s="3">
        <f t="shared" si="43"/>
        <v>-1.1741064199843887E-2</v>
      </c>
      <c r="J2802" s="3">
        <v>1.7137349174556116E-2</v>
      </c>
      <c r="K2802" s="3">
        <v>0.88054071046840621</v>
      </c>
    </row>
    <row r="2803" spans="1:11" x14ac:dyDescent="0.2">
      <c r="A2803" s="1">
        <v>45730</v>
      </c>
      <c r="B2803">
        <v>384.05157470703102</v>
      </c>
      <c r="C2803">
        <v>388.55999755859301</v>
      </c>
      <c r="D2803">
        <v>390.23001098632801</v>
      </c>
      <c r="E2803">
        <v>379.510009765625</v>
      </c>
      <c r="F2803">
        <v>379.77999877929602</v>
      </c>
      <c r="G2803" s="2">
        <v>19952800</v>
      </c>
      <c r="H2803" s="3">
        <f t="shared" si="43"/>
        <v>2.5846859900429342E-2</v>
      </c>
      <c r="J2803" s="3">
        <v>1.7156837824230387E-2</v>
      </c>
      <c r="K2803" s="3">
        <v>0.88085507701980514</v>
      </c>
    </row>
    <row r="2804" spans="1:11" x14ac:dyDescent="0.2">
      <c r="A2804" s="1">
        <v>45733</v>
      </c>
      <c r="B2804">
        <v>384.18997192382801</v>
      </c>
      <c r="C2804">
        <v>388.70001220703102</v>
      </c>
      <c r="D2804">
        <v>392.70999145507801</v>
      </c>
      <c r="E2804">
        <v>385.57000732421801</v>
      </c>
      <c r="F2804">
        <v>386.70001220703102</v>
      </c>
      <c r="G2804" s="2">
        <v>22474300</v>
      </c>
      <c r="H2804" s="3">
        <f t="shared" si="43"/>
        <v>3.6036101896619321E-4</v>
      </c>
      <c r="J2804" s="3">
        <v>1.7257117132059907E-2</v>
      </c>
      <c r="K2804" s="3">
        <v>0.88116944357120397</v>
      </c>
    </row>
    <row r="2805" spans="1:11" x14ac:dyDescent="0.2">
      <c r="A2805" s="1">
        <v>45734</v>
      </c>
      <c r="B2805">
        <v>379.070068359375</v>
      </c>
      <c r="C2805">
        <v>383.51998901367102</v>
      </c>
      <c r="D2805">
        <v>387.36999511718699</v>
      </c>
      <c r="E2805">
        <v>381.100006103515</v>
      </c>
      <c r="F2805">
        <v>387.07000732421801</v>
      </c>
      <c r="G2805" s="2">
        <v>19486900</v>
      </c>
      <c r="H2805" s="3">
        <f t="shared" si="43"/>
        <v>-1.3326489337592951E-2</v>
      </c>
      <c r="J2805" s="3">
        <v>1.7296235257817649E-2</v>
      </c>
      <c r="K2805" s="3">
        <v>0.88148381012260291</v>
      </c>
    </row>
    <row r="2806" spans="1:11" x14ac:dyDescent="0.2">
      <c r="A2806" s="1">
        <v>45735</v>
      </c>
      <c r="B2806">
        <v>383.32015991210898</v>
      </c>
      <c r="C2806">
        <v>387.82000732421801</v>
      </c>
      <c r="D2806">
        <v>389.67999267578102</v>
      </c>
      <c r="E2806">
        <v>384</v>
      </c>
      <c r="F2806">
        <v>385.52999877929602</v>
      </c>
      <c r="G2806" s="2">
        <v>19185500</v>
      </c>
      <c r="H2806" s="3">
        <f t="shared" si="43"/>
        <v>1.1211889060849467E-2</v>
      </c>
      <c r="J2806" s="3">
        <v>1.7387812543682379E-2</v>
      </c>
      <c r="K2806" s="3">
        <v>0.88179817667400184</v>
      </c>
    </row>
    <row r="2807" spans="1:11" x14ac:dyDescent="0.2">
      <c r="A2807" s="1">
        <v>45736</v>
      </c>
      <c r="B2807">
        <v>382.35150146484301</v>
      </c>
      <c r="C2807">
        <v>386.83999633789</v>
      </c>
      <c r="D2807">
        <v>391.79000854492102</v>
      </c>
      <c r="E2807">
        <v>383.27999877929602</v>
      </c>
      <c r="F2807">
        <v>385.739990234375</v>
      </c>
      <c r="G2807" s="2">
        <v>18470500</v>
      </c>
      <c r="H2807" s="3">
        <f t="shared" si="43"/>
        <v>-2.5270219220613344E-3</v>
      </c>
      <c r="J2807" s="3">
        <v>1.7464677250356164E-2</v>
      </c>
      <c r="K2807" s="3">
        <v>0.88211254322540078</v>
      </c>
    </row>
    <row r="2808" spans="1:11" x14ac:dyDescent="0.2">
      <c r="A2808" s="1">
        <v>45737</v>
      </c>
      <c r="B2808">
        <v>386.72027587890602</v>
      </c>
      <c r="C2808">
        <v>391.260009765625</v>
      </c>
      <c r="D2808">
        <v>391.739990234375</v>
      </c>
      <c r="E2808">
        <v>382.79998779296801</v>
      </c>
      <c r="F2808">
        <v>383.22000122070301</v>
      </c>
      <c r="G2808" s="2">
        <v>39675900</v>
      </c>
      <c r="H2808" s="3">
        <f t="shared" si="43"/>
        <v>1.1426068414340351E-2</v>
      </c>
      <c r="J2808" s="3">
        <v>1.7484042034358049E-2</v>
      </c>
      <c r="K2808" s="3">
        <v>0.88242690977679972</v>
      </c>
    </row>
    <row r="2809" spans="1:11" x14ac:dyDescent="0.2">
      <c r="A2809" s="1">
        <v>45740</v>
      </c>
      <c r="B2809">
        <v>388.51913452148398</v>
      </c>
      <c r="C2809">
        <v>393.079986572265</v>
      </c>
      <c r="D2809">
        <v>395.39999389648398</v>
      </c>
      <c r="E2809">
        <v>389.80999755859301</v>
      </c>
      <c r="F2809">
        <v>395.39999389648398</v>
      </c>
      <c r="G2809" s="2">
        <v>21004500</v>
      </c>
      <c r="H2809" s="3">
        <f t="shared" si="43"/>
        <v>4.6515757119010015E-3</v>
      </c>
      <c r="J2809" s="3">
        <v>1.7507106648044779E-2</v>
      </c>
      <c r="K2809" s="3">
        <v>0.88274127632819865</v>
      </c>
    </row>
    <row r="2810" spans="1:11" x14ac:dyDescent="0.2">
      <c r="A2810" s="1">
        <v>45741</v>
      </c>
      <c r="B2810">
        <v>390.57501220703102</v>
      </c>
      <c r="C2810">
        <v>395.16000366210898</v>
      </c>
      <c r="D2810">
        <v>396.35998535156199</v>
      </c>
      <c r="E2810">
        <v>392.64001464843699</v>
      </c>
      <c r="F2810">
        <v>393.92001342773398</v>
      </c>
      <c r="G2810" s="2">
        <v>15775000</v>
      </c>
      <c r="H2810" s="3">
        <f t="shared" si="43"/>
        <v>5.2915738322107941E-3</v>
      </c>
      <c r="J2810" s="3">
        <v>1.753347244771386E-2</v>
      </c>
      <c r="K2810" s="3">
        <v>0.88305564287959759</v>
      </c>
    </row>
    <row r="2811" spans="1:11" x14ac:dyDescent="0.2">
      <c r="A2811" s="1">
        <v>45742</v>
      </c>
      <c r="B2811">
        <v>385.44515991210898</v>
      </c>
      <c r="C2811">
        <v>389.97000122070301</v>
      </c>
      <c r="D2811">
        <v>395.30999755859301</v>
      </c>
      <c r="E2811">
        <v>388.57000732421801</v>
      </c>
      <c r="F2811">
        <v>395</v>
      </c>
      <c r="G2811" s="2">
        <v>16108400</v>
      </c>
      <c r="H2811" s="3">
        <f t="shared" si="43"/>
        <v>-1.3134102629696387E-2</v>
      </c>
      <c r="J2811" s="3">
        <v>1.7550994860339619E-2</v>
      </c>
      <c r="K2811" s="3">
        <v>0.88337000943099653</v>
      </c>
    </row>
    <row r="2812" spans="1:11" x14ac:dyDescent="0.2">
      <c r="A2812" s="1">
        <v>45743</v>
      </c>
      <c r="B2812">
        <v>386.04812622070301</v>
      </c>
      <c r="C2812">
        <v>390.579986572265</v>
      </c>
      <c r="D2812">
        <v>392.239990234375</v>
      </c>
      <c r="E2812">
        <v>387.39999389648398</v>
      </c>
      <c r="F2812">
        <v>390.13000488281199</v>
      </c>
      <c r="G2812" s="2">
        <v>13766800</v>
      </c>
      <c r="H2812" s="3">
        <f t="shared" si="43"/>
        <v>1.5643374760019313E-3</v>
      </c>
      <c r="J2812" s="3">
        <v>1.7583252959133766E-2</v>
      </c>
      <c r="K2812" s="3">
        <v>0.88368437598239546</v>
      </c>
    </row>
    <row r="2813" spans="1:11" x14ac:dyDescent="0.2">
      <c r="A2813" s="1">
        <v>45744</v>
      </c>
      <c r="B2813">
        <v>374.40481567382801</v>
      </c>
      <c r="C2813">
        <v>378.79998779296801</v>
      </c>
      <c r="D2813">
        <v>389.13000488281199</v>
      </c>
      <c r="E2813">
        <v>376.92999267578102</v>
      </c>
      <c r="F2813">
        <v>388.079986572265</v>
      </c>
      <c r="G2813" s="2">
        <v>21632000</v>
      </c>
      <c r="H2813" s="3">
        <f t="shared" si="43"/>
        <v>-3.016025660028343E-2</v>
      </c>
      <c r="J2813" s="3">
        <v>1.7583462167185537E-2</v>
      </c>
      <c r="K2813" s="3">
        <v>0.8839987425337944</v>
      </c>
    </row>
    <row r="2814" spans="1:11" x14ac:dyDescent="0.2">
      <c r="A2814" s="1">
        <v>45747</v>
      </c>
      <c r="B2814">
        <v>371.03439331054602</v>
      </c>
      <c r="C2814">
        <v>375.39001464843699</v>
      </c>
      <c r="D2814">
        <v>377.07000732421801</v>
      </c>
      <c r="E2814">
        <v>367.239990234375</v>
      </c>
      <c r="F2814">
        <v>372.54000854492102</v>
      </c>
      <c r="G2814" s="2">
        <v>35184700</v>
      </c>
      <c r="H2814" s="3">
        <f t="shared" si="43"/>
        <v>-9.0020806949722143E-3</v>
      </c>
      <c r="J2814" s="3">
        <v>1.7584330997850062E-2</v>
      </c>
      <c r="K2814" s="3">
        <v>0.88431310908519334</v>
      </c>
    </row>
    <row r="2815" spans="1:11" x14ac:dyDescent="0.2">
      <c r="A2815" s="1">
        <v>45748</v>
      </c>
      <c r="B2815">
        <v>377.75552368164</v>
      </c>
      <c r="C2815">
        <v>382.19000244140602</v>
      </c>
      <c r="D2815">
        <v>382.850006103515</v>
      </c>
      <c r="E2815">
        <v>373.23001098632801</v>
      </c>
      <c r="F2815">
        <v>374.64999389648398</v>
      </c>
      <c r="G2815" s="2">
        <v>19689500</v>
      </c>
      <c r="H2815" s="3">
        <f t="shared" si="43"/>
        <v>1.8114575069779537E-2</v>
      </c>
      <c r="J2815" s="3">
        <v>1.7600255138628063E-2</v>
      </c>
      <c r="K2815" s="3">
        <v>0.88462747563659228</v>
      </c>
    </row>
    <row r="2816" spans="1:11" x14ac:dyDescent="0.2">
      <c r="A2816" s="1">
        <v>45749</v>
      </c>
      <c r="B2816">
        <v>377.70611572265602</v>
      </c>
      <c r="C2816">
        <v>382.14001464843699</v>
      </c>
      <c r="D2816">
        <v>385.079986572265</v>
      </c>
      <c r="E2816">
        <v>376.61999511718699</v>
      </c>
      <c r="F2816">
        <v>377.97000122070301</v>
      </c>
      <c r="G2816" s="2">
        <v>16092600</v>
      </c>
      <c r="H2816" s="3">
        <f t="shared" si="43"/>
        <v>-1.3079347855049495E-4</v>
      </c>
      <c r="J2816" s="3">
        <v>1.7647853412254166E-2</v>
      </c>
      <c r="K2816" s="3">
        <v>0.88494184218799121</v>
      </c>
    </row>
    <row r="2817" spans="1:11" x14ac:dyDescent="0.2">
      <c r="A2817" s="1">
        <v>45750</v>
      </c>
      <c r="B2817">
        <v>368.78082275390602</v>
      </c>
      <c r="C2817">
        <v>373.10998535156199</v>
      </c>
      <c r="D2817">
        <v>377.48001098632801</v>
      </c>
      <c r="E2817">
        <v>369.350006103515</v>
      </c>
      <c r="F2817">
        <v>374.79000854492102</v>
      </c>
      <c r="G2817" s="2">
        <v>30198000</v>
      </c>
      <c r="H2817" s="3">
        <f t="shared" si="43"/>
        <v>-2.36302580160066E-2</v>
      </c>
      <c r="J2817" s="3">
        <v>1.769862458200433E-2</v>
      </c>
      <c r="K2817" s="3">
        <v>0.88525620873939015</v>
      </c>
    </row>
    <row r="2818" spans="1:11" x14ac:dyDescent="0.2">
      <c r="A2818" s="1">
        <v>45751</v>
      </c>
      <c r="B2818">
        <v>355.66476440429602</v>
      </c>
      <c r="C2818">
        <v>359.83999633789</v>
      </c>
      <c r="D2818">
        <v>374.58999633789</v>
      </c>
      <c r="E2818">
        <v>359.48001098632801</v>
      </c>
      <c r="F2818">
        <v>364.13000488281199</v>
      </c>
      <c r="G2818" s="2">
        <v>49209900</v>
      </c>
      <c r="H2818" s="3">
        <f t="shared" ref="H2818:H2881" si="44">B2818/B2817-1</f>
        <v>-3.5565998935803034E-2</v>
      </c>
      <c r="J2818" s="3">
        <v>1.7716667650736317E-2</v>
      </c>
      <c r="K2818" s="3">
        <v>0.88557057529078909</v>
      </c>
    </row>
    <row r="2819" spans="1:11" x14ac:dyDescent="0.2">
      <c r="A2819" s="1">
        <v>45754</v>
      </c>
      <c r="B2819">
        <v>353.70773315429602</v>
      </c>
      <c r="C2819">
        <v>357.85998535156199</v>
      </c>
      <c r="D2819">
        <v>371</v>
      </c>
      <c r="E2819">
        <v>344.79000854492102</v>
      </c>
      <c r="F2819">
        <v>350.88000488281199</v>
      </c>
      <c r="G2819" s="2">
        <v>50425000</v>
      </c>
      <c r="H2819" s="3">
        <f t="shared" si="44"/>
        <v>-5.5024603105618963E-3</v>
      </c>
      <c r="J2819" s="3">
        <v>1.7744138041323909E-2</v>
      </c>
      <c r="K2819" s="3">
        <v>0.88588494184218802</v>
      </c>
    </row>
    <row r="2820" spans="1:11" x14ac:dyDescent="0.2">
      <c r="A2820" s="1">
        <v>45755</v>
      </c>
      <c r="B2820">
        <v>350.446044921875</v>
      </c>
      <c r="C2820">
        <v>354.55999755859301</v>
      </c>
      <c r="D2820">
        <v>373.64999389648398</v>
      </c>
      <c r="E2820">
        <v>350.25</v>
      </c>
      <c r="F2820">
        <v>368.260009765625</v>
      </c>
      <c r="G2820" s="2">
        <v>35868900</v>
      </c>
      <c r="H2820" s="3">
        <f t="shared" si="44"/>
        <v>-9.2214218878787779E-3</v>
      </c>
      <c r="J2820" s="3">
        <v>1.7758550489641145E-2</v>
      </c>
      <c r="K2820" s="3">
        <v>0.88619930839358696</v>
      </c>
    </row>
    <row r="2821" spans="1:11" x14ac:dyDescent="0.2">
      <c r="A2821" s="1">
        <v>45756</v>
      </c>
      <c r="B2821">
        <v>385.95919799804602</v>
      </c>
      <c r="C2821">
        <v>390.489990234375</v>
      </c>
      <c r="D2821">
        <v>393.23001098632801</v>
      </c>
      <c r="E2821">
        <v>353.100006103515</v>
      </c>
      <c r="F2821">
        <v>353.54000854492102</v>
      </c>
      <c r="G2821" s="2">
        <v>50199700</v>
      </c>
      <c r="H2821" s="3">
        <f t="shared" si="44"/>
        <v>0.10133700634027121</v>
      </c>
      <c r="J2821" s="3">
        <v>1.7765920991404283E-2</v>
      </c>
      <c r="K2821" s="3">
        <v>0.8865136749449859</v>
      </c>
    </row>
    <row r="2822" spans="1:11" x14ac:dyDescent="0.2">
      <c r="A2822" s="1">
        <v>45757</v>
      </c>
      <c r="B2822">
        <v>376.92523193359301</v>
      </c>
      <c r="C2822">
        <v>381.350006103515</v>
      </c>
      <c r="D2822">
        <v>383.89999389648398</v>
      </c>
      <c r="E2822">
        <v>367.79998779296801</v>
      </c>
      <c r="F2822">
        <v>382.05999755859301</v>
      </c>
      <c r="G2822" s="2">
        <v>38024400</v>
      </c>
      <c r="H2822" s="3">
        <f t="shared" si="44"/>
        <v>-2.3406531341426229E-2</v>
      </c>
      <c r="J2822" s="3">
        <v>1.7773407368519401E-2</v>
      </c>
      <c r="K2822" s="3">
        <v>0.88682804149638483</v>
      </c>
    </row>
    <row r="2823" spans="1:11" x14ac:dyDescent="0.2">
      <c r="A2823" s="1">
        <v>45758</v>
      </c>
      <c r="B2823">
        <v>383.94287109375</v>
      </c>
      <c r="C2823">
        <v>388.45001220703102</v>
      </c>
      <c r="D2823">
        <v>390.04998779296801</v>
      </c>
      <c r="E2823">
        <v>378.89001464843699</v>
      </c>
      <c r="F2823">
        <v>380.64001464843699</v>
      </c>
      <c r="G2823" s="2">
        <v>23839200</v>
      </c>
      <c r="H2823" s="3">
        <f t="shared" si="44"/>
        <v>1.8618119896503416E-2</v>
      </c>
      <c r="J2823" s="3">
        <v>1.7818921265970733E-2</v>
      </c>
      <c r="K2823" s="3">
        <v>0.88714240804778377</v>
      </c>
    </row>
    <row r="2824" spans="1:11" x14ac:dyDescent="0.2">
      <c r="A2824" s="1">
        <v>45761</v>
      </c>
      <c r="B2824">
        <v>383.31027221679602</v>
      </c>
      <c r="C2824">
        <v>387.80999755859301</v>
      </c>
      <c r="D2824">
        <v>394.64999389648398</v>
      </c>
      <c r="E2824">
        <v>384.20999145507801</v>
      </c>
      <c r="F2824">
        <v>393.22000122070301</v>
      </c>
      <c r="G2824" s="2">
        <v>19251200</v>
      </c>
      <c r="H2824" s="3">
        <f t="shared" si="44"/>
        <v>-1.6476380331059692E-3</v>
      </c>
      <c r="J2824" s="3">
        <v>1.7822685244235803E-2</v>
      </c>
      <c r="K2824" s="3">
        <v>0.8874567745991826</v>
      </c>
    </row>
    <row r="2825" spans="1:11" x14ac:dyDescent="0.2">
      <c r="A2825" s="1">
        <v>45762</v>
      </c>
      <c r="B2825">
        <v>381.25442504882801</v>
      </c>
      <c r="C2825">
        <v>385.73001098632801</v>
      </c>
      <c r="D2825">
        <v>391.89001464843699</v>
      </c>
      <c r="E2825">
        <v>384.16000366210898</v>
      </c>
      <c r="F2825">
        <v>388.510009765625</v>
      </c>
      <c r="G2825" s="2">
        <v>17199900</v>
      </c>
      <c r="H2825" s="3">
        <f t="shared" si="44"/>
        <v>-5.3634022278569171E-3</v>
      </c>
      <c r="J2825" s="3">
        <v>1.7830258927489906E-2</v>
      </c>
      <c r="K2825" s="3">
        <v>0.88777114115058153</v>
      </c>
    </row>
    <row r="2826" spans="1:11" x14ac:dyDescent="0.2">
      <c r="A2826" s="1">
        <v>45763</v>
      </c>
      <c r="B2826">
        <v>367.29821777343699</v>
      </c>
      <c r="C2826">
        <v>371.60998535156199</v>
      </c>
      <c r="D2826">
        <v>381.60998535156199</v>
      </c>
      <c r="E2826">
        <v>368</v>
      </c>
      <c r="F2826">
        <v>380.67001342773398</v>
      </c>
      <c r="G2826" s="2">
        <v>21967800</v>
      </c>
      <c r="H2826" s="3">
        <f t="shared" si="44"/>
        <v>-3.660602043793626E-2</v>
      </c>
      <c r="J2826" s="3">
        <v>1.7841063754866715E-2</v>
      </c>
      <c r="K2826" s="3">
        <v>0.88808550770198047</v>
      </c>
    </row>
    <row r="2827" spans="1:11" x14ac:dyDescent="0.2">
      <c r="A2827" s="1">
        <v>45764</v>
      </c>
      <c r="B2827">
        <v>363.51266479492102</v>
      </c>
      <c r="C2827">
        <v>367.77999877929602</v>
      </c>
      <c r="D2827">
        <v>374.32000732421801</v>
      </c>
      <c r="E2827">
        <v>366.89001464843699</v>
      </c>
      <c r="F2827">
        <v>373.75</v>
      </c>
      <c r="G2827" s="2">
        <v>21120200</v>
      </c>
      <c r="H2827" s="3">
        <f t="shared" si="44"/>
        <v>-1.0306483384166731E-2</v>
      </c>
      <c r="J2827" s="3">
        <v>1.7847650762826905E-2</v>
      </c>
      <c r="K2827" s="3">
        <v>0.88839987425337941</v>
      </c>
    </row>
    <row r="2828" spans="1:11" x14ac:dyDescent="0.2">
      <c r="A2828" s="1">
        <v>45768</v>
      </c>
      <c r="B2828">
        <v>354.95315551757801</v>
      </c>
      <c r="C2828">
        <v>359.11999511718699</v>
      </c>
      <c r="D2828">
        <v>364.48001098632801</v>
      </c>
      <c r="E2828">
        <v>355.67001342773398</v>
      </c>
      <c r="F2828">
        <v>362.82000732421801</v>
      </c>
      <c r="G2828" s="2">
        <v>20807300</v>
      </c>
      <c r="H2828" s="3">
        <f t="shared" si="44"/>
        <v>-2.3546660422882226E-2</v>
      </c>
      <c r="J2828" s="3">
        <v>1.7888674491515433E-2</v>
      </c>
      <c r="K2828" s="3">
        <v>0.88871424080477834</v>
      </c>
    </row>
    <row r="2829" spans="1:11" x14ac:dyDescent="0.2">
      <c r="A2829" s="1">
        <v>45769</v>
      </c>
      <c r="B2829">
        <v>362.56384277343699</v>
      </c>
      <c r="C2829">
        <v>366.82000732421801</v>
      </c>
      <c r="D2829">
        <v>367.76998901367102</v>
      </c>
      <c r="E2829">
        <v>359.85998535156199</v>
      </c>
      <c r="F2829">
        <v>363.38000488281199</v>
      </c>
      <c r="G2829" s="2">
        <v>19485000</v>
      </c>
      <c r="H2829" s="3">
        <f t="shared" si="44"/>
        <v>2.1441384975888989E-2</v>
      </c>
      <c r="J2829" s="3">
        <v>1.7905647146224446E-2</v>
      </c>
      <c r="K2829" s="3">
        <v>0.88902860735617728</v>
      </c>
    </row>
    <row r="2830" spans="1:11" x14ac:dyDescent="0.2">
      <c r="A2830" s="1">
        <v>45770</v>
      </c>
      <c r="B2830">
        <v>370.04602050781199</v>
      </c>
      <c r="C2830">
        <v>374.39001464843699</v>
      </c>
      <c r="D2830">
        <v>380.39001464843699</v>
      </c>
      <c r="E2830">
        <v>373.01998901367102</v>
      </c>
      <c r="F2830">
        <v>376.05999755859301</v>
      </c>
      <c r="G2830" s="2">
        <v>20545500</v>
      </c>
      <c r="H2830" s="3">
        <f t="shared" si="44"/>
        <v>2.0636855780046925E-2</v>
      </c>
      <c r="J2830" s="3">
        <v>1.7911676628912021E-2</v>
      </c>
      <c r="K2830" s="3">
        <v>0.88934297390757622</v>
      </c>
    </row>
    <row r="2831" spans="1:11" x14ac:dyDescent="0.2">
      <c r="A2831" s="1">
        <v>45771</v>
      </c>
      <c r="B2831">
        <v>382.80618286132801</v>
      </c>
      <c r="C2831">
        <v>387.29998779296801</v>
      </c>
      <c r="D2831">
        <v>388.45001220703102</v>
      </c>
      <c r="E2831">
        <v>375.19000244140602</v>
      </c>
      <c r="F2831">
        <v>375.70001220703102</v>
      </c>
      <c r="G2831" s="2">
        <v>22232300</v>
      </c>
      <c r="H2831" s="3">
        <f t="shared" si="44"/>
        <v>3.4482636338056816E-2</v>
      </c>
      <c r="J2831" s="3">
        <v>1.793656191515991E-2</v>
      </c>
      <c r="K2831" s="3">
        <v>0.88965734045897515</v>
      </c>
    </row>
    <row r="2832" spans="1:11" x14ac:dyDescent="0.2">
      <c r="A2832" s="1">
        <v>45772</v>
      </c>
      <c r="B2832">
        <v>387.30343627929602</v>
      </c>
      <c r="C2832">
        <v>391.850006103515</v>
      </c>
      <c r="D2832">
        <v>392.16000366210898</v>
      </c>
      <c r="E2832">
        <v>384.600006103515</v>
      </c>
      <c r="F2832">
        <v>387</v>
      </c>
      <c r="G2832" s="2">
        <v>18973200</v>
      </c>
      <c r="H2832" s="3">
        <f t="shared" si="44"/>
        <v>1.1748121162392877E-2</v>
      </c>
      <c r="J2832" s="3">
        <v>1.7966969581452386E-2</v>
      </c>
      <c r="K2832" s="3">
        <v>0.88997170701037409</v>
      </c>
    </row>
    <row r="2833" spans="1:11" x14ac:dyDescent="0.2">
      <c r="A2833" s="1">
        <v>45775</v>
      </c>
      <c r="B2833">
        <v>386.62142944335898</v>
      </c>
      <c r="C2833">
        <v>391.16000366210898</v>
      </c>
      <c r="D2833">
        <v>392.739990234375</v>
      </c>
      <c r="E2833">
        <v>386.64001464843699</v>
      </c>
      <c r="F2833">
        <v>391.95999145507801</v>
      </c>
      <c r="G2833" s="2">
        <v>16579400</v>
      </c>
      <c r="H2833" s="3">
        <f t="shared" si="44"/>
        <v>-1.7609108829212961E-3</v>
      </c>
      <c r="J2833" s="3">
        <v>1.7994954201210334E-2</v>
      </c>
      <c r="K2833" s="3">
        <v>0.89028607356177303</v>
      </c>
    </row>
    <row r="2834" spans="1:11" x14ac:dyDescent="0.2">
      <c r="A2834" s="1">
        <v>45776</v>
      </c>
      <c r="B2834">
        <v>389.46798706054602</v>
      </c>
      <c r="C2834">
        <v>394.04000854492102</v>
      </c>
      <c r="D2834">
        <v>395.100006103515</v>
      </c>
      <c r="E2834">
        <v>390.38000488281199</v>
      </c>
      <c r="F2834">
        <v>391.29998779296801</v>
      </c>
      <c r="G2834" s="2">
        <v>14974000</v>
      </c>
      <c r="H2834" s="3">
        <f t="shared" si="44"/>
        <v>7.3626483179822788E-3</v>
      </c>
      <c r="J2834" s="3">
        <v>1.801428363095714E-2</v>
      </c>
      <c r="K2834" s="3">
        <v>0.89060044011317196</v>
      </c>
    </row>
    <row r="2835" spans="1:11" x14ac:dyDescent="0.2">
      <c r="A2835" s="1">
        <v>45777</v>
      </c>
      <c r="B2835">
        <v>390.67385864257801</v>
      </c>
      <c r="C2835">
        <v>395.260009765625</v>
      </c>
      <c r="D2835">
        <v>396.66000366210898</v>
      </c>
      <c r="E2835">
        <v>384.44000244140602</v>
      </c>
      <c r="F2835">
        <v>390.29998779296801</v>
      </c>
      <c r="G2835" s="2">
        <v>36461100</v>
      </c>
      <c r="H2835" s="3">
        <f t="shared" si="44"/>
        <v>3.0962020553553238E-3</v>
      </c>
      <c r="J2835" s="3">
        <v>1.804268421657218E-2</v>
      </c>
      <c r="K2835" s="3">
        <v>0.8909148066645709</v>
      </c>
    </row>
    <row r="2836" spans="1:11" x14ac:dyDescent="0.2">
      <c r="A2836" s="1">
        <v>45778</v>
      </c>
      <c r="B2836">
        <v>420.464111328125</v>
      </c>
      <c r="C2836">
        <v>425.39999389648398</v>
      </c>
      <c r="D2836">
        <v>436.989990234375</v>
      </c>
      <c r="E2836">
        <v>424.89999389648398</v>
      </c>
      <c r="F2836">
        <v>431.10998535156199</v>
      </c>
      <c r="G2836" s="2">
        <v>58938100</v>
      </c>
      <c r="H2836" s="3">
        <f t="shared" si="44"/>
        <v>7.6253509229041283E-2</v>
      </c>
      <c r="J2836" s="3">
        <v>1.8057405286630246E-2</v>
      </c>
      <c r="K2836" s="3">
        <v>0.89122917321596984</v>
      </c>
    </row>
    <row r="2837" spans="1:11" x14ac:dyDescent="0.2">
      <c r="A2837" s="1">
        <v>45779</v>
      </c>
      <c r="B2837">
        <v>430.2294921875</v>
      </c>
      <c r="C2837">
        <v>435.27999877929602</v>
      </c>
      <c r="D2837">
        <v>439.44000244140602</v>
      </c>
      <c r="E2837">
        <v>429.989990234375</v>
      </c>
      <c r="F2837">
        <v>431.739990234375</v>
      </c>
      <c r="G2837" s="2">
        <v>30757400</v>
      </c>
      <c r="H2837" s="3">
        <f t="shared" si="44"/>
        <v>2.3225242288881676E-2</v>
      </c>
      <c r="J2837" s="3">
        <v>1.8101177208842412E-2</v>
      </c>
      <c r="K2837" s="3">
        <v>0.89154353976736878</v>
      </c>
    </row>
    <row r="2838" spans="1:11" x14ac:dyDescent="0.2">
      <c r="A2838" s="1">
        <v>45782</v>
      </c>
      <c r="B2838">
        <v>431.10919189453102</v>
      </c>
      <c r="C2838">
        <v>436.17001342773398</v>
      </c>
      <c r="D2838">
        <v>439.5</v>
      </c>
      <c r="E2838">
        <v>432.10998535156199</v>
      </c>
      <c r="F2838">
        <v>432.86999511718699</v>
      </c>
      <c r="G2838" s="2">
        <v>20136100</v>
      </c>
      <c r="H2838" s="3">
        <f t="shared" si="44"/>
        <v>2.0447219983878995E-3</v>
      </c>
      <c r="J2838" s="3">
        <v>1.8114575069779537E-2</v>
      </c>
      <c r="K2838" s="3">
        <v>0.89185790631876771</v>
      </c>
    </row>
    <row r="2839" spans="1:11" x14ac:dyDescent="0.2">
      <c r="A2839" s="1">
        <v>45783</v>
      </c>
      <c r="B2839">
        <v>428.28234863281199</v>
      </c>
      <c r="C2839">
        <v>433.30999755859301</v>
      </c>
      <c r="D2839">
        <v>437.73001098632801</v>
      </c>
      <c r="E2839">
        <v>431.17001342773398</v>
      </c>
      <c r="F2839">
        <v>432.20001220703102</v>
      </c>
      <c r="G2839" s="2">
        <v>15104200</v>
      </c>
      <c r="H2839" s="3">
        <f t="shared" si="44"/>
        <v>-6.5571398496430122E-3</v>
      </c>
      <c r="J2839" s="3">
        <v>1.8149132871908336E-2</v>
      </c>
      <c r="K2839" s="3">
        <v>0.89217227287016665</v>
      </c>
    </row>
    <row r="2840" spans="1:11" x14ac:dyDescent="0.2">
      <c r="A2840" s="1">
        <v>45784</v>
      </c>
      <c r="B2840">
        <v>428.32189941406199</v>
      </c>
      <c r="C2840">
        <v>433.350006103515</v>
      </c>
      <c r="D2840">
        <v>438.11999511718699</v>
      </c>
      <c r="E2840">
        <v>431.10998535156199</v>
      </c>
      <c r="F2840">
        <v>433.83999633789</v>
      </c>
      <c r="G2840" s="2">
        <v>23295300</v>
      </c>
      <c r="H2840" s="3">
        <f t="shared" si="44"/>
        <v>9.2347446436269465E-5</v>
      </c>
      <c r="J2840" s="3">
        <v>1.8168067843200575E-2</v>
      </c>
      <c r="K2840" s="3">
        <v>0.89248663942156559</v>
      </c>
    </row>
    <row r="2841" spans="1:11" x14ac:dyDescent="0.2">
      <c r="A2841" s="1">
        <v>45785</v>
      </c>
      <c r="B2841">
        <v>433.08596801757801</v>
      </c>
      <c r="C2841">
        <v>438.17001342773398</v>
      </c>
      <c r="D2841">
        <v>443.67001342773398</v>
      </c>
      <c r="E2841">
        <v>435.66000366210898</v>
      </c>
      <c r="F2841">
        <v>437.92999267578102</v>
      </c>
      <c r="G2841" s="2">
        <v>23491300</v>
      </c>
      <c r="H2841" s="3">
        <f t="shared" si="44"/>
        <v>1.1122636059545776E-2</v>
      </c>
      <c r="J2841" s="3">
        <v>1.8243731689683962E-2</v>
      </c>
      <c r="K2841" s="3">
        <v>0.89280100597296452</v>
      </c>
    </row>
    <row r="2842" spans="1:11" x14ac:dyDescent="0.2">
      <c r="A2842" s="1">
        <v>45786</v>
      </c>
      <c r="B2842">
        <v>433.63943481445301</v>
      </c>
      <c r="C2842">
        <v>438.73001098632801</v>
      </c>
      <c r="D2842">
        <v>440.739990234375</v>
      </c>
      <c r="E2842">
        <v>435.88000488281199</v>
      </c>
      <c r="F2842">
        <v>440</v>
      </c>
      <c r="G2842" s="2">
        <v>15324200</v>
      </c>
      <c r="H2842" s="3">
        <f t="shared" si="44"/>
        <v>1.2779605846120479E-3</v>
      </c>
      <c r="J2842" s="3">
        <v>1.825927481513534E-2</v>
      </c>
      <c r="K2842" s="3">
        <v>0.89311537252436346</v>
      </c>
    </row>
    <row r="2843" spans="1:11" x14ac:dyDescent="0.2">
      <c r="A2843" s="1">
        <v>45789</v>
      </c>
      <c r="B2843">
        <v>444.04730224609301</v>
      </c>
      <c r="C2843">
        <v>449.260009765625</v>
      </c>
      <c r="D2843">
        <v>449.36999511718699</v>
      </c>
      <c r="E2843">
        <v>439.77999877929602</v>
      </c>
      <c r="F2843">
        <v>445.94000244140602</v>
      </c>
      <c r="G2843" s="2">
        <v>22821900</v>
      </c>
      <c r="H2843" s="3">
        <f t="shared" si="44"/>
        <v>2.4001201449986631E-2</v>
      </c>
      <c r="J2843" s="3">
        <v>1.8282539443352341E-2</v>
      </c>
      <c r="K2843" s="3">
        <v>0.89342973907576229</v>
      </c>
    </row>
    <row r="2844" spans="1:11" x14ac:dyDescent="0.2">
      <c r="A2844" s="1">
        <v>45790</v>
      </c>
      <c r="B2844">
        <v>443.9287109375</v>
      </c>
      <c r="C2844">
        <v>449.14001464843699</v>
      </c>
      <c r="D2844">
        <v>450.67001342773398</v>
      </c>
      <c r="E2844">
        <v>445.35998535156199</v>
      </c>
      <c r="F2844">
        <v>447.77999877929602</v>
      </c>
      <c r="G2844" s="2">
        <v>23618800</v>
      </c>
      <c r="H2844" s="3">
        <f t="shared" si="44"/>
        <v>-2.6706908924600814E-4</v>
      </c>
      <c r="J2844" s="3">
        <v>1.8291176662544206E-2</v>
      </c>
      <c r="K2844" s="3">
        <v>0.89374410562716122</v>
      </c>
    </row>
    <row r="2845" spans="1:11" x14ac:dyDescent="0.2">
      <c r="A2845" s="1">
        <v>45791</v>
      </c>
      <c r="B2845">
        <v>447.68460083007801</v>
      </c>
      <c r="C2845">
        <v>452.94000244140602</v>
      </c>
      <c r="D2845">
        <v>453.89999389648398</v>
      </c>
      <c r="E2845">
        <v>448.14001464843699</v>
      </c>
      <c r="F2845">
        <v>448.14001464843699</v>
      </c>
      <c r="G2845" s="2">
        <v>19902800</v>
      </c>
      <c r="H2845" s="3">
        <f t="shared" si="44"/>
        <v>8.4605699069253415E-3</v>
      </c>
      <c r="J2845" s="3">
        <v>1.8299036169205696E-2</v>
      </c>
      <c r="K2845" s="3">
        <v>0.89405847217856016</v>
      </c>
    </row>
    <row r="2846" spans="1:11" x14ac:dyDescent="0.2">
      <c r="A2846" s="1">
        <v>45792</v>
      </c>
      <c r="B2846">
        <v>448.69461059570301</v>
      </c>
      <c r="C2846">
        <v>453.13000488281199</v>
      </c>
      <c r="D2846">
        <v>456.19000244140602</v>
      </c>
      <c r="E2846">
        <v>450.42999267578102</v>
      </c>
      <c r="F2846">
        <v>450.76998901367102</v>
      </c>
      <c r="G2846" s="2">
        <v>21992300</v>
      </c>
      <c r="H2846" s="3">
        <f t="shared" si="44"/>
        <v>2.2560743964663565E-3</v>
      </c>
      <c r="J2846" s="3">
        <v>1.832327740082218E-2</v>
      </c>
      <c r="K2846" s="3">
        <v>0.8943728387299591</v>
      </c>
    </row>
    <row r="2847" spans="1:11" x14ac:dyDescent="0.2">
      <c r="A2847" s="1">
        <v>45793</v>
      </c>
      <c r="B2847">
        <v>449.82342529296801</v>
      </c>
      <c r="C2847">
        <v>454.26998901367102</v>
      </c>
      <c r="D2847">
        <v>454.35998535156199</v>
      </c>
      <c r="E2847">
        <v>448.73001098632801</v>
      </c>
      <c r="F2847">
        <v>452.04998779296801</v>
      </c>
      <c r="G2847" s="2">
        <v>23849800</v>
      </c>
      <c r="H2847" s="3">
        <f t="shared" si="44"/>
        <v>2.5157750296271875E-3</v>
      </c>
      <c r="J2847" s="3">
        <v>1.8327236636410227E-2</v>
      </c>
      <c r="K2847" s="3">
        <v>0.89468720528135803</v>
      </c>
    </row>
    <row r="2848" spans="1:11" x14ac:dyDescent="0.2">
      <c r="A2848" s="1">
        <v>45796</v>
      </c>
      <c r="B2848">
        <v>454.37841796875</v>
      </c>
      <c r="C2848">
        <v>458.86999511718699</v>
      </c>
      <c r="D2848">
        <v>459.58999633789</v>
      </c>
      <c r="E2848">
        <v>450.79998779296801</v>
      </c>
      <c r="F2848">
        <v>450.88000488281199</v>
      </c>
      <c r="G2848" s="2">
        <v>21336500</v>
      </c>
      <c r="H2848" s="3">
        <f t="shared" si="44"/>
        <v>1.0126179339849495E-2</v>
      </c>
      <c r="J2848" s="3">
        <v>1.8393181279726223E-2</v>
      </c>
      <c r="K2848" s="3">
        <v>0.89500157183275697</v>
      </c>
    </row>
    <row r="2849" spans="1:11" x14ac:dyDescent="0.2">
      <c r="A2849" s="1">
        <v>45797</v>
      </c>
      <c r="B2849">
        <v>453.68527221679602</v>
      </c>
      <c r="C2849">
        <v>458.17001342773398</v>
      </c>
      <c r="D2849">
        <v>458.33999633789</v>
      </c>
      <c r="E2849">
        <v>454.32000732421801</v>
      </c>
      <c r="F2849">
        <v>455.58999633789</v>
      </c>
      <c r="G2849" s="2">
        <v>15441800</v>
      </c>
      <c r="H2849" s="3">
        <f t="shared" si="44"/>
        <v>-1.5254812388594274E-3</v>
      </c>
      <c r="J2849" s="3">
        <v>1.840897660780505E-2</v>
      </c>
      <c r="K2849" s="3">
        <v>0.89531593838415591</v>
      </c>
    </row>
    <row r="2850" spans="1:11" x14ac:dyDescent="0.2">
      <c r="A2850" s="1">
        <v>45798</v>
      </c>
      <c r="B2850">
        <v>448.14010620117102</v>
      </c>
      <c r="C2850">
        <v>452.57000732421801</v>
      </c>
      <c r="D2850">
        <v>457.77999877929602</v>
      </c>
      <c r="E2850">
        <v>451.80999755859301</v>
      </c>
      <c r="F2850">
        <v>454.57000732421801</v>
      </c>
      <c r="G2850" s="2">
        <v>19216900</v>
      </c>
      <c r="H2850" s="3">
        <f t="shared" si="44"/>
        <v>-1.2222495097824582E-2</v>
      </c>
      <c r="J2850" s="3">
        <v>1.8425948104687784E-2</v>
      </c>
      <c r="K2850" s="3">
        <v>0.89563030493555484</v>
      </c>
    </row>
    <row r="2851" spans="1:11" x14ac:dyDescent="0.2">
      <c r="A2851" s="1">
        <v>45799</v>
      </c>
      <c r="B2851">
        <v>450.40768432617102</v>
      </c>
      <c r="C2851">
        <v>454.85998535156199</v>
      </c>
      <c r="D2851">
        <v>460.25</v>
      </c>
      <c r="E2851">
        <v>453.89999389648398</v>
      </c>
      <c r="F2851">
        <v>454.95001220703102</v>
      </c>
      <c r="G2851" s="2">
        <v>18025600</v>
      </c>
      <c r="H2851" s="3">
        <f t="shared" si="44"/>
        <v>5.0599758727734034E-3</v>
      </c>
      <c r="J2851" s="3">
        <v>1.843744279203885E-2</v>
      </c>
      <c r="K2851" s="3">
        <v>0.89594467148695378</v>
      </c>
    </row>
    <row r="2852" spans="1:11" x14ac:dyDescent="0.2">
      <c r="A2852" s="1">
        <v>45800</v>
      </c>
      <c r="B2852">
        <v>445.77349853515602</v>
      </c>
      <c r="C2852">
        <v>450.17999267578102</v>
      </c>
      <c r="D2852">
        <v>453.69000244140602</v>
      </c>
      <c r="E2852">
        <v>448.91000366210898</v>
      </c>
      <c r="F2852">
        <v>449.98001098632801</v>
      </c>
      <c r="G2852" s="2">
        <v>16883500</v>
      </c>
      <c r="H2852" s="3">
        <f t="shared" si="44"/>
        <v>-1.0288869289492575E-2</v>
      </c>
      <c r="J2852" s="3">
        <v>1.845349705905952E-2</v>
      </c>
      <c r="K2852" s="3">
        <v>0.89625903803835272</v>
      </c>
    </row>
    <row r="2853" spans="1:11" x14ac:dyDescent="0.2">
      <c r="A2853" s="1">
        <v>45804</v>
      </c>
      <c r="B2853">
        <v>456.18060302734301</v>
      </c>
      <c r="C2853">
        <v>460.69000244140602</v>
      </c>
      <c r="D2853">
        <v>460.95001220703102</v>
      </c>
      <c r="E2853">
        <v>456.11999511718699</v>
      </c>
      <c r="F2853">
        <v>456.48001098632801</v>
      </c>
      <c r="G2853" s="2">
        <v>20974300</v>
      </c>
      <c r="H2853" s="3">
        <f t="shared" si="44"/>
        <v>2.3346171377135461E-2</v>
      </c>
      <c r="J2853" s="3">
        <v>1.8477549872278232E-2</v>
      </c>
      <c r="K2853" s="3">
        <v>0.89657340458975165</v>
      </c>
    </row>
    <row r="2854" spans="1:11" x14ac:dyDescent="0.2">
      <c r="A2854" s="1">
        <v>45805</v>
      </c>
      <c r="B2854">
        <v>452.88317871093699</v>
      </c>
      <c r="C2854">
        <v>457.35998535156199</v>
      </c>
      <c r="D2854">
        <v>462.51998901367102</v>
      </c>
      <c r="E2854">
        <v>456.92999267578102</v>
      </c>
      <c r="F2854">
        <v>461.22000122070301</v>
      </c>
      <c r="G2854" s="2">
        <v>17086300</v>
      </c>
      <c r="H2854" s="3">
        <f t="shared" si="44"/>
        <v>-7.2283308288940695E-3</v>
      </c>
      <c r="J2854" s="3">
        <v>1.8516254755643002E-2</v>
      </c>
      <c r="K2854" s="3">
        <v>0.89688777114115059</v>
      </c>
    </row>
    <row r="2855" spans="1:11" x14ac:dyDescent="0.2">
      <c r="A2855" s="1">
        <v>45806</v>
      </c>
      <c r="B2855">
        <v>454.19027709960898</v>
      </c>
      <c r="C2855">
        <v>458.67999267578102</v>
      </c>
      <c r="D2855">
        <v>461.72000122070301</v>
      </c>
      <c r="E2855">
        <v>455.30999755859301</v>
      </c>
      <c r="F2855">
        <v>461.54998779296801</v>
      </c>
      <c r="G2855" s="2">
        <v>13974800</v>
      </c>
      <c r="H2855" s="3">
        <f t="shared" si="44"/>
        <v>2.8861712028971365E-3</v>
      </c>
      <c r="J2855" s="3">
        <v>1.854203170029689E-2</v>
      </c>
      <c r="K2855" s="3">
        <v>0.89720213769254953</v>
      </c>
    </row>
    <row r="2856" spans="1:11" x14ac:dyDescent="0.2">
      <c r="A2856" s="1">
        <v>45807</v>
      </c>
      <c r="B2856">
        <v>455.85382080078102</v>
      </c>
      <c r="C2856">
        <v>460.35998535156199</v>
      </c>
      <c r="D2856">
        <v>461.67999267578102</v>
      </c>
      <c r="E2856">
        <v>455.54000854492102</v>
      </c>
      <c r="F2856">
        <v>459.72000122070301</v>
      </c>
      <c r="G2856" s="2">
        <v>34770500</v>
      </c>
      <c r="H2856" s="3">
        <f t="shared" si="44"/>
        <v>3.6626581083927245E-3</v>
      </c>
      <c r="J2856" s="3">
        <v>1.8574303725918062E-2</v>
      </c>
      <c r="K2856" s="3">
        <v>0.89751650424394847</v>
      </c>
    </row>
    <row r="2857" spans="1:11" x14ac:dyDescent="0.2">
      <c r="A2857" s="1">
        <v>45810</v>
      </c>
      <c r="B2857">
        <v>457.44805908203102</v>
      </c>
      <c r="C2857">
        <v>461.97000122070301</v>
      </c>
      <c r="D2857">
        <v>462.10998535156199</v>
      </c>
      <c r="E2857">
        <v>456.89001464843699</v>
      </c>
      <c r="F2857">
        <v>457.14001464843699</v>
      </c>
      <c r="G2857" s="2">
        <v>16626500</v>
      </c>
      <c r="H2857" s="3">
        <f t="shared" si="44"/>
        <v>3.497257692058886E-3</v>
      </c>
      <c r="J2857" s="3">
        <v>1.8595763455982794E-2</v>
      </c>
      <c r="K2857" s="3">
        <v>0.8978308707953474</v>
      </c>
    </row>
    <row r="2858" spans="1:11" x14ac:dyDescent="0.2">
      <c r="A2858" s="1">
        <v>45811</v>
      </c>
      <c r="B2858">
        <v>458.43829345703102</v>
      </c>
      <c r="C2858">
        <v>462.97000122070301</v>
      </c>
      <c r="D2858">
        <v>464.14001464843699</v>
      </c>
      <c r="E2858">
        <v>460.85998535156199</v>
      </c>
      <c r="F2858">
        <v>461.47000122070301</v>
      </c>
      <c r="G2858" s="2">
        <v>15743800</v>
      </c>
      <c r="H2858" s="3">
        <f t="shared" si="44"/>
        <v>2.1646924833107484E-3</v>
      </c>
      <c r="J2858" s="3">
        <v>1.8618119896503416E-2</v>
      </c>
      <c r="K2858" s="3">
        <v>0.89814523734674634</v>
      </c>
    </row>
    <row r="2859" spans="1:11" x14ac:dyDescent="0.2">
      <c r="A2859" s="1">
        <v>45812</v>
      </c>
      <c r="B2859">
        <v>459.329498291015</v>
      </c>
      <c r="C2859">
        <v>463.86999511718699</v>
      </c>
      <c r="D2859">
        <v>465.69000244140602</v>
      </c>
      <c r="E2859">
        <v>463.01998901367102</v>
      </c>
      <c r="F2859">
        <v>464</v>
      </c>
      <c r="G2859" s="2">
        <v>14162700</v>
      </c>
      <c r="H2859" s="3">
        <f t="shared" si="44"/>
        <v>1.9440017265213161E-3</v>
      </c>
      <c r="J2859" s="3">
        <v>1.8644922386348295E-2</v>
      </c>
      <c r="K2859" s="3">
        <v>0.89845960389814528</v>
      </c>
    </row>
    <row r="2860" spans="1:11" x14ac:dyDescent="0.2">
      <c r="A2860" s="1">
        <v>45813</v>
      </c>
      <c r="B2860">
        <v>463.10217285156199</v>
      </c>
      <c r="C2860">
        <v>467.67999267578102</v>
      </c>
      <c r="D2860">
        <v>469.64999389648398</v>
      </c>
      <c r="E2860">
        <v>464.02999877929602</v>
      </c>
      <c r="F2860">
        <v>464.95999145507801</v>
      </c>
      <c r="G2860" s="2">
        <v>20131700</v>
      </c>
      <c r="H2860" s="3">
        <f t="shared" si="44"/>
        <v>8.2134384457859255E-3</v>
      </c>
      <c r="J2860" s="3">
        <v>1.8723954432603662E-2</v>
      </c>
      <c r="K2860" s="3">
        <v>0.89877397044954421</v>
      </c>
    </row>
    <row r="2861" spans="1:11" x14ac:dyDescent="0.2">
      <c r="A2861" s="1">
        <v>45814</v>
      </c>
      <c r="B2861">
        <v>465.77575683593699</v>
      </c>
      <c r="C2861">
        <v>470.38000488281199</v>
      </c>
      <c r="D2861">
        <v>473.33999633789</v>
      </c>
      <c r="E2861">
        <v>468.77999877929602</v>
      </c>
      <c r="F2861">
        <v>470.08999633789</v>
      </c>
      <c r="G2861" s="2">
        <v>15285600</v>
      </c>
      <c r="H2861" s="3">
        <f t="shared" si="44"/>
        <v>5.7732054417114487E-3</v>
      </c>
      <c r="J2861" s="3">
        <v>1.8736947042616636E-2</v>
      </c>
      <c r="K2861" s="3">
        <v>0.89908833700094315</v>
      </c>
    </row>
    <row r="2862" spans="1:11" x14ac:dyDescent="0.2">
      <c r="A2862" s="1">
        <v>45817</v>
      </c>
      <c r="B2862">
        <v>468.12255859375</v>
      </c>
      <c r="C2862">
        <v>472.75</v>
      </c>
      <c r="D2862">
        <v>473.42999267578102</v>
      </c>
      <c r="E2862">
        <v>468.61999511718699</v>
      </c>
      <c r="F2862">
        <v>469.70001220703102</v>
      </c>
      <c r="G2862" s="2">
        <v>16469900</v>
      </c>
      <c r="H2862" s="3">
        <f t="shared" si="44"/>
        <v>5.0384798336329251E-3</v>
      </c>
      <c r="J2862" s="3">
        <v>1.8758042087906102E-2</v>
      </c>
      <c r="K2862" s="3">
        <v>0.89940270355234198</v>
      </c>
    </row>
    <row r="2863" spans="1:11" x14ac:dyDescent="0.2">
      <c r="A2863" s="1">
        <v>45818</v>
      </c>
      <c r="B2863">
        <v>466.31048583984301</v>
      </c>
      <c r="C2863">
        <v>470.92001342773398</v>
      </c>
      <c r="D2863">
        <v>472.79998779296801</v>
      </c>
      <c r="E2863">
        <v>466.95999145507801</v>
      </c>
      <c r="F2863">
        <v>471.19000244140602</v>
      </c>
      <c r="G2863" s="2">
        <v>15375900</v>
      </c>
      <c r="H2863" s="3">
        <f t="shared" si="44"/>
        <v>-3.8709366182875238E-3</v>
      </c>
      <c r="J2863" s="3">
        <v>1.8871557850037135E-2</v>
      </c>
      <c r="K2863" s="3">
        <v>0.89971707010374091</v>
      </c>
    </row>
    <row r="2864" spans="1:11" x14ac:dyDescent="0.2">
      <c r="A2864" s="1">
        <v>45819</v>
      </c>
      <c r="B2864">
        <v>467.99383544921801</v>
      </c>
      <c r="C2864">
        <v>472.61999511718699</v>
      </c>
      <c r="D2864">
        <v>475.47000122070301</v>
      </c>
      <c r="E2864">
        <v>469.66000366210898</v>
      </c>
      <c r="F2864">
        <v>470.01998901367102</v>
      </c>
      <c r="G2864" s="2">
        <v>16399200</v>
      </c>
      <c r="H2864" s="3">
        <f t="shared" si="44"/>
        <v>3.6099329963452664E-3</v>
      </c>
      <c r="J2864" s="3">
        <v>1.8876741327109592E-2</v>
      </c>
      <c r="K2864" s="3">
        <v>0.90003143665513985</v>
      </c>
    </row>
    <row r="2865" spans="1:11" x14ac:dyDescent="0.2">
      <c r="A2865" s="1">
        <v>45820</v>
      </c>
      <c r="B2865">
        <v>474.1826171875</v>
      </c>
      <c r="C2865">
        <v>478.86999511718699</v>
      </c>
      <c r="D2865">
        <v>480.42001342773398</v>
      </c>
      <c r="E2865">
        <v>473.51998901367102</v>
      </c>
      <c r="F2865">
        <v>475.01998901367102</v>
      </c>
      <c r="G2865" s="2">
        <v>18950600</v>
      </c>
      <c r="H2865" s="3">
        <f t="shared" si="44"/>
        <v>1.3224066792122402E-2</v>
      </c>
      <c r="J2865" s="3">
        <v>1.8884507502201719E-2</v>
      </c>
      <c r="K2865" s="3">
        <v>0.90034580320653879</v>
      </c>
    </row>
    <row r="2866" spans="1:11" x14ac:dyDescent="0.2">
      <c r="A2866" s="1">
        <v>45821</v>
      </c>
      <c r="B2866">
        <v>470.31091308593699</v>
      </c>
      <c r="C2866">
        <v>474.95999145507801</v>
      </c>
      <c r="D2866">
        <v>479.17999267578102</v>
      </c>
      <c r="E2866">
        <v>472.760009765625</v>
      </c>
      <c r="F2866">
        <v>476.41000366210898</v>
      </c>
      <c r="G2866" s="2">
        <v>16814500</v>
      </c>
      <c r="H2866" s="3">
        <f t="shared" si="44"/>
        <v>-8.1650063946399065E-3</v>
      </c>
      <c r="J2866" s="3">
        <v>1.8942814636478289E-2</v>
      </c>
      <c r="K2866" s="3">
        <v>0.90066016975793772</v>
      </c>
    </row>
    <row r="2867" spans="1:11" x14ac:dyDescent="0.2">
      <c r="A2867" s="1">
        <v>45824</v>
      </c>
      <c r="B2867">
        <v>474.45001220703102</v>
      </c>
      <c r="C2867">
        <v>479.14001464843699</v>
      </c>
      <c r="D2867">
        <v>480.69000244140602</v>
      </c>
      <c r="E2867">
        <v>475</v>
      </c>
      <c r="F2867">
        <v>475.20999145507801</v>
      </c>
      <c r="G2867" s="2">
        <v>15626100</v>
      </c>
      <c r="H2867" s="3">
        <f t="shared" si="44"/>
        <v>8.8007720125722333E-3</v>
      </c>
      <c r="J2867" s="3">
        <v>1.8946655974299231E-2</v>
      </c>
      <c r="K2867" s="3">
        <v>0.90097453630933666</v>
      </c>
    </row>
    <row r="2868" spans="1:11" x14ac:dyDescent="0.2">
      <c r="A2868" s="1">
        <v>45825</v>
      </c>
      <c r="B2868">
        <v>473.36077880859301</v>
      </c>
      <c r="C2868">
        <v>478.04000854492102</v>
      </c>
      <c r="D2868">
        <v>478.739990234375</v>
      </c>
      <c r="E2868">
        <v>474.079986572265</v>
      </c>
      <c r="F2868">
        <v>475.39999389648398</v>
      </c>
      <c r="G2868" s="2">
        <v>15414100</v>
      </c>
      <c r="H2868" s="3">
        <f t="shared" si="44"/>
        <v>-2.2957811580005538E-3</v>
      </c>
      <c r="J2868" s="3">
        <v>1.8973141125631088E-2</v>
      </c>
      <c r="K2868" s="3">
        <v>0.9012889028607356</v>
      </c>
    </row>
    <row r="2869" spans="1:11" x14ac:dyDescent="0.2">
      <c r="A2869" s="1">
        <v>45826</v>
      </c>
      <c r="B2869">
        <v>475.53924560546801</v>
      </c>
      <c r="C2869">
        <v>480.239990234375</v>
      </c>
      <c r="D2869">
        <v>481</v>
      </c>
      <c r="E2869">
        <v>474.45999145507801</v>
      </c>
      <c r="F2869">
        <v>478</v>
      </c>
      <c r="G2869" s="2">
        <v>17526500</v>
      </c>
      <c r="H2869" s="3">
        <f t="shared" si="44"/>
        <v>4.6021277942756011E-3</v>
      </c>
      <c r="J2869" s="3">
        <v>1.8975296244726492E-2</v>
      </c>
      <c r="K2869" s="3">
        <v>0.90160326941213453</v>
      </c>
    </row>
    <row r="2870" spans="1:11" x14ac:dyDescent="0.2">
      <c r="A2870" s="1">
        <v>45828</v>
      </c>
      <c r="B2870">
        <v>472.72702026367102</v>
      </c>
      <c r="C2870">
        <v>477.39999389648398</v>
      </c>
      <c r="D2870">
        <v>483.45999145507801</v>
      </c>
      <c r="E2870">
        <v>476.86999511718699</v>
      </c>
      <c r="F2870">
        <v>482.23001098632801</v>
      </c>
      <c r="G2870" s="2">
        <v>37576200</v>
      </c>
      <c r="H2870" s="3">
        <f t="shared" si="44"/>
        <v>-5.9137607837527195E-3</v>
      </c>
      <c r="J2870" s="3">
        <v>1.9037351115821277E-2</v>
      </c>
      <c r="K2870" s="3">
        <v>0.90191763596353347</v>
      </c>
    </row>
    <row r="2871" spans="1:11" x14ac:dyDescent="0.2">
      <c r="A2871" s="1">
        <v>45831</v>
      </c>
      <c r="B2871">
        <v>481.24285888671801</v>
      </c>
      <c r="C2871">
        <v>486</v>
      </c>
      <c r="D2871">
        <v>487.75</v>
      </c>
      <c r="E2871">
        <v>472.510009765625</v>
      </c>
      <c r="F2871">
        <v>478.20999145507801</v>
      </c>
      <c r="G2871" s="2">
        <v>24864000</v>
      </c>
      <c r="H2871" s="3">
        <f t="shared" si="44"/>
        <v>1.801428363095714E-2</v>
      </c>
      <c r="J2871" s="3">
        <v>1.9083403681701361E-2</v>
      </c>
      <c r="K2871" s="3">
        <v>0.90223200251493241</v>
      </c>
    </row>
    <row r="2872" spans="1:11" x14ac:dyDescent="0.2">
      <c r="A2872" s="1">
        <v>45832</v>
      </c>
      <c r="B2872">
        <v>485.31259155273398</v>
      </c>
      <c r="C2872">
        <v>490.10998535156199</v>
      </c>
      <c r="D2872">
        <v>491.850006103515</v>
      </c>
      <c r="E2872">
        <v>486.79998779296801</v>
      </c>
      <c r="F2872">
        <v>488.95001220703102</v>
      </c>
      <c r="G2872" s="2">
        <v>22305600</v>
      </c>
      <c r="H2872" s="3">
        <f t="shared" si="44"/>
        <v>8.4567128443853168E-3</v>
      </c>
      <c r="J2872" s="3">
        <v>1.911183217867185E-2</v>
      </c>
      <c r="K2872" s="3">
        <v>0.90254636906633134</v>
      </c>
    </row>
    <row r="2873" spans="1:11" x14ac:dyDescent="0.2">
      <c r="A2873" s="1">
        <v>45833</v>
      </c>
      <c r="B2873">
        <v>487.45147705078102</v>
      </c>
      <c r="C2873">
        <v>492.26998901367102</v>
      </c>
      <c r="D2873">
        <v>494.55999755859301</v>
      </c>
      <c r="E2873">
        <v>489.39001464843699</v>
      </c>
      <c r="F2873">
        <v>492.04000854492102</v>
      </c>
      <c r="G2873" s="2">
        <v>17495100</v>
      </c>
      <c r="H2873" s="3">
        <f t="shared" si="44"/>
        <v>4.4072326481450208E-3</v>
      </c>
      <c r="J2873" s="3">
        <v>1.9160587280884211E-2</v>
      </c>
      <c r="K2873" s="3">
        <v>0.90286073561773028</v>
      </c>
    </row>
    <row r="2874" spans="1:11" x14ac:dyDescent="0.2">
      <c r="A2874" s="1">
        <v>45834</v>
      </c>
      <c r="B2874">
        <v>492.58078002929602</v>
      </c>
      <c r="C2874">
        <v>497.45001220703102</v>
      </c>
      <c r="D2874">
        <v>498.04000854492102</v>
      </c>
      <c r="E2874">
        <v>492.80999755859301</v>
      </c>
      <c r="F2874">
        <v>492.98001098632801</v>
      </c>
      <c r="G2874" s="2">
        <v>21578900</v>
      </c>
      <c r="H2874" s="3">
        <f t="shared" si="44"/>
        <v>1.0522694503971364E-2</v>
      </c>
      <c r="J2874" s="3">
        <v>1.9184029973998262E-2</v>
      </c>
      <c r="K2874" s="3">
        <v>0.90317510216912922</v>
      </c>
    </row>
    <row r="2875" spans="1:11" x14ac:dyDescent="0.2">
      <c r="A2875" s="1">
        <v>45835</v>
      </c>
      <c r="B2875">
        <v>491.08554077148398</v>
      </c>
      <c r="C2875">
        <v>495.94000244140602</v>
      </c>
      <c r="D2875">
        <v>499.29998779296801</v>
      </c>
      <c r="E2875">
        <v>493.02999877929602</v>
      </c>
      <c r="F2875">
        <v>497.54998779296801</v>
      </c>
      <c r="G2875" s="2">
        <v>34539200</v>
      </c>
      <c r="H2875" s="3">
        <f t="shared" si="44"/>
        <v>-3.0355209103430925E-3</v>
      </c>
      <c r="J2875" s="3">
        <v>1.9184593387829185E-2</v>
      </c>
      <c r="K2875" s="3">
        <v>0.90348946872052815</v>
      </c>
    </row>
    <row r="2876" spans="1:11" x14ac:dyDescent="0.2">
      <c r="A2876" s="1">
        <v>45838</v>
      </c>
      <c r="B2876">
        <v>492.54119873046801</v>
      </c>
      <c r="C2876">
        <v>497.41000366210898</v>
      </c>
      <c r="D2876">
        <v>500.760009765625</v>
      </c>
      <c r="E2876">
        <v>495.329986572265</v>
      </c>
      <c r="F2876">
        <v>497.04000854492102</v>
      </c>
      <c r="G2876" s="2">
        <v>28369000</v>
      </c>
      <c r="H2876" s="3">
        <f t="shared" si="44"/>
        <v>2.9641637517920927E-3</v>
      </c>
      <c r="J2876" s="3">
        <v>1.9217778482382819E-2</v>
      </c>
      <c r="K2876" s="3">
        <v>0.90380383527192709</v>
      </c>
    </row>
    <row r="2877" spans="1:11" x14ac:dyDescent="0.2">
      <c r="A2877" s="1">
        <v>45839</v>
      </c>
      <c r="B2877">
        <v>487.23361206054602</v>
      </c>
      <c r="C2877">
        <v>492.04998779296801</v>
      </c>
      <c r="D2877">
        <v>498.04998779296801</v>
      </c>
      <c r="E2877">
        <v>490.98001098632801</v>
      </c>
      <c r="F2877">
        <v>496.47000122070301</v>
      </c>
      <c r="G2877" s="2">
        <v>19945400</v>
      </c>
      <c r="H2877" s="3">
        <f t="shared" si="44"/>
        <v>-1.0775924295474915E-2</v>
      </c>
      <c r="J2877" s="3">
        <v>1.9272115656559619E-2</v>
      </c>
      <c r="K2877" s="3">
        <v>0.90411820182332603</v>
      </c>
    </row>
    <row r="2878" spans="1:11" x14ac:dyDescent="0.2">
      <c r="A2878" s="1">
        <v>45840</v>
      </c>
      <c r="B2878">
        <v>486.28302001953102</v>
      </c>
      <c r="C2878">
        <v>491.08999633789</v>
      </c>
      <c r="D2878">
        <v>493.5</v>
      </c>
      <c r="E2878">
        <v>488.70001220703102</v>
      </c>
      <c r="F2878">
        <v>489.989990234375</v>
      </c>
      <c r="G2878" s="2">
        <v>16319600</v>
      </c>
      <c r="H2878" s="3">
        <f t="shared" si="44"/>
        <v>-1.9509984891946663E-3</v>
      </c>
      <c r="J2878" s="3">
        <v>1.9367722524789022E-2</v>
      </c>
      <c r="K2878" s="3">
        <v>0.90443256837472497</v>
      </c>
    </row>
    <row r="2879" spans="1:11" x14ac:dyDescent="0.2">
      <c r="A2879" s="1">
        <v>45841</v>
      </c>
      <c r="B2879">
        <v>493.95718383789</v>
      </c>
      <c r="C2879">
        <v>498.83999633789</v>
      </c>
      <c r="D2879">
        <v>500.13000488281199</v>
      </c>
      <c r="E2879">
        <v>493.44000244140602</v>
      </c>
      <c r="F2879">
        <v>493.80999755859301</v>
      </c>
      <c r="G2879" s="2">
        <v>13984800</v>
      </c>
      <c r="H2879" s="3">
        <f t="shared" si="44"/>
        <v>1.5781270376355572E-2</v>
      </c>
      <c r="J2879" s="3">
        <v>1.9386905446113101E-2</v>
      </c>
      <c r="K2879" s="3">
        <v>0.9047469349261239</v>
      </c>
    </row>
    <row r="2880" spans="1:11" x14ac:dyDescent="0.2">
      <c r="A2880" s="1">
        <v>45845</v>
      </c>
      <c r="B2880">
        <v>492.84814453125</v>
      </c>
      <c r="C2880">
        <v>497.72000122070301</v>
      </c>
      <c r="D2880">
        <v>498.75</v>
      </c>
      <c r="E2880">
        <v>495.23001098632801</v>
      </c>
      <c r="F2880">
        <v>497.38000488281199</v>
      </c>
      <c r="G2880" s="2">
        <v>13981600</v>
      </c>
      <c r="H2880" s="3">
        <f t="shared" si="44"/>
        <v>-2.2452134373734944E-3</v>
      </c>
      <c r="J2880" s="3">
        <v>1.9544052801657497E-2</v>
      </c>
      <c r="K2880" s="3">
        <v>0.90506130147752284</v>
      </c>
    </row>
    <row r="2881" spans="1:11" x14ac:dyDescent="0.2">
      <c r="A2881" s="1">
        <v>45846</v>
      </c>
      <c r="B2881">
        <v>491.75891113281199</v>
      </c>
      <c r="C2881">
        <v>496.61999511718699</v>
      </c>
      <c r="D2881">
        <v>498.20001220703102</v>
      </c>
      <c r="E2881">
        <v>494.10998535156199</v>
      </c>
      <c r="F2881">
        <v>497.239990234375</v>
      </c>
      <c r="G2881" s="2">
        <v>11846600</v>
      </c>
      <c r="H2881" s="3">
        <f t="shared" si="44"/>
        <v>-2.2100791298991229E-3</v>
      </c>
      <c r="J2881" s="3">
        <v>1.9595792249859079E-2</v>
      </c>
      <c r="K2881" s="3">
        <v>0.90537566802892178</v>
      </c>
    </row>
    <row r="2882" spans="1:11" x14ac:dyDescent="0.2">
      <c r="A2882" s="1">
        <v>45847</v>
      </c>
      <c r="B2882">
        <v>498.58148193359301</v>
      </c>
      <c r="C2882">
        <v>503.510009765625</v>
      </c>
      <c r="D2882">
        <v>506.77999877929602</v>
      </c>
      <c r="E2882">
        <v>499.739990234375</v>
      </c>
      <c r="F2882">
        <v>500.29998779296801</v>
      </c>
      <c r="G2882" s="2">
        <v>18659500</v>
      </c>
      <c r="H2882" s="3">
        <f t="shared" ref="H2882:H2945" si="45">B2882/B2881-1</f>
        <v>1.387381224076778E-2</v>
      </c>
      <c r="J2882" s="3">
        <v>1.959694977172588E-2</v>
      </c>
      <c r="K2882" s="3">
        <v>0.9056900345803206</v>
      </c>
    </row>
    <row r="2883" spans="1:11" x14ac:dyDescent="0.2">
      <c r="A2883" s="1">
        <v>45848</v>
      </c>
      <c r="B2883">
        <v>496.57131958007801</v>
      </c>
      <c r="C2883">
        <v>501.48001098632801</v>
      </c>
      <c r="D2883">
        <v>504.44000244140602</v>
      </c>
      <c r="E2883">
        <v>497.75</v>
      </c>
      <c r="F2883">
        <v>503.04998779296801</v>
      </c>
      <c r="G2883" s="2">
        <v>16492100</v>
      </c>
      <c r="H2883" s="3">
        <f t="shared" si="45"/>
        <v>-4.0317629642384611E-3</v>
      </c>
      <c r="J2883" s="3">
        <v>1.9623004649385045E-2</v>
      </c>
      <c r="K2883" s="3">
        <v>0.90600440113171954</v>
      </c>
    </row>
    <row r="2884" spans="1:11" x14ac:dyDescent="0.2">
      <c r="A2884" s="1">
        <v>45849</v>
      </c>
      <c r="B2884">
        <v>498.393310546875</v>
      </c>
      <c r="C2884">
        <v>503.32000732421801</v>
      </c>
      <c r="D2884">
        <v>505.02999877929602</v>
      </c>
      <c r="E2884">
        <v>497.79998779296801</v>
      </c>
      <c r="F2884">
        <v>498.47000122070301</v>
      </c>
      <c r="G2884" s="2">
        <v>16459500</v>
      </c>
      <c r="H2884" s="3">
        <f t="shared" si="45"/>
        <v>3.669142568156758E-3</v>
      </c>
      <c r="J2884" s="3">
        <v>1.9653058743416274E-2</v>
      </c>
      <c r="K2884" s="3">
        <v>0.90631876768311848</v>
      </c>
    </row>
    <row r="2885" spans="1:11" x14ac:dyDescent="0.2">
      <c r="A2885" s="1">
        <v>45852</v>
      </c>
      <c r="B2885">
        <v>498.09625244140602</v>
      </c>
      <c r="C2885">
        <v>503.01998901367102</v>
      </c>
      <c r="D2885">
        <v>503.97000122070301</v>
      </c>
      <c r="E2885">
        <v>501.02999877929602</v>
      </c>
      <c r="F2885">
        <v>501.51998901367102</v>
      </c>
      <c r="G2885" s="2">
        <v>12058800</v>
      </c>
      <c r="H2885" s="3">
        <f t="shared" si="45"/>
        <v>-5.9603148594233879E-4</v>
      </c>
      <c r="J2885" s="3">
        <v>1.9668036111078369E-2</v>
      </c>
      <c r="K2885" s="3">
        <v>0.90663313423451741</v>
      </c>
    </row>
    <row r="2886" spans="1:11" x14ac:dyDescent="0.2">
      <c r="A2886" s="1">
        <v>45853</v>
      </c>
      <c r="B2886">
        <v>500.86883544921801</v>
      </c>
      <c r="C2886">
        <v>505.82000732421801</v>
      </c>
      <c r="D2886">
        <v>508.29998779296801</v>
      </c>
      <c r="E2886">
        <v>502.79000854492102</v>
      </c>
      <c r="F2886">
        <v>503.01998901367102</v>
      </c>
      <c r="G2886" s="2">
        <v>14927200</v>
      </c>
      <c r="H2886" s="3">
        <f t="shared" si="45"/>
        <v>5.5663599037780731E-3</v>
      </c>
      <c r="J2886" s="3">
        <v>1.9673952474892564E-2</v>
      </c>
      <c r="K2886" s="3">
        <v>0.90694750078591635</v>
      </c>
    </row>
    <row r="2887" spans="1:11" x14ac:dyDescent="0.2">
      <c r="A2887" s="1">
        <v>45854</v>
      </c>
      <c r="B2887">
        <v>500.670806884765</v>
      </c>
      <c r="C2887">
        <v>505.61999511718699</v>
      </c>
      <c r="D2887">
        <v>506.72000122070301</v>
      </c>
      <c r="E2887">
        <v>501.89001464843699</v>
      </c>
      <c r="F2887">
        <v>505.17999267578102</v>
      </c>
      <c r="G2887" s="2">
        <v>15154400</v>
      </c>
      <c r="H2887" s="3">
        <f t="shared" si="45"/>
        <v>-3.9537010577905818E-4</v>
      </c>
      <c r="J2887" s="3">
        <v>1.9711228688976012E-2</v>
      </c>
      <c r="K2887" s="3">
        <v>0.90726186733731529</v>
      </c>
    </row>
    <row r="2888" spans="1:11" x14ac:dyDescent="0.2">
      <c r="A2888" s="1">
        <v>45855</v>
      </c>
      <c r="B2888">
        <v>506.69128417968699</v>
      </c>
      <c r="C2888">
        <v>511.70001220703102</v>
      </c>
      <c r="D2888">
        <v>513.36999511718705</v>
      </c>
      <c r="E2888">
        <v>505.61999511718699</v>
      </c>
      <c r="F2888">
        <v>505.67999267578102</v>
      </c>
      <c r="G2888" s="2">
        <v>17503100</v>
      </c>
      <c r="H2888" s="3">
        <f t="shared" si="45"/>
        <v>1.2024821923175777E-2</v>
      </c>
      <c r="J2888" s="3">
        <v>1.9712242318097539E-2</v>
      </c>
      <c r="K2888" s="3">
        <v>0.90757623388871422</v>
      </c>
    </row>
    <row r="2889" spans="1:11" x14ac:dyDescent="0.2">
      <c r="A2889" s="1">
        <v>45856</v>
      </c>
      <c r="B2889">
        <v>505.05743408203102</v>
      </c>
      <c r="C2889">
        <v>510.04998779296801</v>
      </c>
      <c r="D2889">
        <v>514.64001464843705</v>
      </c>
      <c r="E2889">
        <v>507.42999267578102</v>
      </c>
      <c r="F2889">
        <v>514.47998046875</v>
      </c>
      <c r="G2889" s="2">
        <v>21209700</v>
      </c>
      <c r="H2889" s="3">
        <f t="shared" si="45"/>
        <v>-3.2245474683881836E-3</v>
      </c>
      <c r="J2889" s="3">
        <v>1.9721781659034043E-2</v>
      </c>
      <c r="K2889" s="3">
        <v>0.90789060044011316</v>
      </c>
    </row>
    <row r="2890" spans="1:11" x14ac:dyDescent="0.2">
      <c r="A2890" s="1">
        <v>45859</v>
      </c>
      <c r="B2890">
        <v>505.06735229492102</v>
      </c>
      <c r="C2890">
        <v>510.05999755859301</v>
      </c>
      <c r="D2890">
        <v>512.09002685546795</v>
      </c>
      <c r="E2890">
        <v>505.54998779296801</v>
      </c>
      <c r="F2890">
        <v>506.70999145507801</v>
      </c>
      <c r="G2890" s="2">
        <v>14066800</v>
      </c>
      <c r="H2890" s="3">
        <f t="shared" si="45"/>
        <v>1.9637792101789842E-5</v>
      </c>
      <c r="J2890" s="3">
        <v>1.972889819126511E-2</v>
      </c>
      <c r="K2890" s="3">
        <v>0.9082049669915121</v>
      </c>
    </row>
    <row r="2891" spans="1:11" x14ac:dyDescent="0.2">
      <c r="A2891" s="1">
        <v>45860</v>
      </c>
      <c r="B2891">
        <v>500.32424926757801</v>
      </c>
      <c r="C2891">
        <v>505.26998901367102</v>
      </c>
      <c r="D2891">
        <v>511.20001220703102</v>
      </c>
      <c r="E2891">
        <v>505.26998901367102</v>
      </c>
      <c r="F2891">
        <v>510.97000122070301</v>
      </c>
      <c r="G2891" s="2">
        <v>13868600</v>
      </c>
      <c r="H2891" s="3">
        <f t="shared" si="45"/>
        <v>-9.3910307324188702E-3</v>
      </c>
      <c r="J2891" s="3">
        <v>1.9732459058061647E-2</v>
      </c>
      <c r="K2891" s="3">
        <v>0.90851933354291103</v>
      </c>
    </row>
    <row r="2892" spans="1:11" x14ac:dyDescent="0.2">
      <c r="A2892" s="1">
        <v>45861</v>
      </c>
      <c r="B2892">
        <v>500.91833496093699</v>
      </c>
      <c r="C2892">
        <v>505.86999511718699</v>
      </c>
      <c r="D2892">
        <v>506.79000854492102</v>
      </c>
      <c r="E2892">
        <v>500.70001220703102</v>
      </c>
      <c r="F2892">
        <v>506.75</v>
      </c>
      <c r="G2892" s="2">
        <v>16396600</v>
      </c>
      <c r="H2892" s="3">
        <f t="shared" si="45"/>
        <v>1.1874013586761212E-3</v>
      </c>
      <c r="J2892" s="3">
        <v>1.9746759955335147E-2</v>
      </c>
      <c r="K2892" s="3">
        <v>0.90883370009430997</v>
      </c>
    </row>
    <row r="2893" spans="1:11" x14ac:dyDescent="0.2">
      <c r="A2893" s="1">
        <v>45862</v>
      </c>
      <c r="B2893">
        <v>505.87933349609301</v>
      </c>
      <c r="C2893">
        <v>510.88000488281199</v>
      </c>
      <c r="D2893">
        <v>513.66998291015602</v>
      </c>
      <c r="E2893">
        <v>507.29998779296801</v>
      </c>
      <c r="F2893">
        <v>508.76998901367102</v>
      </c>
      <c r="G2893" s="2">
        <v>16107000</v>
      </c>
      <c r="H2893" s="3">
        <f t="shared" si="45"/>
        <v>9.9038070457990734E-3</v>
      </c>
      <c r="J2893" s="3">
        <v>1.9848543982021072E-2</v>
      </c>
      <c r="K2893" s="3">
        <v>0.90914806664570891</v>
      </c>
    </row>
    <row r="2894" spans="1:11" x14ac:dyDescent="0.2">
      <c r="A2894" s="1">
        <v>45863</v>
      </c>
      <c r="B2894">
        <v>508.68161010742102</v>
      </c>
      <c r="C2894">
        <v>513.71002197265602</v>
      </c>
      <c r="D2894">
        <v>518.28997802734295</v>
      </c>
      <c r="E2894">
        <v>510.35998535156199</v>
      </c>
      <c r="F2894">
        <v>512.469970703125</v>
      </c>
      <c r="G2894" s="2">
        <v>19125700</v>
      </c>
      <c r="H2894" s="3">
        <f t="shared" si="45"/>
        <v>5.5394170620921557E-3</v>
      </c>
      <c r="J2894" s="3">
        <v>1.9907281871857085E-2</v>
      </c>
      <c r="K2894" s="3">
        <v>0.90946243319710784</v>
      </c>
    </row>
    <row r="2895" spans="1:11" x14ac:dyDescent="0.2">
      <c r="A2895" s="1">
        <v>45866</v>
      </c>
      <c r="B2895">
        <v>507.48348999023398</v>
      </c>
      <c r="C2895">
        <v>512.5</v>
      </c>
      <c r="D2895">
        <v>515</v>
      </c>
      <c r="E2895">
        <v>510.11999511718699</v>
      </c>
      <c r="F2895">
        <v>514.08001708984295</v>
      </c>
      <c r="G2895" s="2">
        <v>14308000</v>
      </c>
      <c r="H2895" s="3">
        <f t="shared" si="45"/>
        <v>-2.3553438799056581E-3</v>
      </c>
      <c r="J2895" s="3">
        <v>1.9934577553046173E-2</v>
      </c>
      <c r="K2895" s="3">
        <v>0.90977679974850678</v>
      </c>
    </row>
    <row r="2896" spans="1:11" x14ac:dyDescent="0.2">
      <c r="A2896" s="1">
        <v>45867</v>
      </c>
      <c r="B2896">
        <v>507.55276489257801</v>
      </c>
      <c r="C2896">
        <v>512.57000732421795</v>
      </c>
      <c r="D2896">
        <v>517.61999511718705</v>
      </c>
      <c r="E2896">
        <v>511.55999755859301</v>
      </c>
      <c r="F2896">
        <v>515.530029296875</v>
      </c>
      <c r="G2896" s="2">
        <v>16469200</v>
      </c>
      <c r="H2896" s="3">
        <f t="shared" si="45"/>
        <v>1.3650671147025228E-4</v>
      </c>
      <c r="J2896" s="3">
        <v>1.9957007140802396E-2</v>
      </c>
      <c r="K2896" s="3">
        <v>0.91009116629990572</v>
      </c>
    </row>
    <row r="2897" spans="1:11" x14ac:dyDescent="0.2">
      <c r="A2897" s="1">
        <v>45868</v>
      </c>
      <c r="B2897">
        <v>508.216217041015</v>
      </c>
      <c r="C2897">
        <v>513.239990234375</v>
      </c>
      <c r="D2897">
        <v>515.95001220703102</v>
      </c>
      <c r="E2897">
        <v>509.44000244140602</v>
      </c>
      <c r="F2897">
        <v>515.16998291015602</v>
      </c>
      <c r="G2897" s="2">
        <v>26380400</v>
      </c>
      <c r="H2897" s="3">
        <f t="shared" si="45"/>
        <v>1.3071589681465934E-3</v>
      </c>
      <c r="J2897" s="3">
        <v>1.9977871119993384E-2</v>
      </c>
      <c r="K2897" s="3">
        <v>0.91040553285130466</v>
      </c>
    </row>
    <row r="2898" spans="1:11" x14ac:dyDescent="0.2">
      <c r="A2898" s="1">
        <v>45869</v>
      </c>
      <c r="B2898">
        <v>528.27789306640602</v>
      </c>
      <c r="C2898">
        <v>533.5</v>
      </c>
      <c r="D2898">
        <v>555.45001220703102</v>
      </c>
      <c r="E2898">
        <v>531.90002441406205</v>
      </c>
      <c r="F2898">
        <v>555.22998046875</v>
      </c>
      <c r="G2898" s="2">
        <v>51617300</v>
      </c>
      <c r="H2898" s="3">
        <f t="shared" si="45"/>
        <v>3.9474686861029396E-2</v>
      </c>
      <c r="J2898" s="3">
        <v>2.0135821840521428E-2</v>
      </c>
      <c r="K2898" s="3">
        <v>0.91071989940270359</v>
      </c>
    </row>
    <row r="2899" spans="1:11" x14ac:dyDescent="0.2">
      <c r="A2899" s="1">
        <v>45870</v>
      </c>
      <c r="B2899">
        <v>518.97979736328102</v>
      </c>
      <c r="C2899">
        <v>524.10998535156205</v>
      </c>
      <c r="D2899">
        <v>535.79998779296795</v>
      </c>
      <c r="E2899">
        <v>520.85998535156205</v>
      </c>
      <c r="F2899">
        <v>535</v>
      </c>
      <c r="G2899" s="2">
        <v>28977600</v>
      </c>
      <c r="H2899" s="3">
        <f t="shared" si="45"/>
        <v>-1.7600766235274179E-2</v>
      </c>
      <c r="J2899" s="3">
        <v>2.0176487020320266E-2</v>
      </c>
      <c r="K2899" s="3">
        <v>0.91103426595410253</v>
      </c>
    </row>
    <row r="2900" spans="1:11" x14ac:dyDescent="0.2">
      <c r="A2900" s="1">
        <v>45873</v>
      </c>
      <c r="B2900">
        <v>530.39703369140602</v>
      </c>
      <c r="C2900">
        <v>535.64001464843705</v>
      </c>
      <c r="D2900">
        <v>538.25</v>
      </c>
      <c r="E2900">
        <v>528.13000488281205</v>
      </c>
      <c r="F2900">
        <v>528.27001953125</v>
      </c>
      <c r="G2900" s="2">
        <v>25349000</v>
      </c>
      <c r="H2900" s="3">
        <f t="shared" si="45"/>
        <v>2.1999384920436516E-2</v>
      </c>
      <c r="J2900" s="3">
        <v>2.0244910284840101E-2</v>
      </c>
      <c r="K2900" s="3">
        <v>0.91134863250550147</v>
      </c>
    </row>
    <row r="2901" spans="1:11" x14ac:dyDescent="0.2">
      <c r="A2901" s="1">
        <v>45874</v>
      </c>
      <c r="B2901">
        <v>522.58416748046795</v>
      </c>
      <c r="C2901">
        <v>527.75</v>
      </c>
      <c r="D2901">
        <v>537.29998779296795</v>
      </c>
      <c r="E2901">
        <v>527.239990234375</v>
      </c>
      <c r="F2901">
        <v>537.17999267578102</v>
      </c>
      <c r="G2901" s="2">
        <v>19171600</v>
      </c>
      <c r="H2901" s="3">
        <f t="shared" si="45"/>
        <v>-1.473022229510379E-2</v>
      </c>
      <c r="J2901" s="3">
        <v>2.0260179317369342E-2</v>
      </c>
      <c r="K2901" s="3">
        <v>0.91166299905690029</v>
      </c>
    </row>
    <row r="2902" spans="1:11" x14ac:dyDescent="0.2">
      <c r="A2902" s="1">
        <v>45875</v>
      </c>
      <c r="B2902">
        <v>519.80169677734295</v>
      </c>
      <c r="C2902">
        <v>524.94000244140602</v>
      </c>
      <c r="D2902">
        <v>531.70001220703102</v>
      </c>
      <c r="E2902">
        <v>524.030029296875</v>
      </c>
      <c r="F2902">
        <v>530.90002441406205</v>
      </c>
      <c r="G2902" s="2">
        <v>21355700</v>
      </c>
      <c r="H2902" s="3">
        <f t="shared" si="45"/>
        <v>-5.3244450870758575E-3</v>
      </c>
      <c r="J2902" s="3">
        <v>2.0263872605739586E-2</v>
      </c>
      <c r="K2902" s="3">
        <v>0.91197736560829923</v>
      </c>
    </row>
    <row r="2903" spans="1:11" x14ac:dyDescent="0.2">
      <c r="A2903" s="1">
        <v>45876</v>
      </c>
      <c r="B2903">
        <v>515.74188232421795</v>
      </c>
      <c r="C2903">
        <v>520.84002685546795</v>
      </c>
      <c r="D2903">
        <v>528.09002685546795</v>
      </c>
      <c r="E2903">
        <v>517.54998779296795</v>
      </c>
      <c r="F2903">
        <v>526.79998779296795</v>
      </c>
      <c r="G2903" s="2">
        <v>16079100</v>
      </c>
      <c r="H2903" s="3">
        <f t="shared" si="45"/>
        <v>-7.8103139683748379E-3</v>
      </c>
      <c r="J2903" s="3">
        <v>2.0264817299062932E-2</v>
      </c>
      <c r="K2903" s="3">
        <v>0.91229173215969817</v>
      </c>
    </row>
    <row r="2904" spans="1:11" x14ac:dyDescent="0.2">
      <c r="A2904" s="1">
        <v>45877</v>
      </c>
      <c r="B2904">
        <v>516.92999267578102</v>
      </c>
      <c r="C2904">
        <v>522.03997802734295</v>
      </c>
      <c r="D2904">
        <v>524.65997314453102</v>
      </c>
      <c r="E2904">
        <v>519.40997314453102</v>
      </c>
      <c r="F2904">
        <v>522.59997558593705</v>
      </c>
      <c r="G2904" s="2">
        <v>15531000</v>
      </c>
      <c r="H2904" s="3">
        <f t="shared" si="45"/>
        <v>2.3036918122856243E-3</v>
      </c>
      <c r="J2904" s="3">
        <v>2.0321308948034966E-2</v>
      </c>
      <c r="K2904" s="3">
        <v>0.9126060987110971</v>
      </c>
    </row>
    <row r="2905" spans="1:11" x14ac:dyDescent="0.2">
      <c r="A2905" s="1">
        <v>45880</v>
      </c>
      <c r="B2905">
        <v>516.66278076171795</v>
      </c>
      <c r="C2905">
        <v>521.77001953125</v>
      </c>
      <c r="D2905">
        <v>527.59002685546795</v>
      </c>
      <c r="E2905">
        <v>519.719970703125</v>
      </c>
      <c r="F2905">
        <v>522.29998779296795</v>
      </c>
      <c r="G2905" s="2">
        <v>20194400</v>
      </c>
      <c r="H2905" s="3">
        <f t="shared" si="45"/>
        <v>-5.1692089421995213E-4</v>
      </c>
      <c r="J2905" s="3">
        <v>2.0344065031434599E-2</v>
      </c>
      <c r="K2905" s="3">
        <v>0.91292046526249604</v>
      </c>
    </row>
    <row r="2906" spans="1:11" x14ac:dyDescent="0.2">
      <c r="A2906" s="1">
        <v>45881</v>
      </c>
      <c r="B2906">
        <v>524.0595703125</v>
      </c>
      <c r="C2906">
        <v>529.239990234375</v>
      </c>
      <c r="D2906">
        <v>530.97998046875</v>
      </c>
      <c r="E2906">
        <v>522.70001220703102</v>
      </c>
      <c r="F2906">
        <v>523.75</v>
      </c>
      <c r="G2906" s="2">
        <v>18667000</v>
      </c>
      <c r="H2906" s="3">
        <f t="shared" si="45"/>
        <v>1.4316474548208946E-2</v>
      </c>
      <c r="J2906" s="3">
        <v>2.0372115093319154E-2</v>
      </c>
      <c r="K2906" s="3">
        <v>0.91323483181389498</v>
      </c>
    </row>
    <row r="2907" spans="1:11" x14ac:dyDescent="0.2">
      <c r="A2907" s="1">
        <v>45882</v>
      </c>
      <c r="B2907">
        <v>515.48443603515602</v>
      </c>
      <c r="C2907">
        <v>520.58001708984295</v>
      </c>
      <c r="D2907">
        <v>532.70001220703102</v>
      </c>
      <c r="E2907">
        <v>519.36999511718705</v>
      </c>
      <c r="F2907">
        <v>532.10998535156205</v>
      </c>
      <c r="G2907" s="2">
        <v>19619200</v>
      </c>
      <c r="H2907" s="3">
        <f t="shared" si="45"/>
        <v>-1.636289987458972E-2</v>
      </c>
      <c r="J2907" s="3">
        <v>2.0521789959215164E-2</v>
      </c>
      <c r="K2907" s="3">
        <v>0.91354919836529391</v>
      </c>
    </row>
    <row r="2908" spans="1:11" x14ac:dyDescent="0.2">
      <c r="A2908" s="1">
        <v>45883</v>
      </c>
      <c r="B2908">
        <v>517.36578369140602</v>
      </c>
      <c r="C2908">
        <v>522.47998046875</v>
      </c>
      <c r="D2908">
        <v>525.95001220703102</v>
      </c>
      <c r="E2908">
        <v>520.14001464843705</v>
      </c>
      <c r="F2908">
        <v>522.55999755859295</v>
      </c>
      <c r="G2908" s="2">
        <v>20269100</v>
      </c>
      <c r="H2908" s="3">
        <f t="shared" si="45"/>
        <v>3.6496691747287535E-3</v>
      </c>
      <c r="J2908" s="3">
        <v>2.0636855780046925E-2</v>
      </c>
      <c r="K2908" s="3">
        <v>0.91386356491669285</v>
      </c>
    </row>
    <row r="2909" spans="1:11" x14ac:dyDescent="0.2">
      <c r="A2909" s="1">
        <v>45884</v>
      </c>
      <c r="B2909">
        <v>515.078369140625</v>
      </c>
      <c r="C2909">
        <v>520.16998291015602</v>
      </c>
      <c r="D2909">
        <v>526.09997558593705</v>
      </c>
      <c r="E2909">
        <v>519.08001708984295</v>
      </c>
      <c r="F2909">
        <v>522.77001953125</v>
      </c>
      <c r="G2909" s="2">
        <v>25213300</v>
      </c>
      <c r="H2909" s="3">
        <f t="shared" si="45"/>
        <v>-4.4212714154776567E-3</v>
      </c>
      <c r="J2909" s="3">
        <v>2.0652574215955344E-2</v>
      </c>
      <c r="K2909" s="3">
        <v>0.91417793146809179</v>
      </c>
    </row>
    <row r="2910" spans="1:11" x14ac:dyDescent="0.2">
      <c r="A2910" s="1">
        <v>45887</v>
      </c>
      <c r="B2910">
        <v>512.03845214843705</v>
      </c>
      <c r="C2910">
        <v>517.09997558593705</v>
      </c>
      <c r="D2910">
        <v>522.82000732421795</v>
      </c>
      <c r="E2910">
        <v>514.02001953125</v>
      </c>
      <c r="F2910">
        <v>521.59002685546795</v>
      </c>
      <c r="G2910" s="2">
        <v>23760600</v>
      </c>
      <c r="H2910" s="3">
        <f t="shared" si="45"/>
        <v>-5.9018533378908389E-3</v>
      </c>
      <c r="J2910" s="3">
        <v>2.0674669916665556E-2</v>
      </c>
      <c r="K2910" s="3">
        <v>0.91449229801949072</v>
      </c>
    </row>
    <row r="2911" spans="1:11" x14ac:dyDescent="0.2">
      <c r="A2911" s="1">
        <v>45888</v>
      </c>
      <c r="B2911">
        <v>504.78015136718699</v>
      </c>
      <c r="C2911">
        <v>509.76998901367102</v>
      </c>
      <c r="D2911">
        <v>515.15997314453102</v>
      </c>
      <c r="E2911">
        <v>508.54998779296801</v>
      </c>
      <c r="F2911">
        <v>515</v>
      </c>
      <c r="G2911" s="2">
        <v>21481000</v>
      </c>
      <c r="H2911" s="3">
        <f t="shared" si="45"/>
        <v>-1.4175304121780918E-2</v>
      </c>
      <c r="J2911" s="3">
        <v>2.0693890657200065E-2</v>
      </c>
      <c r="K2911" s="3">
        <v>0.91480666457088966</v>
      </c>
    </row>
    <row r="2912" spans="1:11" x14ac:dyDescent="0.2">
      <c r="A2912" s="1">
        <v>45889</v>
      </c>
      <c r="B2912">
        <v>500.76983642578102</v>
      </c>
      <c r="C2912">
        <v>505.72000122070301</v>
      </c>
      <c r="D2912">
        <v>511</v>
      </c>
      <c r="E2912">
        <v>504.44000244140602</v>
      </c>
      <c r="F2912">
        <v>509.86999511718699</v>
      </c>
      <c r="G2912" s="2">
        <v>27723000</v>
      </c>
      <c r="H2912" s="3">
        <f t="shared" si="45"/>
        <v>-7.944676371573034E-3</v>
      </c>
      <c r="J2912" s="3">
        <v>2.0708403124602759E-2</v>
      </c>
      <c r="K2912" s="3">
        <v>0.9151210311222886</v>
      </c>
    </row>
    <row r="2913" spans="1:11" x14ac:dyDescent="0.2">
      <c r="A2913" s="1">
        <v>45890</v>
      </c>
      <c r="B2913">
        <v>500.12512207031199</v>
      </c>
      <c r="C2913">
        <v>504.239990234375</v>
      </c>
      <c r="D2913">
        <v>507.63000488281199</v>
      </c>
      <c r="E2913">
        <v>502.72000122070301</v>
      </c>
      <c r="F2913">
        <v>503.69000244140602</v>
      </c>
      <c r="G2913" s="2">
        <v>18443300</v>
      </c>
      <c r="H2913" s="3">
        <f t="shared" si="45"/>
        <v>-1.2874464645686867E-3</v>
      </c>
      <c r="J2913" s="3">
        <v>2.073357675257137E-2</v>
      </c>
      <c r="K2913" s="3">
        <v>0.91543539767368753</v>
      </c>
    </row>
    <row r="2914" spans="1:11" x14ac:dyDescent="0.2">
      <c r="A2914" s="1">
        <v>45891</v>
      </c>
      <c r="B2914">
        <v>503.09075927734301</v>
      </c>
      <c r="C2914">
        <v>507.23001098632801</v>
      </c>
      <c r="D2914">
        <v>510.73001098632801</v>
      </c>
      <c r="E2914">
        <v>502.41000366210898</v>
      </c>
      <c r="F2914">
        <v>504.25</v>
      </c>
      <c r="G2914" s="2">
        <v>24324200</v>
      </c>
      <c r="H2914" s="3">
        <f t="shared" si="45"/>
        <v>5.9297905187296607E-3</v>
      </c>
      <c r="J2914" s="3">
        <v>2.0767055101232224E-2</v>
      </c>
      <c r="K2914" s="3">
        <v>0.91574976422508647</v>
      </c>
    </row>
    <row r="2915" spans="1:11" x14ac:dyDescent="0.2">
      <c r="A2915" s="1">
        <v>45894</v>
      </c>
      <c r="B2915">
        <v>500.14498901367102</v>
      </c>
      <c r="C2915">
        <v>504.260009765625</v>
      </c>
      <c r="D2915">
        <v>508.19000244140602</v>
      </c>
      <c r="E2915">
        <v>504.11999511718699</v>
      </c>
      <c r="F2915">
        <v>506.63000488281199</v>
      </c>
      <c r="G2915" s="2">
        <v>21638600</v>
      </c>
      <c r="H2915" s="3">
        <f t="shared" si="45"/>
        <v>-5.8553455998742177E-3</v>
      </c>
      <c r="J2915" s="3">
        <v>2.0775180775363111E-2</v>
      </c>
      <c r="K2915" s="3">
        <v>0.91606413077648541</v>
      </c>
    </row>
    <row r="2916" spans="1:11" x14ac:dyDescent="0.2">
      <c r="A2916" s="1">
        <v>45895</v>
      </c>
      <c r="B2916">
        <v>497.94308471679602</v>
      </c>
      <c r="C2916">
        <v>502.04000854492102</v>
      </c>
      <c r="D2916">
        <v>504.98001098632801</v>
      </c>
      <c r="E2916">
        <v>498.510009765625</v>
      </c>
      <c r="F2916">
        <v>504.35998535156199</v>
      </c>
      <c r="G2916" s="2">
        <v>30835700</v>
      </c>
      <c r="H2916" s="3">
        <f t="shared" si="45"/>
        <v>-4.402531956217981E-3</v>
      </c>
      <c r="J2916" s="3">
        <v>2.0823507256309437E-2</v>
      </c>
      <c r="K2916" s="3">
        <v>0.91637849732788434</v>
      </c>
    </row>
    <row r="2917" spans="1:11" x14ac:dyDescent="0.2">
      <c r="A2917" s="1">
        <v>45896</v>
      </c>
      <c r="B2917">
        <v>502.604736328125</v>
      </c>
      <c r="C2917">
        <v>506.739990234375</v>
      </c>
      <c r="D2917">
        <v>507.29000854492102</v>
      </c>
      <c r="E2917">
        <v>499.89999389648398</v>
      </c>
      <c r="F2917">
        <v>502</v>
      </c>
      <c r="G2917" s="2">
        <v>17277900</v>
      </c>
      <c r="H2917" s="3">
        <f t="shared" si="45"/>
        <v>9.361816148085067E-3</v>
      </c>
      <c r="J2917" s="3">
        <v>2.084627052465593E-2</v>
      </c>
      <c r="K2917" s="3">
        <v>0.91669286387928328</v>
      </c>
    </row>
    <row r="2918" spans="1:11" x14ac:dyDescent="0.2">
      <c r="A2918" s="1">
        <v>45897</v>
      </c>
      <c r="B2918">
        <v>505.48107910156199</v>
      </c>
      <c r="C2918">
        <v>509.64001464843699</v>
      </c>
      <c r="D2918">
        <v>511.08999633789</v>
      </c>
      <c r="E2918">
        <v>505.5</v>
      </c>
      <c r="F2918">
        <v>507.08999633789</v>
      </c>
      <c r="G2918" s="2">
        <v>18015600</v>
      </c>
      <c r="H2918" s="3">
        <f t="shared" si="45"/>
        <v>5.7228723995930153E-3</v>
      </c>
      <c r="J2918" s="3">
        <v>2.0847216389028977E-2</v>
      </c>
      <c r="K2918" s="3">
        <v>0.91700723043068222</v>
      </c>
    </row>
    <row r="2919" spans="1:11" x14ac:dyDescent="0.2">
      <c r="A2919" s="1">
        <v>45898</v>
      </c>
      <c r="B2919">
        <v>502.55514526367102</v>
      </c>
      <c r="C2919">
        <v>506.69000244140602</v>
      </c>
      <c r="D2919">
        <v>509.600006103515</v>
      </c>
      <c r="E2919">
        <v>504.489990234375</v>
      </c>
      <c r="F2919">
        <v>508.66000366210898</v>
      </c>
      <c r="G2919" s="2">
        <v>20961600</v>
      </c>
      <c r="H2919" s="3">
        <f t="shared" si="45"/>
        <v>-5.788414163971245E-3</v>
      </c>
      <c r="J2919" s="3">
        <v>2.0854589747597574E-2</v>
      </c>
      <c r="K2919" s="3">
        <v>0.91732159698208116</v>
      </c>
    </row>
    <row r="2920" spans="1:11" x14ac:dyDescent="0.2">
      <c r="A2920" s="1">
        <v>45902</v>
      </c>
      <c r="B2920">
        <v>500.99792480468699</v>
      </c>
      <c r="C2920">
        <v>505.11999511718699</v>
      </c>
      <c r="D2920">
        <v>506</v>
      </c>
      <c r="E2920">
        <v>496.80999755859301</v>
      </c>
      <c r="F2920">
        <v>500.47000122070301</v>
      </c>
      <c r="G2920" s="2">
        <v>18128000</v>
      </c>
      <c r="H2920" s="3">
        <f t="shared" si="45"/>
        <v>-3.0986061403610599E-3</v>
      </c>
      <c r="J2920" s="3">
        <v>2.090108683726144E-2</v>
      </c>
      <c r="K2920" s="3">
        <v>0.91763596353348009</v>
      </c>
    </row>
    <row r="2921" spans="1:11" x14ac:dyDescent="0.2">
      <c r="A2921" s="1">
        <v>45903</v>
      </c>
      <c r="B2921">
        <v>501.22604370117102</v>
      </c>
      <c r="C2921">
        <v>505.350006103515</v>
      </c>
      <c r="D2921">
        <v>507.79000854492102</v>
      </c>
      <c r="E2921">
        <v>502.32000732421801</v>
      </c>
      <c r="F2921">
        <v>503.79000854492102</v>
      </c>
      <c r="G2921" s="2">
        <v>16345100</v>
      </c>
      <c r="H2921" s="3">
        <f t="shared" si="45"/>
        <v>4.5532902471201453E-4</v>
      </c>
      <c r="J2921" s="3">
        <v>2.0952725134028682E-2</v>
      </c>
      <c r="K2921" s="3">
        <v>0.91795033008487892</v>
      </c>
    </row>
    <row r="2922" spans="1:11" x14ac:dyDescent="0.2">
      <c r="A2922" s="1">
        <v>45904</v>
      </c>
      <c r="B2922">
        <v>503.82470703125</v>
      </c>
      <c r="C2922">
        <v>507.97000122070301</v>
      </c>
      <c r="D2922">
        <v>508.14999389648398</v>
      </c>
      <c r="E2922">
        <v>503.14999389648398</v>
      </c>
      <c r="F2922">
        <v>504.29998779296801</v>
      </c>
      <c r="G2922" s="2">
        <v>15509500</v>
      </c>
      <c r="H2922" s="3">
        <f t="shared" si="45"/>
        <v>5.1846135346236277E-3</v>
      </c>
      <c r="J2922" s="3">
        <v>2.099351091110524E-2</v>
      </c>
      <c r="K2922" s="3">
        <v>0.91826469663627786</v>
      </c>
    </row>
    <row r="2923" spans="1:11" x14ac:dyDescent="0.2">
      <c r="A2923" s="1">
        <v>45905</v>
      </c>
      <c r="B2923">
        <v>490.96054077148398</v>
      </c>
      <c r="C2923">
        <v>495</v>
      </c>
      <c r="D2923">
        <v>511.97000122070301</v>
      </c>
      <c r="E2923">
        <v>492.36999511718699</v>
      </c>
      <c r="F2923">
        <v>509.07000732421801</v>
      </c>
      <c r="G2923" s="2">
        <v>31994800</v>
      </c>
      <c r="H2923" s="3">
        <f t="shared" si="45"/>
        <v>-2.5533019878217544E-2</v>
      </c>
      <c r="J2923" s="3">
        <v>2.1012722384552651E-2</v>
      </c>
      <c r="K2923" s="3">
        <v>0.91857906318767679</v>
      </c>
    </row>
    <row r="2924" spans="1:11" x14ac:dyDescent="0.2">
      <c r="A2924" s="1">
        <v>45908</v>
      </c>
      <c r="B2924">
        <v>494.13446044921801</v>
      </c>
      <c r="C2924">
        <v>498.20001220703102</v>
      </c>
      <c r="D2924">
        <v>501.20001220703102</v>
      </c>
      <c r="E2924">
        <v>495.02999877929602</v>
      </c>
      <c r="F2924">
        <v>498.10998535156199</v>
      </c>
      <c r="G2924" s="2">
        <v>16771000</v>
      </c>
      <c r="H2924" s="3">
        <f t="shared" si="45"/>
        <v>6.4647143999527756E-3</v>
      </c>
      <c r="J2924" s="3">
        <v>2.1029616649285376E-2</v>
      </c>
      <c r="K2924" s="3">
        <v>0.91889342973907573</v>
      </c>
    </row>
    <row r="2925" spans="1:11" x14ac:dyDescent="0.2">
      <c r="A2925" s="1">
        <v>45909</v>
      </c>
      <c r="B2925">
        <v>494.34271240234301</v>
      </c>
      <c r="C2925">
        <v>498.41000366210898</v>
      </c>
      <c r="D2925">
        <v>502.25</v>
      </c>
      <c r="E2925">
        <v>497.70001220703102</v>
      </c>
      <c r="F2925">
        <v>501.42999267578102</v>
      </c>
      <c r="G2925" s="2">
        <v>14410500</v>
      </c>
      <c r="H2925" s="3">
        <f t="shared" si="45"/>
        <v>4.2144794543519382E-4</v>
      </c>
      <c r="J2925" s="3">
        <v>2.1031665732353266E-2</v>
      </c>
      <c r="K2925" s="3">
        <v>0.91920779629047467</v>
      </c>
    </row>
    <row r="2926" spans="1:11" x14ac:dyDescent="0.2">
      <c r="A2926" s="1">
        <v>45910</v>
      </c>
      <c r="B2926">
        <v>496.28671264648398</v>
      </c>
      <c r="C2926">
        <v>500.36999511718699</v>
      </c>
      <c r="D2926">
        <v>503.23001098632801</v>
      </c>
      <c r="E2926">
        <v>496.72000122070301</v>
      </c>
      <c r="F2926">
        <v>502.98001098632801</v>
      </c>
      <c r="G2926" s="2">
        <v>21611800</v>
      </c>
      <c r="H2926" s="3">
        <f t="shared" si="45"/>
        <v>3.9324949986494495E-3</v>
      </c>
      <c r="J2926" s="3">
        <v>2.106740714914479E-2</v>
      </c>
      <c r="K2926" s="3">
        <v>0.9195221628418736</v>
      </c>
    </row>
    <row r="2927" spans="1:11" x14ac:dyDescent="0.2">
      <c r="A2927" s="1">
        <v>45911</v>
      </c>
      <c r="B2927">
        <v>496.92150878906199</v>
      </c>
      <c r="C2927">
        <v>501.010009765625</v>
      </c>
      <c r="D2927">
        <v>503.17001342773398</v>
      </c>
      <c r="E2927">
        <v>497.88000488281199</v>
      </c>
      <c r="F2927">
        <v>502.25</v>
      </c>
      <c r="G2927" s="2">
        <v>18881600</v>
      </c>
      <c r="H2927" s="3">
        <f t="shared" si="45"/>
        <v>1.2790915541400771E-3</v>
      </c>
      <c r="J2927" s="3">
        <v>2.1081062242307214E-2</v>
      </c>
      <c r="K2927" s="3">
        <v>0.91983652939327254</v>
      </c>
    </row>
    <row r="2928" spans="1:11" x14ac:dyDescent="0.2">
      <c r="A2928" s="1">
        <v>45912</v>
      </c>
      <c r="B2928">
        <v>505.73895263671801</v>
      </c>
      <c r="C2928">
        <v>509.89999389648398</v>
      </c>
      <c r="D2928">
        <v>512.54998779296795</v>
      </c>
      <c r="E2928">
        <v>503.850006103515</v>
      </c>
      <c r="F2928">
        <v>506.64999389648398</v>
      </c>
      <c r="G2928" s="2">
        <v>23624900</v>
      </c>
      <c r="H2928" s="3">
        <f t="shared" si="45"/>
        <v>1.7744138041323909E-2</v>
      </c>
      <c r="J2928" s="3">
        <v>2.1092017290289755E-2</v>
      </c>
      <c r="K2928" s="3">
        <v>0.92015089594467148</v>
      </c>
    </row>
    <row r="2929" spans="1:11" x14ac:dyDescent="0.2">
      <c r="A2929" s="1">
        <v>45915</v>
      </c>
      <c r="B2929">
        <v>511.15438842773398</v>
      </c>
      <c r="C2929">
        <v>515.35998535156205</v>
      </c>
      <c r="D2929">
        <v>515.469970703125</v>
      </c>
      <c r="E2929">
        <v>507</v>
      </c>
      <c r="F2929">
        <v>508.79000854492102</v>
      </c>
      <c r="G2929" s="2">
        <v>17143800</v>
      </c>
      <c r="H2929" s="3">
        <f t="shared" si="45"/>
        <v>1.070796655622841E-2</v>
      </c>
      <c r="J2929" s="3">
        <v>2.1110254036227349E-2</v>
      </c>
      <c r="K2929" s="3">
        <v>0.92046526249607041</v>
      </c>
    </row>
    <row r="2930" spans="1:11" x14ac:dyDescent="0.2">
      <c r="A2930" s="1">
        <v>45916</v>
      </c>
      <c r="B2930">
        <v>504.88595581054602</v>
      </c>
      <c r="C2930">
        <v>509.04000854492102</v>
      </c>
      <c r="D2930">
        <v>517.22998046875</v>
      </c>
      <c r="E2930">
        <v>508.600006103515</v>
      </c>
      <c r="F2930">
        <v>516.88000488281205</v>
      </c>
      <c r="G2930" s="2">
        <v>19711900</v>
      </c>
      <c r="H2930" s="3">
        <f t="shared" si="45"/>
        <v>-1.2263286316428035E-2</v>
      </c>
      <c r="J2930" s="3">
        <v>2.1124902664579892E-2</v>
      </c>
      <c r="K2930" s="3">
        <v>0.92077962904746935</v>
      </c>
    </row>
    <row r="2931" spans="1:11" x14ac:dyDescent="0.2">
      <c r="A2931" s="1">
        <v>45917</v>
      </c>
      <c r="B2931">
        <v>505.85797119140602</v>
      </c>
      <c r="C2931">
        <v>510.01998901367102</v>
      </c>
      <c r="D2931">
        <v>511.29000854492102</v>
      </c>
      <c r="E2931">
        <v>505.92999267578102</v>
      </c>
      <c r="F2931">
        <v>510.61999511718699</v>
      </c>
      <c r="G2931" s="2">
        <v>15816600</v>
      </c>
      <c r="H2931" s="3">
        <f t="shared" si="45"/>
        <v>1.9252177044606356E-3</v>
      </c>
      <c r="J2931" s="3">
        <v>2.1187722904381978E-2</v>
      </c>
      <c r="K2931" s="3">
        <v>0.92109399559886829</v>
      </c>
    </row>
    <row r="2932" spans="1:11" x14ac:dyDescent="0.2">
      <c r="A2932" s="1">
        <v>45918</v>
      </c>
      <c r="B2932">
        <v>504.30078125</v>
      </c>
      <c r="C2932">
        <v>508.45001220703102</v>
      </c>
      <c r="D2932">
        <v>513.07000732421795</v>
      </c>
      <c r="E2932">
        <v>507.66000366210898</v>
      </c>
      <c r="F2932">
        <v>511.489990234375</v>
      </c>
      <c r="G2932" s="2">
        <v>18913700</v>
      </c>
      <c r="H2932" s="3">
        <f t="shared" si="45"/>
        <v>-3.0783145271754409E-3</v>
      </c>
      <c r="J2932" s="3">
        <v>2.1187888787270737E-2</v>
      </c>
      <c r="K2932" s="3">
        <v>0.92140836215026722</v>
      </c>
    </row>
    <row r="2933" spans="1:11" x14ac:dyDescent="0.2">
      <c r="A2933" s="1">
        <v>45919</v>
      </c>
      <c r="B2933">
        <v>513.70343017578102</v>
      </c>
      <c r="C2933">
        <v>517.92999267578102</v>
      </c>
      <c r="D2933">
        <v>519.29998779296795</v>
      </c>
      <c r="E2933">
        <v>510.30999755859301</v>
      </c>
      <c r="F2933">
        <v>510.55999755859301</v>
      </c>
      <c r="G2933" s="2">
        <v>52474100</v>
      </c>
      <c r="H2933" s="3">
        <f t="shared" si="45"/>
        <v>1.8644922386348295E-2</v>
      </c>
      <c r="J2933" s="3">
        <v>2.1192948386305366E-2</v>
      </c>
      <c r="K2933" s="3">
        <v>0.92172272870166616</v>
      </c>
    </row>
    <row r="2934" spans="1:11" x14ac:dyDescent="0.2">
      <c r="A2934" s="1">
        <v>45922</v>
      </c>
      <c r="B2934">
        <v>510.25183105468699</v>
      </c>
      <c r="C2934">
        <v>514.45001220703102</v>
      </c>
      <c r="D2934">
        <v>517.739990234375</v>
      </c>
      <c r="E2934">
        <v>512.53997802734295</v>
      </c>
      <c r="F2934">
        <v>515.59002685546795</v>
      </c>
      <c r="G2934" s="2">
        <v>20009300</v>
      </c>
      <c r="H2934" s="3">
        <f t="shared" si="45"/>
        <v>-6.7190501724174734E-3</v>
      </c>
      <c r="J2934" s="3">
        <v>2.1313874227189444E-2</v>
      </c>
      <c r="K2934" s="3">
        <v>0.9220370952530651</v>
      </c>
    </row>
    <row r="2935" spans="1:11" x14ac:dyDescent="0.2">
      <c r="A2935" s="1">
        <v>45923</v>
      </c>
      <c r="B2935">
        <v>505.07443237304602</v>
      </c>
      <c r="C2935">
        <v>509.23001098632801</v>
      </c>
      <c r="D2935">
        <v>514.59002685546795</v>
      </c>
      <c r="E2935">
        <v>507.30999755859301</v>
      </c>
      <c r="F2935">
        <v>513.79998779296795</v>
      </c>
      <c r="G2935" s="2">
        <v>19799600</v>
      </c>
      <c r="H2935" s="3">
        <f t="shared" si="45"/>
        <v>-1.0146751793010389E-2</v>
      </c>
      <c r="J2935" s="3">
        <v>2.1335007823376717E-2</v>
      </c>
      <c r="K2935" s="3">
        <v>0.92235146180446403</v>
      </c>
    </row>
    <row r="2936" spans="1:11" x14ac:dyDescent="0.2">
      <c r="A2936" s="1">
        <v>45924</v>
      </c>
      <c r="B2936">
        <v>505.98690795898398</v>
      </c>
      <c r="C2936">
        <v>510.14999389648398</v>
      </c>
      <c r="D2936">
        <v>512.47998046875</v>
      </c>
      <c r="E2936">
        <v>506.92001342773398</v>
      </c>
      <c r="F2936">
        <v>510.38000488281199</v>
      </c>
      <c r="G2936" s="2">
        <v>13533700</v>
      </c>
      <c r="H2936" s="3">
        <f t="shared" si="45"/>
        <v>1.8066160697360889E-3</v>
      </c>
      <c r="J2936" s="3">
        <v>2.1342393238451773E-2</v>
      </c>
      <c r="K2936" s="3">
        <v>0.92266582835586297</v>
      </c>
    </row>
    <row r="2937" spans="1:11" x14ac:dyDescent="0.2">
      <c r="A2937" s="1">
        <v>45925</v>
      </c>
      <c r="B2937">
        <v>502.89236450195301</v>
      </c>
      <c r="C2937">
        <v>507.02999877929602</v>
      </c>
      <c r="D2937">
        <v>510.010009765625</v>
      </c>
      <c r="E2937">
        <v>505.04000854492102</v>
      </c>
      <c r="F2937">
        <v>508.29998779296801</v>
      </c>
      <c r="G2937" s="2">
        <v>15786500</v>
      </c>
      <c r="H2937" s="3">
        <f t="shared" si="45"/>
        <v>-6.1158567709064249E-3</v>
      </c>
      <c r="J2937" s="3">
        <v>2.1385464418153033E-2</v>
      </c>
      <c r="K2937" s="3">
        <v>0.92298019490726191</v>
      </c>
    </row>
    <row r="2938" spans="1:11" x14ac:dyDescent="0.2">
      <c r="A2938" s="1">
        <v>45926</v>
      </c>
      <c r="B2938">
        <v>507.28619384765602</v>
      </c>
      <c r="C2938">
        <v>511.45999145507801</v>
      </c>
      <c r="D2938">
        <v>513.94000244140602</v>
      </c>
      <c r="E2938">
        <v>506.61999511718699</v>
      </c>
      <c r="F2938">
        <v>510.05999755859301</v>
      </c>
      <c r="G2938" s="2">
        <v>16213100</v>
      </c>
      <c r="H2938" s="3">
        <f t="shared" si="45"/>
        <v>8.737116838221537E-3</v>
      </c>
      <c r="J2938" s="3">
        <v>2.1441007293914627E-2</v>
      </c>
      <c r="K2938" s="3">
        <v>0.92329456145866085</v>
      </c>
    </row>
    <row r="2939" spans="1:11" x14ac:dyDescent="0.2">
      <c r="A2939" s="1">
        <v>45929</v>
      </c>
      <c r="B2939">
        <v>510.40057373046801</v>
      </c>
      <c r="C2939">
        <v>514.59997558593705</v>
      </c>
      <c r="D2939">
        <v>516.84997558593705</v>
      </c>
      <c r="E2939">
        <v>508.88000488281199</v>
      </c>
      <c r="F2939">
        <v>511.5</v>
      </c>
      <c r="G2939" s="2">
        <v>17617800</v>
      </c>
      <c r="H2939" s="3">
        <f t="shared" si="45"/>
        <v>6.1392955703960528E-3</v>
      </c>
      <c r="J2939" s="3">
        <v>2.1441384975888989E-2</v>
      </c>
      <c r="K2939" s="3">
        <v>0.92360892801005978</v>
      </c>
    </row>
    <row r="2940" spans="1:11" x14ac:dyDescent="0.2">
      <c r="A2940" s="1">
        <v>45930</v>
      </c>
      <c r="B2940">
        <v>513.72326660156205</v>
      </c>
      <c r="C2940">
        <v>517.95001220703102</v>
      </c>
      <c r="D2940">
        <v>518.15997314453102</v>
      </c>
      <c r="E2940">
        <v>509.66000366210898</v>
      </c>
      <c r="F2940">
        <v>513.239990234375</v>
      </c>
      <c r="G2940" s="2">
        <v>19728200</v>
      </c>
      <c r="H2940" s="3">
        <f t="shared" si="45"/>
        <v>6.5099708779885468E-3</v>
      </c>
      <c r="J2940" s="3">
        <v>2.1479417134227186E-2</v>
      </c>
      <c r="K2940" s="3">
        <v>0.92392329456145861</v>
      </c>
    </row>
    <row r="2941" spans="1:11" x14ac:dyDescent="0.2">
      <c r="A2941" s="1">
        <v>45931</v>
      </c>
      <c r="B2941">
        <v>515.46887207031205</v>
      </c>
      <c r="C2941">
        <v>519.71002197265602</v>
      </c>
      <c r="D2941">
        <v>520.510009765625</v>
      </c>
      <c r="E2941">
        <v>511.69000244140602</v>
      </c>
      <c r="F2941">
        <v>514.79998779296795</v>
      </c>
      <c r="G2941" s="2">
        <v>22632300</v>
      </c>
      <c r="H2941" s="3">
        <f t="shared" si="45"/>
        <v>3.3979490169828708E-3</v>
      </c>
      <c r="J2941" s="3">
        <v>2.1507329792772811E-2</v>
      </c>
      <c r="K2941" s="3">
        <v>0.92423766111285754</v>
      </c>
    </row>
    <row r="2942" spans="1:11" x14ac:dyDescent="0.2">
      <c r="A2942" s="1">
        <v>45932</v>
      </c>
      <c r="B2942">
        <v>511.53131103515602</v>
      </c>
      <c r="C2942">
        <v>515.739990234375</v>
      </c>
      <c r="D2942">
        <v>521.59997558593705</v>
      </c>
      <c r="E2942">
        <v>510.67999267578102</v>
      </c>
      <c r="F2942">
        <v>517.64001464843705</v>
      </c>
      <c r="G2942" s="2">
        <v>21222900</v>
      </c>
      <c r="H2942" s="3">
        <f t="shared" si="45"/>
        <v>-7.6387949855076798E-3</v>
      </c>
      <c r="J2942" s="3">
        <v>2.1519894227000735E-2</v>
      </c>
      <c r="K2942" s="3">
        <v>0.92455202766425648</v>
      </c>
    </row>
    <row r="2943" spans="1:11" x14ac:dyDescent="0.2">
      <c r="A2943" s="1">
        <v>45933</v>
      </c>
      <c r="B2943">
        <v>513.12811279296795</v>
      </c>
      <c r="C2943">
        <v>517.34997558593705</v>
      </c>
      <c r="D2943">
        <v>520.489990234375</v>
      </c>
      <c r="E2943">
        <v>515</v>
      </c>
      <c r="F2943">
        <v>517.09997558593705</v>
      </c>
      <c r="G2943" s="2">
        <v>15112300</v>
      </c>
      <c r="H2943" s="3">
        <f t="shared" si="45"/>
        <v>3.1216109813112514E-3</v>
      </c>
      <c r="J2943" s="3">
        <v>2.1526168829465675E-2</v>
      </c>
      <c r="K2943" s="3">
        <v>0.92486639421565542</v>
      </c>
    </row>
    <row r="2944" spans="1:11" x14ac:dyDescent="0.2">
      <c r="A2944" s="1">
        <v>45936</v>
      </c>
      <c r="B2944">
        <v>524.256591796875</v>
      </c>
      <c r="C2944">
        <v>528.57000732421795</v>
      </c>
      <c r="D2944">
        <v>531.030029296875</v>
      </c>
      <c r="E2944">
        <v>518.20001220703102</v>
      </c>
      <c r="F2944">
        <v>518.60998535156205</v>
      </c>
      <c r="G2944" s="2">
        <v>21388600</v>
      </c>
      <c r="H2944" s="3">
        <f t="shared" si="45"/>
        <v>2.1687525447269929E-2</v>
      </c>
      <c r="J2944" s="3">
        <v>2.1619547434790221E-2</v>
      </c>
      <c r="K2944" s="3">
        <v>0.92518076076705436</v>
      </c>
    </row>
    <row r="2945" spans="1:11" x14ac:dyDescent="0.2">
      <c r="A2945" s="1">
        <v>45937</v>
      </c>
      <c r="B2945">
        <v>519.70404052734295</v>
      </c>
      <c r="C2945">
        <v>523.97998046875</v>
      </c>
      <c r="D2945">
        <v>529.79998779296795</v>
      </c>
      <c r="E2945">
        <v>521.44000244140602</v>
      </c>
      <c r="F2945">
        <v>528.28997802734295</v>
      </c>
      <c r="G2945" s="2">
        <v>14615200</v>
      </c>
      <c r="H2945" s="3">
        <f t="shared" si="45"/>
        <v>-8.6838226562460097E-3</v>
      </c>
      <c r="J2945" s="3">
        <v>2.1671003831166047E-2</v>
      </c>
      <c r="K2945" s="3">
        <v>0.92549512731845329</v>
      </c>
    </row>
    <row r="2946" spans="1:11" x14ac:dyDescent="0.2">
      <c r="A2946" s="1">
        <v>45938</v>
      </c>
      <c r="B2946">
        <v>520.56695556640602</v>
      </c>
      <c r="C2946">
        <v>524.84997558593705</v>
      </c>
      <c r="D2946">
        <v>526.95001220703102</v>
      </c>
      <c r="E2946">
        <v>523.09002685546795</v>
      </c>
      <c r="F2946">
        <v>523.280029296875</v>
      </c>
      <c r="G2946" s="2">
        <v>13363400</v>
      </c>
      <c r="H2946" s="3">
        <f t="shared" ref="H2946:H3009" si="46">B2946/B2945-1</f>
        <v>1.6603970178632466E-3</v>
      </c>
      <c r="J2946" s="3">
        <v>2.1679119081206677E-2</v>
      </c>
      <c r="K2946" s="3">
        <v>0.92580949386985223</v>
      </c>
    </row>
    <row r="2947" spans="1:11" x14ac:dyDescent="0.2">
      <c r="A2947" s="1">
        <v>45939</v>
      </c>
      <c r="B2947">
        <v>518.136962890625</v>
      </c>
      <c r="C2947">
        <v>522.40002441406205</v>
      </c>
      <c r="D2947">
        <v>524.33001708984295</v>
      </c>
      <c r="E2947">
        <v>517.40002441406205</v>
      </c>
      <c r="F2947">
        <v>522.34002685546795</v>
      </c>
      <c r="G2947" s="2">
        <v>18343600</v>
      </c>
      <c r="H2947" s="3">
        <f t="shared" si="46"/>
        <v>-4.6679733505885501E-3</v>
      </c>
      <c r="J2947" s="3">
        <v>2.1687525447269929E-2</v>
      </c>
      <c r="K2947" s="3">
        <v>0.92612386042125117</v>
      </c>
    </row>
    <row r="2948" spans="1:11" x14ac:dyDescent="0.2">
      <c r="A2948" s="1">
        <v>45940</v>
      </c>
      <c r="B2948">
        <v>506.790283203125</v>
      </c>
      <c r="C2948">
        <v>510.95999145507801</v>
      </c>
      <c r="D2948">
        <v>523.58001708984295</v>
      </c>
      <c r="E2948">
        <v>509.63000488281199</v>
      </c>
      <c r="F2948">
        <v>519.64001464843705</v>
      </c>
      <c r="G2948" s="2">
        <v>24133800</v>
      </c>
      <c r="H2948" s="3">
        <f t="shared" si="46"/>
        <v>-2.1898996790729264E-2</v>
      </c>
      <c r="J2948" s="3">
        <v>2.1734173000063306E-2</v>
      </c>
      <c r="K2948" s="3">
        <v>0.9264382269726501</v>
      </c>
    </row>
    <row r="2949" spans="1:11" x14ac:dyDescent="0.2">
      <c r="A2949" s="1">
        <v>45943</v>
      </c>
      <c r="B2949">
        <v>509.85510253906199</v>
      </c>
      <c r="C2949">
        <v>514.04998779296795</v>
      </c>
      <c r="D2949">
        <v>516.40997314453102</v>
      </c>
      <c r="E2949">
        <v>511.67999267578102</v>
      </c>
      <c r="F2949">
        <v>516.40997314453102</v>
      </c>
      <c r="G2949" s="2">
        <v>14284200</v>
      </c>
      <c r="H2949" s="3">
        <f t="shared" si="46"/>
        <v>6.0475100599128861E-3</v>
      </c>
      <c r="J2949" s="3">
        <v>2.178152260973043E-2</v>
      </c>
      <c r="K2949" s="3">
        <v>0.92675259352404904</v>
      </c>
    </row>
    <row r="2950" spans="1:11" x14ac:dyDescent="0.2">
      <c r="A2950" s="1">
        <v>45944</v>
      </c>
      <c r="B2950">
        <v>509.37896728515602</v>
      </c>
      <c r="C2950">
        <v>513.57000732421795</v>
      </c>
      <c r="D2950">
        <v>515.280029296875</v>
      </c>
      <c r="E2950">
        <v>506</v>
      </c>
      <c r="F2950">
        <v>510.23001098632801</v>
      </c>
      <c r="G2950" s="2">
        <v>14684300</v>
      </c>
      <c r="H2950" s="3">
        <f t="shared" si="46"/>
        <v>-9.3386385962368479E-4</v>
      </c>
      <c r="J2950" s="3">
        <v>2.1834769259952314E-2</v>
      </c>
      <c r="K2950" s="3">
        <v>0.92706696007544798</v>
      </c>
    </row>
    <row r="2951" spans="1:11" x14ac:dyDescent="0.2">
      <c r="A2951" s="1">
        <v>45945</v>
      </c>
      <c r="B2951">
        <v>509.24017333984301</v>
      </c>
      <c r="C2951">
        <v>513.42999267578102</v>
      </c>
      <c r="D2951">
        <v>517.19000244140602</v>
      </c>
      <c r="E2951">
        <v>510</v>
      </c>
      <c r="F2951">
        <v>514.96002197265602</v>
      </c>
      <c r="G2951" s="2">
        <v>14694700</v>
      </c>
      <c r="H2951" s="3">
        <f t="shared" si="46"/>
        <v>-2.7247678884889659E-4</v>
      </c>
      <c r="J2951" s="3">
        <v>2.1840544703012998E-2</v>
      </c>
      <c r="K2951" s="3">
        <v>0.92738132662684691</v>
      </c>
    </row>
    <row r="2952" spans="1:11" x14ac:dyDescent="0.2">
      <c r="A2952" s="1">
        <v>45946</v>
      </c>
      <c r="B2952">
        <v>507.434967041015</v>
      </c>
      <c r="C2952">
        <v>511.60998535156199</v>
      </c>
      <c r="D2952">
        <v>516.84997558593705</v>
      </c>
      <c r="E2952">
        <v>508.13000488281199</v>
      </c>
      <c r="F2952">
        <v>512.58001708984295</v>
      </c>
      <c r="G2952" s="2">
        <v>15559600</v>
      </c>
      <c r="H2952" s="3">
        <f t="shared" si="46"/>
        <v>-3.5449015873759704E-3</v>
      </c>
      <c r="J2952" s="3">
        <v>2.1853132354936688E-2</v>
      </c>
      <c r="K2952" s="3">
        <v>0.92769569317824585</v>
      </c>
    </row>
    <row r="2953" spans="1:11" x14ac:dyDescent="0.2">
      <c r="A2953" s="1">
        <v>45947</v>
      </c>
      <c r="B2953">
        <v>509.38894653320301</v>
      </c>
      <c r="C2953">
        <v>513.58001708984295</v>
      </c>
      <c r="D2953">
        <v>515.47998046875</v>
      </c>
      <c r="E2953">
        <v>507.30999755859301</v>
      </c>
      <c r="F2953">
        <v>509.04000854492102</v>
      </c>
      <c r="G2953" s="2">
        <v>19867800</v>
      </c>
      <c r="H2953" s="3">
        <f t="shared" si="46"/>
        <v>3.8506993390348132E-3</v>
      </c>
      <c r="J2953" s="3">
        <v>2.1881524259484531E-2</v>
      </c>
      <c r="K2953" s="3">
        <v>0.92801005972964479</v>
      </c>
    </row>
    <row r="2954" spans="1:11" x14ac:dyDescent="0.2">
      <c r="A2954" s="1">
        <v>45950</v>
      </c>
      <c r="B2954">
        <v>512.57275390625</v>
      </c>
      <c r="C2954">
        <v>516.78997802734295</v>
      </c>
      <c r="D2954">
        <v>518.70001220703102</v>
      </c>
      <c r="E2954">
        <v>513.42999267578102</v>
      </c>
      <c r="F2954">
        <v>514.60998535156205</v>
      </c>
      <c r="G2954" s="2">
        <v>14665600</v>
      </c>
      <c r="H2954" s="3">
        <f t="shared" si="46"/>
        <v>6.2502482527651004E-3</v>
      </c>
      <c r="J2954" s="3">
        <v>2.1893185514753721E-2</v>
      </c>
      <c r="K2954" s="3">
        <v>0.92832442628104372</v>
      </c>
    </row>
    <row r="2955" spans="1:11" x14ac:dyDescent="0.2">
      <c r="A2955" s="1">
        <v>45951</v>
      </c>
      <c r="B2955">
        <v>513.43560791015602</v>
      </c>
      <c r="C2955">
        <v>517.65997314453102</v>
      </c>
      <c r="D2955">
        <v>518.69000244140602</v>
      </c>
      <c r="E2955">
        <v>513.03997802734295</v>
      </c>
      <c r="F2955">
        <v>517.5</v>
      </c>
      <c r="G2955" s="2">
        <v>15586200</v>
      </c>
      <c r="H2955" s="3">
        <f t="shared" si="46"/>
        <v>1.6833785981216209E-3</v>
      </c>
      <c r="J2955" s="3">
        <v>2.1901933430880094E-2</v>
      </c>
      <c r="K2955" s="3">
        <v>0.92863879283244266</v>
      </c>
    </row>
    <row r="2956" spans="1:11" x14ac:dyDescent="0.2">
      <c r="A2956" s="1">
        <v>45952</v>
      </c>
      <c r="B2956">
        <v>516.29205322265602</v>
      </c>
      <c r="C2956">
        <v>520.53997802734295</v>
      </c>
      <c r="D2956">
        <v>525.22998046875</v>
      </c>
      <c r="E2956">
        <v>517.71002197265602</v>
      </c>
      <c r="F2956">
        <v>521.15002441406205</v>
      </c>
      <c r="G2956" s="2">
        <v>18962700</v>
      </c>
      <c r="H2956" s="3">
        <f t="shared" si="46"/>
        <v>5.5633954258191842E-3</v>
      </c>
      <c r="J2956" s="3">
        <v>2.1967942627598935E-2</v>
      </c>
      <c r="K2956" s="3">
        <v>0.9289531593838416</v>
      </c>
    </row>
    <row r="2957" spans="1:11" x14ac:dyDescent="0.2">
      <c r="A2957" s="1">
        <v>45953</v>
      </c>
      <c r="B2957">
        <v>516.31195068359295</v>
      </c>
      <c r="C2957">
        <v>520.55999755859295</v>
      </c>
      <c r="D2957">
        <v>523.95001220703102</v>
      </c>
      <c r="E2957">
        <v>518.60998535156205</v>
      </c>
      <c r="F2957">
        <v>522.46002197265602</v>
      </c>
      <c r="G2957" s="2">
        <v>14023500</v>
      </c>
      <c r="H2957" s="3">
        <f t="shared" si="46"/>
        <v>3.8539157852124362E-5</v>
      </c>
      <c r="J2957" s="3">
        <v>2.1983356619899697E-2</v>
      </c>
      <c r="K2957" s="3">
        <v>0.92926752593524053</v>
      </c>
    </row>
    <row r="2958" spans="1:11" x14ac:dyDescent="0.2">
      <c r="A2958" s="1">
        <v>45954</v>
      </c>
      <c r="B2958">
        <v>519.33709716796795</v>
      </c>
      <c r="C2958">
        <v>523.60998535156205</v>
      </c>
      <c r="D2958">
        <v>525.34997558593705</v>
      </c>
      <c r="E2958">
        <v>520.71002197265602</v>
      </c>
      <c r="F2958">
        <v>522.78997802734295</v>
      </c>
      <c r="G2958" s="2">
        <v>15532400</v>
      </c>
      <c r="H2958" s="3">
        <f t="shared" si="46"/>
        <v>5.8591448064870821E-3</v>
      </c>
      <c r="J2958" s="3">
        <v>2.1992469632581058E-2</v>
      </c>
      <c r="K2958" s="3">
        <v>0.92958189248663947</v>
      </c>
    </row>
    <row r="2959" spans="1:11" x14ac:dyDescent="0.2">
      <c r="A2959" s="1">
        <v>45957</v>
      </c>
      <c r="B2959">
        <v>527.18255615234295</v>
      </c>
      <c r="C2959">
        <v>531.52001953125</v>
      </c>
      <c r="D2959">
        <v>534.58001708984295</v>
      </c>
      <c r="E2959">
        <v>529.010009765625</v>
      </c>
      <c r="F2959">
        <v>531.780029296875</v>
      </c>
      <c r="G2959" s="2">
        <v>18734700</v>
      </c>
      <c r="H2959" s="3">
        <f t="shared" si="46"/>
        <v>1.5106679317070881E-2</v>
      </c>
      <c r="J2959" s="3">
        <v>2.1999384920436516E-2</v>
      </c>
      <c r="K2959" s="3">
        <v>0.9298962590380383</v>
      </c>
    </row>
    <row r="2960" spans="1:11" x14ac:dyDescent="0.2">
      <c r="A2960" s="1">
        <v>45958</v>
      </c>
      <c r="B2960">
        <v>537.64636230468705</v>
      </c>
      <c r="C2960">
        <v>542.07000732421795</v>
      </c>
      <c r="D2960">
        <v>553.719970703125</v>
      </c>
      <c r="E2960">
        <v>540.77001953125</v>
      </c>
      <c r="F2960">
        <v>550</v>
      </c>
      <c r="G2960" s="2">
        <v>29986700</v>
      </c>
      <c r="H2960" s="3">
        <f t="shared" si="46"/>
        <v>1.9848543982021072E-2</v>
      </c>
      <c r="J2960" s="3">
        <v>2.2006225423234937E-2</v>
      </c>
      <c r="K2960" s="3">
        <v>0.93021062558943723</v>
      </c>
    </row>
    <row r="2961" spans="1:11" x14ac:dyDescent="0.2">
      <c r="A2961" s="1">
        <v>45959</v>
      </c>
      <c r="B2961">
        <v>537.130615234375</v>
      </c>
      <c r="C2961">
        <v>541.54998779296795</v>
      </c>
      <c r="D2961">
        <v>546.27001953125</v>
      </c>
      <c r="E2961">
        <v>536.72998046875</v>
      </c>
      <c r="F2961">
        <v>544.94000244140602</v>
      </c>
      <c r="G2961" s="2">
        <v>36023000</v>
      </c>
      <c r="H2961" s="3">
        <f t="shared" si="46"/>
        <v>-9.5926822251946042E-4</v>
      </c>
      <c r="J2961" s="3">
        <v>2.2073674978922098E-2</v>
      </c>
      <c r="K2961" s="3">
        <v>0.93052499214083617</v>
      </c>
    </row>
    <row r="2962" spans="1:11" x14ac:dyDescent="0.2">
      <c r="A2962" s="1">
        <v>45960</v>
      </c>
      <c r="B2962">
        <v>521.46954345703102</v>
      </c>
      <c r="C2962">
        <v>525.760009765625</v>
      </c>
      <c r="D2962">
        <v>534.969970703125</v>
      </c>
      <c r="E2962">
        <v>522.11999511718705</v>
      </c>
      <c r="F2962">
        <v>530.47998046875</v>
      </c>
      <c r="G2962" s="2">
        <v>41023100</v>
      </c>
      <c r="H2962" s="3">
        <f t="shared" si="46"/>
        <v>-2.9156915158355501E-2</v>
      </c>
      <c r="J2962" s="3">
        <v>2.2169717958890223E-2</v>
      </c>
      <c r="K2962" s="3">
        <v>0.93083935869223511</v>
      </c>
    </row>
    <row r="2963" spans="1:11" x14ac:dyDescent="0.2">
      <c r="A2963" s="1">
        <v>45961</v>
      </c>
      <c r="B2963">
        <v>513.58435058593705</v>
      </c>
      <c r="C2963">
        <v>517.80999755859295</v>
      </c>
      <c r="D2963">
        <v>529.32000732421795</v>
      </c>
      <c r="E2963">
        <v>515.09997558593705</v>
      </c>
      <c r="F2963">
        <v>528.88000488281205</v>
      </c>
      <c r="G2963" s="2">
        <v>34006400</v>
      </c>
      <c r="H2963" s="3">
        <f t="shared" si="46"/>
        <v>-1.5121099535017613E-2</v>
      </c>
      <c r="J2963" s="3">
        <v>2.2249385225744378E-2</v>
      </c>
      <c r="K2963" s="3">
        <v>0.93115372524363405</v>
      </c>
    </row>
    <row r="2964" spans="1:11" x14ac:dyDescent="0.2">
      <c r="A2964" s="1">
        <v>45964</v>
      </c>
      <c r="B2964">
        <v>512.81072998046795</v>
      </c>
      <c r="C2964">
        <v>517.030029296875</v>
      </c>
      <c r="D2964">
        <v>524.96002197265602</v>
      </c>
      <c r="E2964">
        <v>514.59002685546795</v>
      </c>
      <c r="F2964">
        <v>519.80999755859295</v>
      </c>
      <c r="G2964" s="2">
        <v>22374700</v>
      </c>
      <c r="H2964" s="3">
        <f t="shared" si="46"/>
        <v>-1.5063165468076622E-3</v>
      </c>
      <c r="J2964" s="3">
        <v>2.2275414487352263E-2</v>
      </c>
      <c r="K2964" s="3">
        <v>0.93146809179503298</v>
      </c>
    </row>
    <row r="2965" spans="1:11" x14ac:dyDescent="0.2">
      <c r="A2965" s="1">
        <v>45965</v>
      </c>
      <c r="B2965">
        <v>510.13278198242102</v>
      </c>
      <c r="C2965">
        <v>514.33001708984295</v>
      </c>
      <c r="D2965">
        <v>515.54998779296795</v>
      </c>
      <c r="E2965">
        <v>507.83999633789</v>
      </c>
      <c r="F2965">
        <v>511.760009765625</v>
      </c>
      <c r="G2965" s="2">
        <v>20958700</v>
      </c>
      <c r="H2965" s="3">
        <f t="shared" si="46"/>
        <v>-5.2220982157470397E-3</v>
      </c>
      <c r="J2965" s="3">
        <v>2.2344526332803483E-2</v>
      </c>
      <c r="K2965" s="3">
        <v>0.93178245834643192</v>
      </c>
    </row>
    <row r="2966" spans="1:11" x14ac:dyDescent="0.2">
      <c r="A2966" s="1">
        <v>45966</v>
      </c>
      <c r="B2966">
        <v>503.02133178710898</v>
      </c>
      <c r="C2966">
        <v>507.16000366210898</v>
      </c>
      <c r="D2966">
        <v>514.83001708984295</v>
      </c>
      <c r="E2966">
        <v>506.579986572265</v>
      </c>
      <c r="F2966">
        <v>513.29998779296795</v>
      </c>
      <c r="G2966" s="2">
        <v>23024300</v>
      </c>
      <c r="H2966" s="3">
        <f t="shared" si="46"/>
        <v>-1.3940390514948553E-2</v>
      </c>
      <c r="J2966" s="3">
        <v>2.2368376749458907E-2</v>
      </c>
      <c r="K2966" s="3">
        <v>0.93209682489783086</v>
      </c>
    </row>
    <row r="2967" spans="1:11" x14ac:dyDescent="0.2">
      <c r="A2967" s="1">
        <v>45967</v>
      </c>
      <c r="B2967">
        <v>493.04339599609301</v>
      </c>
      <c r="C2967">
        <v>497.100006103515</v>
      </c>
      <c r="D2967">
        <v>505.70001220703102</v>
      </c>
      <c r="E2967">
        <v>495.80999755859301</v>
      </c>
      <c r="F2967">
        <v>505.66000366210898</v>
      </c>
      <c r="G2967" s="2">
        <v>27406500</v>
      </c>
      <c r="H2967" s="3">
        <f t="shared" si="46"/>
        <v>-1.9836009251470221E-2</v>
      </c>
      <c r="J2967" s="3">
        <v>2.239952307352211E-2</v>
      </c>
      <c r="K2967" s="3">
        <v>0.93241119144922979</v>
      </c>
    </row>
    <row r="2968" spans="1:11" x14ac:dyDescent="0.2">
      <c r="A2968" s="1">
        <v>45968</v>
      </c>
      <c r="B2968">
        <v>492.76568603515602</v>
      </c>
      <c r="C2968">
        <v>496.82000732421801</v>
      </c>
      <c r="D2968">
        <v>499.38000488281199</v>
      </c>
      <c r="E2968">
        <v>493.25</v>
      </c>
      <c r="F2968">
        <v>496.95001220703102</v>
      </c>
      <c r="G2968" s="2">
        <v>24019800</v>
      </c>
      <c r="H2968" s="3">
        <f t="shared" si="46"/>
        <v>-5.6325662850820191E-4</v>
      </c>
      <c r="J2968" s="3">
        <v>2.2414016728383723E-2</v>
      </c>
      <c r="K2968" s="3">
        <v>0.93272555800062873</v>
      </c>
    </row>
    <row r="2969" spans="1:11" x14ac:dyDescent="0.2">
      <c r="A2969" s="1">
        <v>45971</v>
      </c>
      <c r="B2969">
        <v>501.87078857421801</v>
      </c>
      <c r="C2969">
        <v>506</v>
      </c>
      <c r="D2969">
        <v>506.850006103515</v>
      </c>
      <c r="E2969">
        <v>498.79998779296801</v>
      </c>
      <c r="F2969">
        <v>500.04000854492102</v>
      </c>
      <c r="G2969" s="2">
        <v>26101500</v>
      </c>
      <c r="H2969" s="3">
        <f t="shared" si="46"/>
        <v>1.8477549872278232E-2</v>
      </c>
      <c r="J2969" s="3">
        <v>2.2460542581981935E-2</v>
      </c>
      <c r="K2969" s="3">
        <v>0.93303992455202767</v>
      </c>
    </row>
    <row r="2970" spans="1:11" x14ac:dyDescent="0.2">
      <c r="A2970" s="1">
        <v>45972</v>
      </c>
      <c r="B2970">
        <v>504.52890014648398</v>
      </c>
      <c r="C2970">
        <v>508.67999267578102</v>
      </c>
      <c r="D2970">
        <v>509.600006103515</v>
      </c>
      <c r="E2970">
        <v>502.350006103515</v>
      </c>
      <c r="F2970">
        <v>504.79998779296801</v>
      </c>
      <c r="G2970" s="2">
        <v>17980000</v>
      </c>
      <c r="H2970" s="3">
        <f t="shared" si="46"/>
        <v>5.2964062320053351E-3</v>
      </c>
      <c r="J2970" s="3">
        <v>2.2484269035990545E-2</v>
      </c>
      <c r="K2970" s="3">
        <v>0.9333542911034266</v>
      </c>
    </row>
    <row r="2971" spans="1:11" x14ac:dyDescent="0.2">
      <c r="A2971" s="1">
        <v>45973</v>
      </c>
      <c r="B2971">
        <v>506.96881103515602</v>
      </c>
      <c r="C2971">
        <v>511.14001464843699</v>
      </c>
      <c r="D2971">
        <v>511.67001342773398</v>
      </c>
      <c r="E2971">
        <v>499.11999511718699</v>
      </c>
      <c r="F2971">
        <v>509.35998535156199</v>
      </c>
      <c r="G2971" s="2">
        <v>26574900</v>
      </c>
      <c r="H2971" s="3">
        <f t="shared" si="46"/>
        <v>4.8360180912603301E-3</v>
      </c>
      <c r="J2971" s="3">
        <v>2.2596458558823418E-2</v>
      </c>
      <c r="K2971" s="3">
        <v>0.93366865765482554</v>
      </c>
    </row>
    <row r="2972" spans="1:11" x14ac:dyDescent="0.2">
      <c r="A2972" s="1">
        <v>45974</v>
      </c>
      <c r="B2972">
        <v>499.18289184570301</v>
      </c>
      <c r="C2972">
        <v>503.29000854492102</v>
      </c>
      <c r="D2972">
        <v>513.5</v>
      </c>
      <c r="E2972">
        <v>501.29000854492102</v>
      </c>
      <c r="F2972">
        <v>510.30999755859301</v>
      </c>
      <c r="G2972" s="2">
        <v>25273100</v>
      </c>
      <c r="H2972" s="3">
        <f t="shared" si="46"/>
        <v>-1.5357787343081908E-2</v>
      </c>
      <c r="J2972" s="3">
        <v>2.2632663300058642E-2</v>
      </c>
      <c r="K2972" s="3">
        <v>0.93398302420622448</v>
      </c>
    </row>
    <row r="2973" spans="1:11" x14ac:dyDescent="0.2">
      <c r="A2973" s="1">
        <v>45975</v>
      </c>
      <c r="B2973">
        <v>506.01666259765602</v>
      </c>
      <c r="C2973">
        <v>510.17999267578102</v>
      </c>
      <c r="D2973">
        <v>511.600006103515</v>
      </c>
      <c r="E2973">
        <v>497.44000244140602</v>
      </c>
      <c r="F2973">
        <v>498.23001098632801</v>
      </c>
      <c r="G2973" s="2">
        <v>28505700</v>
      </c>
      <c r="H2973" s="3">
        <f t="shared" si="46"/>
        <v>1.368991378427542E-2</v>
      </c>
      <c r="J2973" s="3">
        <v>2.263648917537564E-2</v>
      </c>
      <c r="K2973" s="3">
        <v>0.93429739075762341</v>
      </c>
    </row>
    <row r="2974" spans="1:11" x14ac:dyDescent="0.2">
      <c r="A2974" s="1">
        <v>45978</v>
      </c>
      <c r="B2974">
        <v>503.34860229492102</v>
      </c>
      <c r="C2974">
        <v>507.489990234375</v>
      </c>
      <c r="D2974">
        <v>512.11999511718705</v>
      </c>
      <c r="E2974">
        <v>504.91000366210898</v>
      </c>
      <c r="F2974">
        <v>508.45001220703102</v>
      </c>
      <c r="G2974" s="2">
        <v>19092800</v>
      </c>
      <c r="H2974" s="3">
        <f t="shared" si="46"/>
        <v>-5.2726728187929561E-3</v>
      </c>
      <c r="J2974" s="3">
        <v>2.2738474933555519E-2</v>
      </c>
      <c r="K2974" s="3">
        <v>0.93461175730902235</v>
      </c>
    </row>
    <row r="2975" spans="1:11" x14ac:dyDescent="0.2">
      <c r="A2975" s="1">
        <v>45979</v>
      </c>
      <c r="B2975">
        <v>489.76043701171801</v>
      </c>
      <c r="C2975">
        <v>493.79000854492102</v>
      </c>
      <c r="D2975">
        <v>502.98001098632801</v>
      </c>
      <c r="E2975">
        <v>486.77999877929602</v>
      </c>
      <c r="F2975">
        <v>495.36999511718699</v>
      </c>
      <c r="G2975" s="2">
        <v>33815100</v>
      </c>
      <c r="H2975" s="3">
        <f t="shared" si="46"/>
        <v>-2.699553593920867E-2</v>
      </c>
      <c r="J2975" s="3">
        <v>2.2740207612090613E-2</v>
      </c>
      <c r="K2975" s="3">
        <v>0.93492612386042129</v>
      </c>
    </row>
    <row r="2976" spans="1:11" x14ac:dyDescent="0.2">
      <c r="A2976" s="1">
        <v>45980</v>
      </c>
      <c r="B2976">
        <v>483.14486694335898</v>
      </c>
      <c r="C2976">
        <v>487.11999511718699</v>
      </c>
      <c r="D2976">
        <v>495.19000244140602</v>
      </c>
      <c r="E2976">
        <v>482.829986572265</v>
      </c>
      <c r="F2976">
        <v>490.100006103515</v>
      </c>
      <c r="G2976" s="2">
        <v>23245300</v>
      </c>
      <c r="H2976" s="3">
        <f t="shared" si="46"/>
        <v>-1.350776740711046E-2</v>
      </c>
      <c r="J2976" s="3">
        <v>2.2786731884726796E-2</v>
      </c>
      <c r="K2976" s="3">
        <v>0.93524049041182022</v>
      </c>
    </row>
    <row r="2977" spans="1:11" x14ac:dyDescent="0.2">
      <c r="A2977" s="1">
        <v>45981</v>
      </c>
      <c r="B2977">
        <v>475.41390991210898</v>
      </c>
      <c r="C2977">
        <v>478.42999267578102</v>
      </c>
      <c r="D2977">
        <v>493.57000732421801</v>
      </c>
      <c r="E2977">
        <v>475.5</v>
      </c>
      <c r="F2977">
        <v>492.70999145507801</v>
      </c>
      <c r="G2977" s="2">
        <v>26802500</v>
      </c>
      <c r="H2977" s="3">
        <f t="shared" si="46"/>
        <v>-1.6001322916168625E-2</v>
      </c>
      <c r="J2977" s="3">
        <v>2.2832260484242362E-2</v>
      </c>
      <c r="K2977" s="3">
        <v>0.93555485696321916</v>
      </c>
    </row>
    <row r="2978" spans="1:11" x14ac:dyDescent="0.2">
      <c r="A2978" s="1">
        <v>45982</v>
      </c>
      <c r="B2978">
        <v>469.14364624023398</v>
      </c>
      <c r="C2978">
        <v>472.11999511718699</v>
      </c>
      <c r="D2978">
        <v>478.92001342773398</v>
      </c>
      <c r="E2978">
        <v>468.26998901367102</v>
      </c>
      <c r="F2978">
        <v>478.5</v>
      </c>
      <c r="G2978" s="2">
        <v>31769200</v>
      </c>
      <c r="H2978" s="3">
        <f t="shared" si="46"/>
        <v>-1.3189062291076414E-2</v>
      </c>
      <c r="J2978" s="3">
        <v>2.2882070364237617E-2</v>
      </c>
      <c r="K2978" s="3">
        <v>0.9358692235146181</v>
      </c>
    </row>
    <row r="2979" spans="1:11" x14ac:dyDescent="0.2">
      <c r="A2979" s="1">
        <v>45985</v>
      </c>
      <c r="B2979">
        <v>471.01184082031199</v>
      </c>
      <c r="C2979">
        <v>474</v>
      </c>
      <c r="D2979">
        <v>476.89999389648398</v>
      </c>
      <c r="E2979">
        <v>468.01998901367102</v>
      </c>
      <c r="F2979">
        <v>475</v>
      </c>
      <c r="G2979" s="2">
        <v>34421000</v>
      </c>
      <c r="H2979" s="3">
        <f t="shared" si="46"/>
        <v>3.9821376566642197E-3</v>
      </c>
      <c r="J2979" s="3">
        <v>2.2884779107161135E-2</v>
      </c>
      <c r="K2979" s="3">
        <v>0.93618359006601692</v>
      </c>
    </row>
    <row r="2980" spans="1:11" x14ac:dyDescent="0.2">
      <c r="A2980" s="1">
        <v>45986</v>
      </c>
      <c r="B2980">
        <v>473.98294067382801</v>
      </c>
      <c r="C2980">
        <v>476.989990234375</v>
      </c>
      <c r="D2980">
        <v>479.14999389648398</v>
      </c>
      <c r="E2980">
        <v>464.89001464843699</v>
      </c>
      <c r="F2980">
        <v>474.07000732421801</v>
      </c>
      <c r="G2980" s="2">
        <v>28019800</v>
      </c>
      <c r="H2980" s="3">
        <f t="shared" si="46"/>
        <v>6.3079090503150859E-3</v>
      </c>
      <c r="J2980" s="3">
        <v>2.2974954907382106E-2</v>
      </c>
      <c r="K2980" s="3">
        <v>0.93649795661741586</v>
      </c>
    </row>
    <row r="2981" spans="1:11" x14ac:dyDescent="0.2">
      <c r="A2981" s="1">
        <v>45987</v>
      </c>
      <c r="B2981">
        <v>482.43930053710898</v>
      </c>
      <c r="C2981">
        <v>485.5</v>
      </c>
      <c r="D2981">
        <v>488.30999755859301</v>
      </c>
      <c r="E2981">
        <v>481.20001220703102</v>
      </c>
      <c r="F2981">
        <v>486.30999755859301</v>
      </c>
      <c r="G2981" s="2">
        <v>25709100</v>
      </c>
      <c r="H2981" s="3">
        <f t="shared" si="46"/>
        <v>1.7841063754866715E-2</v>
      </c>
      <c r="J2981" s="3">
        <v>2.2976990623880589E-2</v>
      </c>
      <c r="K2981" s="3">
        <v>0.9368123231688148</v>
      </c>
    </row>
    <row r="2982" spans="1:11" x14ac:dyDescent="0.2">
      <c r="A2982" s="1">
        <v>45989</v>
      </c>
      <c r="B2982">
        <v>488.90829467773398</v>
      </c>
      <c r="C2982">
        <v>492.010009765625</v>
      </c>
      <c r="D2982">
        <v>492.63000488281199</v>
      </c>
      <c r="E2982">
        <v>486.64999389648398</v>
      </c>
      <c r="F2982">
        <v>487.600006103515</v>
      </c>
      <c r="G2982" s="2">
        <v>14386700</v>
      </c>
      <c r="H2982" s="3">
        <f t="shared" si="46"/>
        <v>1.340892861220655E-2</v>
      </c>
      <c r="J2982" s="3">
        <v>2.3039799564801289E-2</v>
      </c>
      <c r="K2982" s="3">
        <v>0.93712668972021373</v>
      </c>
    </row>
    <row r="2983" spans="1:11" x14ac:dyDescent="0.2">
      <c r="A2983" s="1">
        <v>45992</v>
      </c>
      <c r="B2983">
        <v>483.67147827148398</v>
      </c>
      <c r="C2983">
        <v>486.739990234375</v>
      </c>
      <c r="D2983">
        <v>489.85998535156199</v>
      </c>
      <c r="E2983">
        <v>484.64999389648398</v>
      </c>
      <c r="F2983">
        <v>488.44000244140602</v>
      </c>
      <c r="G2983" s="2">
        <v>23964000</v>
      </c>
      <c r="H2983" s="3">
        <f t="shared" si="46"/>
        <v>-1.0711244753378257E-2</v>
      </c>
      <c r="J2983" s="3">
        <v>2.3068949184277709E-2</v>
      </c>
      <c r="K2983" s="3">
        <v>0.93744105627161267</v>
      </c>
    </row>
    <row r="2984" spans="1:11" x14ac:dyDescent="0.2">
      <c r="A2984" s="1">
        <v>45993</v>
      </c>
      <c r="B2984">
        <v>486.91094970703102</v>
      </c>
      <c r="C2984">
        <v>490</v>
      </c>
      <c r="D2984">
        <v>493.5</v>
      </c>
      <c r="E2984">
        <v>486.32000732421801</v>
      </c>
      <c r="F2984">
        <v>486.72000122070301</v>
      </c>
      <c r="G2984" s="2">
        <v>19562700</v>
      </c>
      <c r="H2984" s="3">
        <f t="shared" si="46"/>
        <v>6.6976689366180509E-3</v>
      </c>
      <c r="J2984" s="3">
        <v>2.3084483137724598E-2</v>
      </c>
      <c r="K2984" s="3">
        <v>0.93775542282301161</v>
      </c>
    </row>
    <row r="2985" spans="1:11" x14ac:dyDescent="0.2">
      <c r="A2985" s="1">
        <v>45994</v>
      </c>
      <c r="B2985">
        <v>474.71829223632801</v>
      </c>
      <c r="C2985">
        <v>477.73001098632801</v>
      </c>
      <c r="D2985">
        <v>484.239990234375</v>
      </c>
      <c r="E2985">
        <v>475.20001220703102</v>
      </c>
      <c r="F2985">
        <v>476.32000732421801</v>
      </c>
      <c r="G2985" s="2">
        <v>34615100</v>
      </c>
      <c r="H2985" s="3">
        <f t="shared" si="46"/>
        <v>-2.5040836477469242E-2</v>
      </c>
      <c r="J2985" s="3">
        <v>2.3091771542498751E-2</v>
      </c>
      <c r="K2985" s="3">
        <v>0.93806978937441055</v>
      </c>
    </row>
    <row r="2986" spans="1:11" x14ac:dyDescent="0.2">
      <c r="A2986" s="1">
        <v>45995</v>
      </c>
      <c r="B2986">
        <v>477.80868530273398</v>
      </c>
      <c r="C2986">
        <v>480.83999633789</v>
      </c>
      <c r="D2986">
        <v>481.32000732421801</v>
      </c>
      <c r="E2986">
        <v>476.489990234375</v>
      </c>
      <c r="F2986">
        <v>479.760009765625</v>
      </c>
      <c r="G2986" s="2">
        <v>22318200</v>
      </c>
      <c r="H2986" s="3">
        <f t="shared" si="46"/>
        <v>6.5099515163984378E-3</v>
      </c>
      <c r="J2986" s="3">
        <v>2.3116589362781825E-2</v>
      </c>
      <c r="K2986" s="3">
        <v>0.93838415592580948</v>
      </c>
    </row>
    <row r="2987" spans="1:11" x14ac:dyDescent="0.2">
      <c r="A2987" s="1">
        <v>45996</v>
      </c>
      <c r="B2987">
        <v>480.11407470703102</v>
      </c>
      <c r="C2987">
        <v>483.16000366210898</v>
      </c>
      <c r="D2987">
        <v>483.39999389648398</v>
      </c>
      <c r="E2987">
        <v>478.88000488281199</v>
      </c>
      <c r="F2987">
        <v>482.51998901367102</v>
      </c>
      <c r="G2987" s="2">
        <v>22608700</v>
      </c>
      <c r="H2987" s="3">
        <f t="shared" si="46"/>
        <v>4.8249215119151589E-3</v>
      </c>
      <c r="J2987" s="3">
        <v>2.3131744333680482E-2</v>
      </c>
      <c r="K2987" s="3">
        <v>0.93869852247720842</v>
      </c>
    </row>
    <row r="2988" spans="1:11" x14ac:dyDescent="0.2">
      <c r="A2988" s="1">
        <v>45999</v>
      </c>
      <c r="B2988">
        <v>487.92453002929602</v>
      </c>
      <c r="C2988">
        <v>491.01998901367102</v>
      </c>
      <c r="D2988">
        <v>492.29998779296801</v>
      </c>
      <c r="E2988">
        <v>484.38000488281199</v>
      </c>
      <c r="F2988">
        <v>484.89001464843699</v>
      </c>
      <c r="G2988" s="2">
        <v>21965900</v>
      </c>
      <c r="H2988" s="3">
        <f t="shared" si="46"/>
        <v>1.626791575945985E-2</v>
      </c>
      <c r="J2988" s="3">
        <v>2.3185766653244899E-2</v>
      </c>
      <c r="K2988" s="3">
        <v>0.93901288902860736</v>
      </c>
    </row>
    <row r="2989" spans="1:11" x14ac:dyDescent="0.2">
      <c r="A2989" s="1">
        <v>46000</v>
      </c>
      <c r="B2989">
        <v>488.91818237304602</v>
      </c>
      <c r="C2989">
        <v>492.01998901367102</v>
      </c>
      <c r="D2989">
        <v>492.11999511718699</v>
      </c>
      <c r="E2989">
        <v>488.5</v>
      </c>
      <c r="F2989">
        <v>489.100006103515</v>
      </c>
      <c r="G2989" s="2">
        <v>14696100</v>
      </c>
      <c r="H2989" s="3">
        <f t="shared" si="46"/>
        <v>2.0364877816050342E-3</v>
      </c>
      <c r="J2989" s="3">
        <v>2.3225242288881676E-2</v>
      </c>
      <c r="K2989" s="3">
        <v>0.93932725558000629</v>
      </c>
    </row>
    <row r="2990" spans="1:11" x14ac:dyDescent="0.2">
      <c r="A2990" s="1">
        <v>46001</v>
      </c>
      <c r="B2990">
        <v>475.54306030273398</v>
      </c>
      <c r="C2990">
        <v>478.55999755859301</v>
      </c>
      <c r="D2990">
        <v>484.25</v>
      </c>
      <c r="E2990">
        <v>475.079986572265</v>
      </c>
      <c r="F2990">
        <v>484.02999877929602</v>
      </c>
      <c r="G2990" s="2">
        <v>35756200</v>
      </c>
      <c r="H2990" s="3">
        <f t="shared" si="46"/>
        <v>-2.7356565070649763E-2</v>
      </c>
      <c r="J2990" s="3">
        <v>2.3245310514772521E-2</v>
      </c>
      <c r="K2990" s="3">
        <v>0.93964162213140523</v>
      </c>
    </row>
    <row r="2991" spans="1:11" x14ac:dyDescent="0.2">
      <c r="A2991" s="1">
        <v>46002</v>
      </c>
      <c r="B2991">
        <v>480.422119140625</v>
      </c>
      <c r="C2991">
        <v>483.47000122070301</v>
      </c>
      <c r="D2991">
        <v>486.02999877929602</v>
      </c>
      <c r="E2991">
        <v>475.85998535156199</v>
      </c>
      <c r="F2991">
        <v>476.63000488281199</v>
      </c>
      <c r="G2991" s="2">
        <v>24669200</v>
      </c>
      <c r="H2991" s="3">
        <f t="shared" si="46"/>
        <v>1.0259972745233492E-2</v>
      </c>
      <c r="J2991" s="3">
        <v>2.3260855057620322E-2</v>
      </c>
      <c r="K2991" s="3">
        <v>0.93995598868280417</v>
      </c>
    </row>
    <row r="2992" spans="1:11" x14ac:dyDescent="0.2">
      <c r="A2992" s="1">
        <v>46003</v>
      </c>
      <c r="B2992">
        <v>475.51324462890602</v>
      </c>
      <c r="C2992">
        <v>478.52999877929602</v>
      </c>
      <c r="D2992">
        <v>482.45001220703102</v>
      </c>
      <c r="E2992">
        <v>476.33999633789</v>
      </c>
      <c r="F2992">
        <v>479.82000732421801</v>
      </c>
      <c r="G2992" s="2">
        <v>21248100</v>
      </c>
      <c r="H2992" s="3">
        <f t="shared" si="46"/>
        <v>-1.0217836182272233E-2</v>
      </c>
      <c r="J2992" s="3">
        <v>2.327126265636581E-2</v>
      </c>
      <c r="K2992" s="3">
        <v>0.9402703552342031</v>
      </c>
    </row>
    <row r="2993" spans="1:11" x14ac:dyDescent="0.2">
      <c r="A2993" s="1">
        <v>46006</v>
      </c>
      <c r="B2993">
        <v>471.82666015625</v>
      </c>
      <c r="C2993">
        <v>474.82000732421801</v>
      </c>
      <c r="D2993">
        <v>480.72000122070301</v>
      </c>
      <c r="E2993">
        <v>472.51998901367102</v>
      </c>
      <c r="F2993">
        <v>480.100006103515</v>
      </c>
      <c r="G2993" s="2">
        <v>23727700</v>
      </c>
      <c r="H2993" s="3">
        <f t="shared" si="46"/>
        <v>-7.7528533943004296E-3</v>
      </c>
      <c r="J2993" s="3">
        <v>2.3346171377135461E-2</v>
      </c>
      <c r="K2993" s="3">
        <v>0.94058472178560204</v>
      </c>
    </row>
    <row r="2994" spans="1:11" x14ac:dyDescent="0.2">
      <c r="A2994" s="1">
        <v>46007</v>
      </c>
      <c r="B2994">
        <v>473.38677978515602</v>
      </c>
      <c r="C2994">
        <v>476.39001464843699</v>
      </c>
      <c r="D2994">
        <v>477.89001464843699</v>
      </c>
      <c r="E2994">
        <v>470.88000488281199</v>
      </c>
      <c r="F2994">
        <v>471.91000366210898</v>
      </c>
      <c r="G2994" s="2">
        <v>20705600</v>
      </c>
      <c r="H2994" s="3">
        <f t="shared" si="46"/>
        <v>3.3065525131399376E-3</v>
      </c>
      <c r="J2994" s="3">
        <v>2.3397954446332969E-2</v>
      </c>
      <c r="K2994" s="3">
        <v>0.94089908833700098</v>
      </c>
    </row>
    <row r="2995" spans="1:11" x14ac:dyDescent="0.2">
      <c r="A2995" s="1">
        <v>46008</v>
      </c>
      <c r="B2995">
        <v>473.11843872070301</v>
      </c>
      <c r="C2995">
        <v>476.11999511718699</v>
      </c>
      <c r="D2995">
        <v>480</v>
      </c>
      <c r="E2995">
        <v>475</v>
      </c>
      <c r="F2995">
        <v>476.91000366210898</v>
      </c>
      <c r="G2995" s="2">
        <v>24527200</v>
      </c>
      <c r="H2995" s="3">
        <f t="shared" si="46"/>
        <v>-5.6685373549048013E-4</v>
      </c>
      <c r="J2995" s="3">
        <v>2.3494757836686864E-2</v>
      </c>
      <c r="K2995" s="3">
        <v>0.94121345488839991</v>
      </c>
    </row>
    <row r="2996" spans="1:11" x14ac:dyDescent="0.2">
      <c r="A2996" s="1">
        <v>46009</v>
      </c>
      <c r="B2996">
        <v>480.92889404296801</v>
      </c>
      <c r="C2996">
        <v>483.98001098632801</v>
      </c>
      <c r="D2996">
        <v>489.600006103515</v>
      </c>
      <c r="E2996">
        <v>477.89001464843699</v>
      </c>
      <c r="F2996">
        <v>478.19000244140602</v>
      </c>
      <c r="G2996" s="2">
        <v>28573500</v>
      </c>
      <c r="H2996" s="3">
        <f t="shared" si="46"/>
        <v>1.6508456832467155E-2</v>
      </c>
      <c r="J2996" s="3">
        <v>2.352700858614476E-2</v>
      </c>
      <c r="K2996" s="3">
        <v>0.94152782143979885</v>
      </c>
    </row>
    <row r="2997" spans="1:11" x14ac:dyDescent="0.2">
      <c r="A2997" s="1">
        <v>46010</v>
      </c>
      <c r="B2997">
        <v>482.85665893554602</v>
      </c>
      <c r="C2997">
        <v>485.92001342773398</v>
      </c>
      <c r="D2997">
        <v>487.850006103515</v>
      </c>
      <c r="E2997">
        <v>482.489990234375</v>
      </c>
      <c r="F2997">
        <v>487.35998535156199</v>
      </c>
      <c r="G2997" s="2">
        <v>70836100</v>
      </c>
      <c r="H2997" s="3">
        <f t="shared" si="46"/>
        <v>4.0084197819185707E-3</v>
      </c>
      <c r="J2997" s="3">
        <v>2.354263745267593E-2</v>
      </c>
      <c r="K2997" s="3">
        <v>0.94184218799119779</v>
      </c>
    </row>
    <row r="2998" spans="1:11" x14ac:dyDescent="0.2">
      <c r="A2998" s="1">
        <v>46013</v>
      </c>
      <c r="B2998">
        <v>481.86300659179602</v>
      </c>
      <c r="C2998">
        <v>484.92001342773398</v>
      </c>
      <c r="D2998">
        <v>488.73001098632801</v>
      </c>
      <c r="E2998">
        <v>482.69000244140602</v>
      </c>
      <c r="F2998">
        <v>486.11999511718699</v>
      </c>
      <c r="G2998" s="2">
        <v>16963000</v>
      </c>
      <c r="H2998" s="3">
        <f t="shared" si="46"/>
        <v>-2.0578619459044045E-3</v>
      </c>
      <c r="J2998" s="3">
        <v>2.354670612300791E-2</v>
      </c>
      <c r="K2998" s="3">
        <v>0.94215655454259661</v>
      </c>
    </row>
    <row r="2999" spans="1:11" x14ac:dyDescent="0.2">
      <c r="A2999" s="1">
        <v>46014</v>
      </c>
      <c r="B2999">
        <v>483.78082275390602</v>
      </c>
      <c r="C2999">
        <v>486.850006103515</v>
      </c>
      <c r="D2999">
        <v>487.829986572265</v>
      </c>
      <c r="E2999">
        <v>484.739990234375</v>
      </c>
      <c r="F2999">
        <v>484.98001098632801</v>
      </c>
      <c r="G2999" s="2">
        <v>14683600</v>
      </c>
      <c r="H2999" s="3">
        <f t="shared" si="46"/>
        <v>3.9800028968288714E-3</v>
      </c>
      <c r="J2999" s="3">
        <v>2.3680020483556108E-2</v>
      </c>
      <c r="K2999" s="3">
        <v>0.94247092109399555</v>
      </c>
    </row>
    <row r="3000" spans="1:11" x14ac:dyDescent="0.2">
      <c r="A3000" s="1">
        <v>46015</v>
      </c>
      <c r="B3000">
        <v>484.94342041015602</v>
      </c>
      <c r="C3000">
        <v>488.01998901367102</v>
      </c>
      <c r="D3000">
        <v>489.16000366210898</v>
      </c>
      <c r="E3000">
        <v>484.829986572265</v>
      </c>
      <c r="F3000">
        <v>485.67999267578102</v>
      </c>
      <c r="G3000" s="2">
        <v>5855900</v>
      </c>
      <c r="H3000" s="3">
        <f t="shared" si="46"/>
        <v>2.4031495288134863E-3</v>
      </c>
      <c r="J3000" s="3">
        <v>2.368612373385548E-2</v>
      </c>
      <c r="K3000" s="3">
        <v>0.94278528764539449</v>
      </c>
    </row>
    <row r="3001" spans="1:11" x14ac:dyDescent="0.2">
      <c r="A3001" s="1">
        <v>46017</v>
      </c>
      <c r="B3001">
        <v>484.63540649414</v>
      </c>
      <c r="C3001">
        <v>487.70999145507801</v>
      </c>
      <c r="D3001">
        <v>488.11999511718699</v>
      </c>
      <c r="E3001">
        <v>485.95999145507801</v>
      </c>
      <c r="F3001">
        <v>486.70999145507801</v>
      </c>
      <c r="G3001" s="2">
        <v>8842200</v>
      </c>
      <c r="H3001" s="3">
        <f t="shared" si="46"/>
        <v>-6.3515433564498291E-4</v>
      </c>
      <c r="J3001" s="3">
        <v>2.3881892676164584E-2</v>
      </c>
      <c r="K3001" s="3">
        <v>0.94309965419679342</v>
      </c>
    </row>
    <row r="3002" spans="1:11" x14ac:dyDescent="0.2">
      <c r="A3002" s="1">
        <v>46020</v>
      </c>
      <c r="B3002">
        <v>484.02923583984301</v>
      </c>
      <c r="C3002">
        <v>487.100006103515</v>
      </c>
      <c r="D3002">
        <v>488.350006103515</v>
      </c>
      <c r="E3002">
        <v>484.17999267578102</v>
      </c>
      <c r="F3002">
        <v>484.85998535156199</v>
      </c>
      <c r="G3002" s="2">
        <v>10893400</v>
      </c>
      <c r="H3002" s="3">
        <f t="shared" si="46"/>
        <v>-1.2507766584410884E-3</v>
      </c>
      <c r="J3002" s="3">
        <v>2.4001201449986631E-2</v>
      </c>
      <c r="K3002" s="3">
        <v>0.94341402074819236</v>
      </c>
    </row>
    <row r="3003" spans="1:11" x14ac:dyDescent="0.2">
      <c r="A3003" s="1">
        <v>46021</v>
      </c>
      <c r="B3003">
        <v>484.40686035156199</v>
      </c>
      <c r="C3003">
        <v>487.48001098632801</v>
      </c>
      <c r="D3003">
        <v>489.67999267578102</v>
      </c>
      <c r="E3003">
        <v>485.5</v>
      </c>
      <c r="F3003">
        <v>485.92999267578102</v>
      </c>
      <c r="G3003" s="2">
        <v>13944500</v>
      </c>
      <c r="H3003" s="3">
        <f t="shared" si="46"/>
        <v>7.8016880749731676E-4</v>
      </c>
      <c r="J3003" s="3">
        <v>2.4050507942536381E-2</v>
      </c>
      <c r="K3003" s="3">
        <v>0.9437283872995913</v>
      </c>
    </row>
    <row r="3004" spans="1:11" x14ac:dyDescent="0.2">
      <c r="A3004" s="1">
        <v>46022</v>
      </c>
      <c r="B3004">
        <v>480.57116699218699</v>
      </c>
      <c r="C3004">
        <v>483.61999511718699</v>
      </c>
      <c r="D3004">
        <v>488.14001464843699</v>
      </c>
      <c r="E3004">
        <v>483.29998779296801</v>
      </c>
      <c r="F3004">
        <v>487.83999633789</v>
      </c>
      <c r="G3004" s="2">
        <v>15601600</v>
      </c>
      <c r="H3004" s="3">
        <f t="shared" si="46"/>
        <v>-7.9183299687193287E-3</v>
      </c>
      <c r="J3004" s="3">
        <v>2.405425561527319E-2</v>
      </c>
      <c r="K3004" s="3">
        <v>0.94404275385099023</v>
      </c>
    </row>
    <row r="3005" spans="1:11" x14ac:dyDescent="0.2">
      <c r="A3005" s="1">
        <v>46024</v>
      </c>
      <c r="B3005">
        <v>469.95849609375</v>
      </c>
      <c r="C3005">
        <v>472.94000244140602</v>
      </c>
      <c r="D3005">
        <v>484.66000366210898</v>
      </c>
      <c r="E3005">
        <v>470.16000366210898</v>
      </c>
      <c r="F3005">
        <v>484.39001464843699</v>
      </c>
      <c r="G3005" s="2">
        <v>25571600</v>
      </c>
      <c r="H3005" s="3">
        <f t="shared" si="46"/>
        <v>-2.2083453247642604E-2</v>
      </c>
      <c r="J3005" s="3">
        <v>2.4094166460768118E-2</v>
      </c>
      <c r="K3005" s="3">
        <v>0.94435712040238917</v>
      </c>
    </row>
    <row r="3006" spans="1:11" x14ac:dyDescent="0.2">
      <c r="A3006" s="1">
        <v>46027</v>
      </c>
      <c r="B3006">
        <v>469.86907958984301</v>
      </c>
      <c r="C3006">
        <v>472.850006103515</v>
      </c>
      <c r="D3006">
        <v>476.07000732421801</v>
      </c>
      <c r="E3006">
        <v>469.5</v>
      </c>
      <c r="F3006">
        <v>474.05999755859301</v>
      </c>
      <c r="G3006" s="2">
        <v>25250300</v>
      </c>
      <c r="H3006" s="3">
        <f t="shared" si="46"/>
        <v>-1.9026468220106896E-4</v>
      </c>
      <c r="J3006" s="3">
        <v>2.4213029140001119E-2</v>
      </c>
      <c r="K3006" s="3">
        <v>0.94467148695378811</v>
      </c>
    </row>
    <row r="3007" spans="1:11" x14ac:dyDescent="0.2">
      <c r="A3007" s="1">
        <v>46028</v>
      </c>
      <c r="B3007">
        <v>475.493408203125</v>
      </c>
      <c r="C3007">
        <v>478.510009765625</v>
      </c>
      <c r="D3007">
        <v>478.739990234375</v>
      </c>
      <c r="E3007">
        <v>469.75</v>
      </c>
      <c r="F3007">
        <v>473.79998779296801</v>
      </c>
      <c r="G3007" s="2">
        <v>23037700</v>
      </c>
      <c r="H3007" s="3">
        <f t="shared" si="46"/>
        <v>1.1969990913621276E-2</v>
      </c>
      <c r="J3007" s="3">
        <v>2.4300426081902859E-2</v>
      </c>
      <c r="K3007" s="3">
        <v>0.94498585350518705</v>
      </c>
    </row>
    <row r="3008" spans="1:11" x14ac:dyDescent="0.2">
      <c r="A3008" s="1">
        <v>46029</v>
      </c>
      <c r="B3008">
        <v>480.422119140625</v>
      </c>
      <c r="C3008">
        <v>483.47000122070301</v>
      </c>
      <c r="D3008">
        <v>489.70001220703102</v>
      </c>
      <c r="E3008">
        <v>477.95001220703102</v>
      </c>
      <c r="F3008">
        <v>479.760009765625</v>
      </c>
      <c r="G3008" s="2">
        <v>25564200</v>
      </c>
      <c r="H3008" s="3">
        <f t="shared" si="46"/>
        <v>1.0365466381806243E-2</v>
      </c>
      <c r="J3008" s="3">
        <v>2.4378910562684153E-2</v>
      </c>
      <c r="K3008" s="3">
        <v>0.94530022005658598</v>
      </c>
    </row>
    <row r="3009" spans="1:11" x14ac:dyDescent="0.2">
      <c r="A3009" s="1">
        <v>46030</v>
      </c>
      <c r="B3009">
        <v>475.09588623046801</v>
      </c>
      <c r="C3009">
        <v>478.10998535156199</v>
      </c>
      <c r="D3009">
        <v>482.66000366210898</v>
      </c>
      <c r="E3009">
        <v>475.85998535156199</v>
      </c>
      <c r="F3009">
        <v>481.239990234375</v>
      </c>
      <c r="G3009" s="2">
        <v>18162600</v>
      </c>
      <c r="H3009" s="3">
        <f t="shared" si="46"/>
        <v>-1.1086568869236313E-2</v>
      </c>
      <c r="J3009" s="3">
        <v>2.4379661392966989E-2</v>
      </c>
      <c r="K3009" s="3">
        <v>0.94561458660798492</v>
      </c>
    </row>
    <row r="3010" spans="1:11" x14ac:dyDescent="0.2">
      <c r="A3010" s="1">
        <v>46031</v>
      </c>
      <c r="B3010">
        <v>476.25851440429602</v>
      </c>
      <c r="C3010">
        <v>479.27999877929602</v>
      </c>
      <c r="D3010">
        <v>479.82000732421801</v>
      </c>
      <c r="E3010">
        <v>472.20001220703102</v>
      </c>
      <c r="F3010">
        <v>474.05999755859301</v>
      </c>
      <c r="G3010" s="2">
        <v>18491000</v>
      </c>
      <c r="H3010" s="3">
        <f t="shared" ref="H3010:H3073" si="47">B3010/B3009-1</f>
        <v>2.4471442660820575E-3</v>
      </c>
      <c r="J3010" s="3">
        <v>2.441325157708385E-2</v>
      </c>
      <c r="K3010" s="3">
        <v>0.94592895315938386</v>
      </c>
    </row>
    <row r="3011" spans="1:11" x14ac:dyDescent="0.2">
      <c r="A3011" s="1">
        <v>46034</v>
      </c>
      <c r="B3011">
        <v>474.17175292968699</v>
      </c>
      <c r="C3011">
        <v>477.17999267578102</v>
      </c>
      <c r="D3011">
        <v>480.989990234375</v>
      </c>
      <c r="E3011">
        <v>475.67999267578102</v>
      </c>
      <c r="F3011">
        <v>476.67001342773398</v>
      </c>
      <c r="G3011" s="2">
        <v>23519900</v>
      </c>
      <c r="H3011" s="3">
        <f t="shared" si="47"/>
        <v>-4.3815730564296107E-3</v>
      </c>
      <c r="J3011" s="3">
        <v>2.4460124706466413E-2</v>
      </c>
      <c r="K3011" s="3">
        <v>0.94624331971078279</v>
      </c>
    </row>
    <row r="3012" spans="1:11" x14ac:dyDescent="0.2">
      <c r="A3012" s="1">
        <v>46035</v>
      </c>
      <c r="B3012">
        <v>467.70281982421801</v>
      </c>
      <c r="C3012">
        <v>470.67001342773398</v>
      </c>
      <c r="D3012">
        <v>475.77999877929602</v>
      </c>
      <c r="E3012">
        <v>465.95001220703102</v>
      </c>
      <c r="F3012">
        <v>474.67999267578102</v>
      </c>
      <c r="G3012" s="2">
        <v>28545800</v>
      </c>
      <c r="H3012" s="3">
        <f t="shared" si="47"/>
        <v>-1.3642594830882371E-2</v>
      </c>
      <c r="J3012" s="3">
        <v>2.447695179978604E-2</v>
      </c>
      <c r="K3012" s="3">
        <v>0.94655768626218173</v>
      </c>
    </row>
    <row r="3013" spans="1:11" x14ac:dyDescent="0.2">
      <c r="A3013" s="1">
        <v>46036</v>
      </c>
      <c r="B3013">
        <v>456.48400878906199</v>
      </c>
      <c r="C3013">
        <v>459.38000488281199</v>
      </c>
      <c r="D3013">
        <v>468.20001220703102</v>
      </c>
      <c r="E3013">
        <v>457.17001342773398</v>
      </c>
      <c r="F3013">
        <v>466.45999145507801</v>
      </c>
      <c r="G3013" s="2">
        <v>28184300</v>
      </c>
      <c r="H3013" s="3">
        <f t="shared" si="47"/>
        <v>-2.398705023709824E-2</v>
      </c>
      <c r="J3013" s="3">
        <v>2.4484629959060644E-2</v>
      </c>
      <c r="K3013" s="3">
        <v>0.94687205281358067</v>
      </c>
    </row>
    <row r="3014" spans="1:11" x14ac:dyDescent="0.2">
      <c r="A3014" s="1">
        <v>46037</v>
      </c>
      <c r="B3014">
        <v>453.781158447265</v>
      </c>
      <c r="C3014">
        <v>456.66000366210898</v>
      </c>
      <c r="D3014">
        <v>464.25</v>
      </c>
      <c r="E3014">
        <v>455.89999389648398</v>
      </c>
      <c r="F3014">
        <v>464.11999511718699</v>
      </c>
      <c r="G3014" s="2">
        <v>23225800</v>
      </c>
      <c r="H3014" s="3">
        <f t="shared" si="47"/>
        <v>-5.921018677011225E-3</v>
      </c>
      <c r="J3014" s="3">
        <v>2.4505056460449204E-2</v>
      </c>
      <c r="K3014" s="3">
        <v>0.9471864193649796</v>
      </c>
    </row>
    <row r="3015" spans="1:11" x14ac:dyDescent="0.2">
      <c r="A3015" s="1">
        <v>46038</v>
      </c>
      <c r="B3015">
        <v>456.96096801757801</v>
      </c>
      <c r="C3015">
        <v>459.85998535156199</v>
      </c>
      <c r="D3015">
        <v>463.19000244140602</v>
      </c>
      <c r="E3015">
        <v>456.48001098632801</v>
      </c>
      <c r="F3015">
        <v>457.829986572265</v>
      </c>
      <c r="G3015" s="2">
        <v>34246700</v>
      </c>
      <c r="H3015" s="3">
        <f t="shared" si="47"/>
        <v>7.0073635961298564E-3</v>
      </c>
      <c r="J3015" s="3">
        <v>2.4553644466892344E-2</v>
      </c>
      <c r="K3015" s="3">
        <v>0.94750078591637854</v>
      </c>
    </row>
    <row r="3016" spans="1:11" x14ac:dyDescent="0.2">
      <c r="A3016" s="1">
        <v>46042</v>
      </c>
      <c r="B3016">
        <v>451.65460205078102</v>
      </c>
      <c r="C3016">
        <v>454.51998901367102</v>
      </c>
      <c r="D3016">
        <v>456.79998779296801</v>
      </c>
      <c r="E3016">
        <v>449.27999877929602</v>
      </c>
      <c r="F3016">
        <v>451.22000122070301</v>
      </c>
      <c r="G3016" s="2">
        <v>26130000</v>
      </c>
      <c r="H3016" s="3">
        <f t="shared" si="47"/>
        <v>-1.1612295881237911E-2</v>
      </c>
      <c r="J3016" s="3">
        <v>2.4586164927495213E-2</v>
      </c>
      <c r="K3016" s="3">
        <v>0.94781515246777748</v>
      </c>
    </row>
    <row r="3017" spans="1:11" x14ac:dyDescent="0.2">
      <c r="A3017" s="1">
        <v>46043</v>
      </c>
      <c r="B3017">
        <v>441.31021118164</v>
      </c>
      <c r="C3017">
        <v>444.10998535156199</v>
      </c>
      <c r="D3017">
        <v>452.69000244140602</v>
      </c>
      <c r="E3017">
        <v>438.67999267578102</v>
      </c>
      <c r="F3017">
        <v>452.600006103515</v>
      </c>
      <c r="G3017" s="2">
        <v>37980500</v>
      </c>
      <c r="H3017" s="3">
        <f t="shared" si="47"/>
        <v>-2.2903322189503528E-2</v>
      </c>
      <c r="J3017" s="3">
        <v>2.4591177441128043E-2</v>
      </c>
      <c r="K3017" s="3">
        <v>0.94812951901917641</v>
      </c>
    </row>
    <row r="3018" spans="1:11" x14ac:dyDescent="0.2">
      <c r="A3018" s="1">
        <v>46044</v>
      </c>
      <c r="B3018">
        <v>448.29592895507801</v>
      </c>
      <c r="C3018">
        <v>451.14001464843699</v>
      </c>
      <c r="D3018">
        <v>452.83999633789</v>
      </c>
      <c r="E3018">
        <v>444.70001220703102</v>
      </c>
      <c r="F3018">
        <v>447.61999511718699</v>
      </c>
      <c r="G3018" s="2">
        <v>25349400</v>
      </c>
      <c r="H3018" s="3">
        <f t="shared" si="47"/>
        <v>1.5829494982074532E-2</v>
      </c>
      <c r="J3018" s="3">
        <v>2.4655380255745207E-2</v>
      </c>
      <c r="K3018" s="3">
        <v>0.94844388557057524</v>
      </c>
    </row>
    <row r="3019" spans="1:11" x14ac:dyDescent="0.2">
      <c r="A3019" s="1">
        <v>46045</v>
      </c>
      <c r="B3019">
        <v>463.01257324218699</v>
      </c>
      <c r="C3019">
        <v>465.95001220703102</v>
      </c>
      <c r="D3019">
        <v>471.100006103515</v>
      </c>
      <c r="E3019">
        <v>450.52999877929602</v>
      </c>
      <c r="F3019">
        <v>451.86999511718699</v>
      </c>
      <c r="G3019" s="2">
        <v>38000200</v>
      </c>
      <c r="H3019" s="3">
        <f t="shared" si="47"/>
        <v>3.2827967725273854E-2</v>
      </c>
      <c r="J3019" s="3">
        <v>2.4737085824907856E-2</v>
      </c>
      <c r="K3019" s="3">
        <v>0.94875825212197418</v>
      </c>
    </row>
    <row r="3020" spans="1:11" x14ac:dyDescent="0.2">
      <c r="A3020" s="1">
        <v>46048</v>
      </c>
      <c r="B3020">
        <v>467.31524658203102</v>
      </c>
      <c r="C3020">
        <v>470.27999877929602</v>
      </c>
      <c r="D3020">
        <v>474.25</v>
      </c>
      <c r="E3020">
        <v>462</v>
      </c>
      <c r="F3020">
        <v>465.30999755859301</v>
      </c>
      <c r="G3020" s="2">
        <v>29291200</v>
      </c>
      <c r="H3020" s="3">
        <f t="shared" si="47"/>
        <v>9.2927786166046022E-3</v>
      </c>
      <c r="J3020" s="3">
        <v>2.4836039561561662E-2</v>
      </c>
      <c r="K3020" s="3">
        <v>0.94907261867337311</v>
      </c>
    </row>
    <row r="3021" spans="1:11" x14ac:dyDescent="0.2">
      <c r="A3021" s="1">
        <v>46049</v>
      </c>
      <c r="B3021">
        <v>477.55035400390602</v>
      </c>
      <c r="C3021">
        <v>480.579986572265</v>
      </c>
      <c r="D3021">
        <v>482.86999511718699</v>
      </c>
      <c r="E3021">
        <v>473.16000366210898</v>
      </c>
      <c r="F3021">
        <v>473.70001220703102</v>
      </c>
      <c r="G3021" s="2">
        <v>29213900</v>
      </c>
      <c r="H3021" s="3">
        <f t="shared" si="47"/>
        <v>2.1901933430880094E-2</v>
      </c>
      <c r="J3021" s="3">
        <v>2.4896513475004101E-2</v>
      </c>
      <c r="K3021" s="3">
        <v>0.94938698522477205</v>
      </c>
    </row>
    <row r="3022" spans="1:11" x14ac:dyDescent="0.2">
      <c r="A3022" s="1">
        <v>46050</v>
      </c>
      <c r="B3022">
        <v>478.59368896484301</v>
      </c>
      <c r="C3022">
        <v>481.63000488281199</v>
      </c>
      <c r="D3022">
        <v>483.739990234375</v>
      </c>
      <c r="E3022">
        <v>478</v>
      </c>
      <c r="F3022">
        <v>483.20999145507801</v>
      </c>
      <c r="G3022" s="2">
        <v>36875400</v>
      </c>
      <c r="H3022" s="3">
        <f t="shared" si="47"/>
        <v>2.1847642917429688E-3</v>
      </c>
      <c r="J3022" s="3">
        <v>2.5043171387844509E-2</v>
      </c>
      <c r="K3022" s="3">
        <v>0.94970135177617099</v>
      </c>
    </row>
    <row r="3023" spans="1:11" x14ac:dyDescent="0.2">
      <c r="A3023" s="1">
        <v>46051</v>
      </c>
      <c r="B3023">
        <v>430.76715087890602</v>
      </c>
      <c r="C3023">
        <v>433.5</v>
      </c>
      <c r="D3023">
        <v>442.5</v>
      </c>
      <c r="E3023">
        <v>421.01998901367102</v>
      </c>
      <c r="F3023">
        <v>439.989990234375</v>
      </c>
      <c r="G3023" s="2">
        <v>128855300</v>
      </c>
      <c r="H3023" s="3">
        <f t="shared" si="47"/>
        <v>-9.9931401497127315E-2</v>
      </c>
      <c r="J3023" s="3">
        <v>2.5213614780591254E-2</v>
      </c>
      <c r="K3023" s="3">
        <v>0.95001571832756992</v>
      </c>
    </row>
    <row r="3024" spans="1:11" x14ac:dyDescent="0.2">
      <c r="A3024" s="1">
        <v>46052</v>
      </c>
      <c r="B3024">
        <v>427.57736206054602</v>
      </c>
      <c r="C3024">
        <v>430.29000854492102</v>
      </c>
      <c r="D3024">
        <v>439.600006103515</v>
      </c>
      <c r="E3024">
        <v>426.45001220703102</v>
      </c>
      <c r="F3024">
        <v>439.17001342773398</v>
      </c>
      <c r="G3024" s="2">
        <v>58566800</v>
      </c>
      <c r="H3024" s="3">
        <f t="shared" si="47"/>
        <v>-7.4049026529803275E-3</v>
      </c>
      <c r="J3024" s="3">
        <v>2.5280408251126429E-2</v>
      </c>
      <c r="K3024" s="3">
        <v>0.95033008487896886</v>
      </c>
    </row>
    <row r="3025" spans="1:11" x14ac:dyDescent="0.2">
      <c r="A3025" s="1">
        <v>46055</v>
      </c>
      <c r="B3025">
        <v>420.70101928710898</v>
      </c>
      <c r="C3025">
        <v>423.36999511718699</v>
      </c>
      <c r="D3025">
        <v>430.739990234375</v>
      </c>
      <c r="E3025">
        <v>422.25</v>
      </c>
      <c r="F3025">
        <v>430.239990234375</v>
      </c>
      <c r="G3025" s="2">
        <v>42219900</v>
      </c>
      <c r="H3025" s="3">
        <f t="shared" si="47"/>
        <v>-1.6082102055869241E-2</v>
      </c>
      <c r="J3025" s="3">
        <v>2.5400412935605132E-2</v>
      </c>
      <c r="K3025" s="3">
        <v>0.9506444514303678</v>
      </c>
    </row>
    <row r="3026" spans="1:11" x14ac:dyDescent="0.2">
      <c r="A3026" s="1">
        <v>46056</v>
      </c>
      <c r="B3026">
        <v>408.61764526367102</v>
      </c>
      <c r="C3026">
        <v>411.20999145507801</v>
      </c>
      <c r="D3026">
        <v>422.04998779296801</v>
      </c>
      <c r="E3026">
        <v>408.55999755859301</v>
      </c>
      <c r="F3026">
        <v>422.010009765625</v>
      </c>
      <c r="G3026" s="2">
        <v>61424100</v>
      </c>
      <c r="H3026" s="3">
        <f t="shared" si="47"/>
        <v>-2.8721998448954622E-2</v>
      </c>
      <c r="J3026" s="3">
        <v>2.5437939328646797E-2</v>
      </c>
      <c r="K3026" s="3">
        <v>0.95095881798176674</v>
      </c>
    </row>
    <row r="3027" spans="1:11" x14ac:dyDescent="0.2">
      <c r="A3027" s="1">
        <v>46057</v>
      </c>
      <c r="B3027">
        <v>411.57888793945301</v>
      </c>
      <c r="C3027">
        <v>414.19000244140602</v>
      </c>
      <c r="D3027">
        <v>419.79998779296801</v>
      </c>
      <c r="E3027">
        <v>409.239990234375</v>
      </c>
      <c r="F3027">
        <v>411</v>
      </c>
      <c r="G3027" s="2">
        <v>45012400</v>
      </c>
      <c r="H3027" s="3">
        <f t="shared" si="47"/>
        <v>7.2469769969703002E-3</v>
      </c>
      <c r="J3027" s="3">
        <v>2.5467980356686626E-2</v>
      </c>
      <c r="K3027" s="3">
        <v>0.95127318453316567</v>
      </c>
    </row>
    <row r="3028" spans="1:11" x14ac:dyDescent="0.2">
      <c r="A3028" s="1">
        <v>46058</v>
      </c>
      <c r="B3028">
        <v>391.188232421875</v>
      </c>
      <c r="C3028">
        <v>393.67001342773398</v>
      </c>
      <c r="D3028">
        <v>408.29998779296801</v>
      </c>
      <c r="E3028">
        <v>392.32000732421801</v>
      </c>
      <c r="F3028">
        <v>407.44000244140602</v>
      </c>
      <c r="G3028" s="2">
        <v>66289200</v>
      </c>
      <c r="H3028" s="3">
        <f t="shared" si="47"/>
        <v>-4.9542520559455072E-2</v>
      </c>
      <c r="J3028" s="3">
        <v>2.550488480229185E-2</v>
      </c>
      <c r="K3028" s="3">
        <v>0.95158755108456461</v>
      </c>
    </row>
    <row r="3029" spans="1:11" x14ac:dyDescent="0.2">
      <c r="A3029" s="1">
        <v>46059</v>
      </c>
      <c r="B3029">
        <v>398.61114501953102</v>
      </c>
      <c r="C3029">
        <v>401.14001464843699</v>
      </c>
      <c r="D3029">
        <v>401.79000854492102</v>
      </c>
      <c r="E3029">
        <v>392.92001342773398</v>
      </c>
      <c r="F3029">
        <v>399.17001342773398</v>
      </c>
      <c r="G3029" s="2">
        <v>53515300</v>
      </c>
      <c r="H3029" s="3">
        <f t="shared" si="47"/>
        <v>1.8975296244726492E-2</v>
      </c>
      <c r="J3029" s="3">
        <v>2.5532676769438822E-2</v>
      </c>
      <c r="K3029" s="3">
        <v>0.95190191763596355</v>
      </c>
    </row>
    <row r="3030" spans="1:11" x14ac:dyDescent="0.2">
      <c r="A3030" s="1">
        <v>46062</v>
      </c>
      <c r="B3030">
        <v>410.992584228515</v>
      </c>
      <c r="C3030">
        <v>413.600006103515</v>
      </c>
      <c r="D3030">
        <v>414.89001464843699</v>
      </c>
      <c r="E3030">
        <v>400.86999511718699</v>
      </c>
      <c r="F3030">
        <v>404.850006103515</v>
      </c>
      <c r="G3030" s="2">
        <v>45480500</v>
      </c>
      <c r="H3030" s="3">
        <f t="shared" si="47"/>
        <v>3.106144763809171E-2</v>
      </c>
      <c r="J3030" s="3">
        <v>2.5548899736574704E-2</v>
      </c>
      <c r="K3030" s="3">
        <v>0.95221628418736248</v>
      </c>
    </row>
    <row r="3031" spans="1:11" x14ac:dyDescent="0.2">
      <c r="A3031" s="1">
        <v>46063</v>
      </c>
      <c r="B3031">
        <v>410.66467285156199</v>
      </c>
      <c r="C3031">
        <v>413.26998901367102</v>
      </c>
      <c r="D3031">
        <v>423.67999267578102</v>
      </c>
      <c r="E3031">
        <v>412.70001220703102</v>
      </c>
      <c r="F3031">
        <v>419.61999511718699</v>
      </c>
      <c r="G3031" s="2">
        <v>44857900</v>
      </c>
      <c r="H3031" s="3">
        <f t="shared" si="47"/>
        <v>-7.9785229596918139E-4</v>
      </c>
      <c r="J3031" s="3">
        <v>2.5575371662730051E-2</v>
      </c>
      <c r="K3031" s="3">
        <v>0.95253065073876142</v>
      </c>
    </row>
    <row r="3032" spans="1:11" x14ac:dyDescent="0.2">
      <c r="A3032" s="1">
        <v>46064</v>
      </c>
      <c r="B3032">
        <v>401.82073974609301</v>
      </c>
      <c r="C3032">
        <v>404.36999511718699</v>
      </c>
      <c r="D3032">
        <v>416.45999145507801</v>
      </c>
      <c r="E3032">
        <v>401.010009765625</v>
      </c>
      <c r="F3032">
        <v>416.17999267578102</v>
      </c>
      <c r="G3032" s="2">
        <v>42491000</v>
      </c>
      <c r="H3032" s="3">
        <f t="shared" si="47"/>
        <v>-2.153565595028839E-2</v>
      </c>
      <c r="J3032" s="3">
        <v>2.5597261622864353E-2</v>
      </c>
      <c r="K3032" s="3">
        <v>0.95284501729016036</v>
      </c>
    </row>
    <row r="3033" spans="1:11" x14ac:dyDescent="0.2">
      <c r="A3033" s="1">
        <v>46065</v>
      </c>
      <c r="B3033">
        <v>399.30670166015602</v>
      </c>
      <c r="C3033">
        <v>401.83999633789</v>
      </c>
      <c r="D3033">
        <v>406.20001220703102</v>
      </c>
      <c r="E3033">
        <v>398.010009765625</v>
      </c>
      <c r="F3033">
        <v>405</v>
      </c>
      <c r="G3033" s="2">
        <v>40802400</v>
      </c>
      <c r="H3033" s="3">
        <f t="shared" si="47"/>
        <v>-6.2566160410872929E-3</v>
      </c>
      <c r="J3033" s="3">
        <v>2.5846859900429342E-2</v>
      </c>
      <c r="K3033" s="3">
        <v>0.95315938384155929</v>
      </c>
    </row>
    <row r="3034" spans="1:11" x14ac:dyDescent="0.2">
      <c r="A3034" s="1">
        <v>46066</v>
      </c>
      <c r="B3034">
        <v>398.79000854492102</v>
      </c>
      <c r="C3034">
        <v>401.32000732421801</v>
      </c>
      <c r="D3034">
        <v>405.54000854492102</v>
      </c>
      <c r="E3034">
        <v>398.04998779296801</v>
      </c>
      <c r="F3034">
        <v>404.45001220703102</v>
      </c>
      <c r="G3034" s="2">
        <v>34091600</v>
      </c>
      <c r="H3034" s="3">
        <f t="shared" si="47"/>
        <v>-1.2939755658665231E-3</v>
      </c>
      <c r="J3034" s="3">
        <v>2.5890912708920633E-2</v>
      </c>
      <c r="K3034" s="3">
        <v>0.95347375039295823</v>
      </c>
    </row>
    <row r="3035" spans="1:11" x14ac:dyDescent="0.2">
      <c r="A3035" s="1">
        <v>46070</v>
      </c>
      <c r="B3035">
        <v>394.35812377929602</v>
      </c>
      <c r="C3035">
        <v>396.85998535156199</v>
      </c>
      <c r="D3035">
        <v>400.51998901367102</v>
      </c>
      <c r="E3035">
        <v>394.52999877929602</v>
      </c>
      <c r="F3035">
        <v>399.22000122070301</v>
      </c>
      <c r="G3035" s="2">
        <v>32078800</v>
      </c>
      <c r="H3035" s="3">
        <f t="shared" si="47"/>
        <v>-1.1113329498388835E-2</v>
      </c>
      <c r="J3035" s="3">
        <v>2.5902596162825864E-2</v>
      </c>
      <c r="K3035" s="3">
        <v>0.95378811694435717</v>
      </c>
    </row>
    <row r="3036" spans="1:11" x14ac:dyDescent="0.2">
      <c r="A3036" s="1">
        <v>46071</v>
      </c>
      <c r="B3036">
        <v>397.08084106445301</v>
      </c>
      <c r="C3036">
        <v>399.600006103515</v>
      </c>
      <c r="D3036">
        <v>402.55999755859301</v>
      </c>
      <c r="E3036">
        <v>396.32000732421801</v>
      </c>
      <c r="F3036">
        <v>398.13000488281199</v>
      </c>
      <c r="G3036" s="2">
        <v>23223400</v>
      </c>
      <c r="H3036" s="3">
        <f t="shared" si="47"/>
        <v>6.9041744571256558E-3</v>
      </c>
      <c r="J3036" s="3">
        <v>2.603254022797219E-2</v>
      </c>
      <c r="K3036" s="3">
        <v>0.9541024834957561</v>
      </c>
    </row>
    <row r="3037" spans="1:11" x14ac:dyDescent="0.2">
      <c r="A3037" s="1">
        <v>46072</v>
      </c>
      <c r="B3037">
        <v>396.85177612304602</v>
      </c>
      <c r="C3037">
        <v>398.45999145507801</v>
      </c>
      <c r="D3037">
        <v>404.42999267578102</v>
      </c>
      <c r="E3037">
        <v>396.67001342773398</v>
      </c>
      <c r="F3037">
        <v>400.69000244140602</v>
      </c>
      <c r="G3037" s="2">
        <v>28234000</v>
      </c>
      <c r="H3037" s="3">
        <f t="shared" si="47"/>
        <v>-5.7687230840186565E-4</v>
      </c>
      <c r="J3037" s="3">
        <v>2.6101890013363827E-2</v>
      </c>
      <c r="K3037" s="3">
        <v>0.95441685004715493</v>
      </c>
    </row>
    <row r="3038" spans="1:11" x14ac:dyDescent="0.2">
      <c r="A3038" s="1">
        <v>46073</v>
      </c>
      <c r="B3038">
        <v>395.62673950195301</v>
      </c>
      <c r="C3038">
        <v>397.23001098632801</v>
      </c>
      <c r="D3038">
        <v>400.11999511718699</v>
      </c>
      <c r="E3038">
        <v>395.16000366210898</v>
      </c>
      <c r="F3038">
        <v>396.10998535156199</v>
      </c>
      <c r="G3038" s="2">
        <v>34015200</v>
      </c>
      <c r="H3038" s="3">
        <f t="shared" si="47"/>
        <v>-3.086887081773293E-3</v>
      </c>
      <c r="J3038" s="3">
        <v>2.6157088700498266E-2</v>
      </c>
      <c r="K3038" s="3">
        <v>0.95473121659855387</v>
      </c>
    </row>
    <row r="3039" spans="1:11" x14ac:dyDescent="0.2">
      <c r="A3039" s="1">
        <v>46076</v>
      </c>
      <c r="B3039">
        <v>382.918212890625</v>
      </c>
      <c r="C3039">
        <v>384.47000122070301</v>
      </c>
      <c r="D3039">
        <v>395.35998535156199</v>
      </c>
      <c r="E3039">
        <v>383.100006103515</v>
      </c>
      <c r="F3039">
        <v>395</v>
      </c>
      <c r="G3039" s="2">
        <v>43238300</v>
      </c>
      <c r="H3039" s="3">
        <f t="shared" si="47"/>
        <v>-3.2122516863563155E-2</v>
      </c>
      <c r="J3039" s="3">
        <v>2.62545761189803E-2</v>
      </c>
      <c r="K3039" s="3">
        <v>0.9550455831499528</v>
      </c>
    </row>
    <row r="3040" spans="1:11" x14ac:dyDescent="0.2">
      <c r="A3040" s="1">
        <v>46077</v>
      </c>
      <c r="B3040">
        <v>387.42996215820301</v>
      </c>
      <c r="C3040">
        <v>389</v>
      </c>
      <c r="D3040">
        <v>389.35998535156199</v>
      </c>
      <c r="E3040">
        <v>381.70999145507801</v>
      </c>
      <c r="F3040">
        <v>384.14001464843699</v>
      </c>
      <c r="G3040" s="2">
        <v>33884700</v>
      </c>
      <c r="H3040" s="3">
        <f t="shared" si="47"/>
        <v>1.178254028064929E-2</v>
      </c>
      <c r="J3040" s="3">
        <v>2.6350637125645004E-2</v>
      </c>
      <c r="K3040" s="3">
        <v>0.95535994970135174</v>
      </c>
    </row>
    <row r="3041" spans="1:11" x14ac:dyDescent="0.2">
      <c r="A3041" s="1">
        <v>46078</v>
      </c>
      <c r="B3041">
        <v>398.98312377929602</v>
      </c>
      <c r="C3041">
        <v>400.600006103515</v>
      </c>
      <c r="D3041">
        <v>401.47000122070301</v>
      </c>
      <c r="E3041">
        <v>390.16000366210898</v>
      </c>
      <c r="F3041">
        <v>390.52999877929602</v>
      </c>
      <c r="G3041" s="2">
        <v>43625500</v>
      </c>
      <c r="H3041" s="3">
        <f t="shared" si="47"/>
        <v>2.982000038596766E-2</v>
      </c>
      <c r="J3041" s="3">
        <v>2.6426002886220656E-2</v>
      </c>
      <c r="K3041" s="3">
        <v>0.95567431625275068</v>
      </c>
    </row>
    <row r="3042" spans="1:11" x14ac:dyDescent="0.2">
      <c r="A3042" s="1">
        <v>46079</v>
      </c>
      <c r="B3042">
        <v>400.09860229492102</v>
      </c>
      <c r="C3042">
        <v>401.72000122070301</v>
      </c>
      <c r="D3042">
        <v>407.489990234375</v>
      </c>
      <c r="E3042">
        <v>398.739990234375</v>
      </c>
      <c r="F3042">
        <v>404.70999145507801</v>
      </c>
      <c r="G3042" s="2">
        <v>34405900</v>
      </c>
      <c r="H3042" s="3">
        <f t="shared" si="47"/>
        <v>2.7958037549529191E-3</v>
      </c>
      <c r="J3042" s="3">
        <v>2.6587015539941694E-2</v>
      </c>
      <c r="K3042" s="3">
        <v>0.95598868280414961</v>
      </c>
    </row>
    <row r="3043" spans="1:11" x14ac:dyDescent="0.2">
      <c r="A3043" s="1">
        <v>46080</v>
      </c>
      <c r="B3043">
        <v>391.15484619140602</v>
      </c>
      <c r="C3043">
        <v>392.739990234375</v>
      </c>
      <c r="D3043">
        <v>396.82000732421801</v>
      </c>
      <c r="E3043">
        <v>389.88000488281199</v>
      </c>
      <c r="F3043">
        <v>390.88000488281199</v>
      </c>
      <c r="G3043" s="2">
        <v>51367200</v>
      </c>
      <c r="H3043" s="3">
        <f t="shared" si="47"/>
        <v>-2.2353879899141393E-2</v>
      </c>
      <c r="J3043" s="3">
        <v>2.6599331623063716E-2</v>
      </c>
      <c r="K3043" s="3">
        <v>0.95630304935554855</v>
      </c>
    </row>
    <row r="3044" spans="1:11" x14ac:dyDescent="0.2">
      <c r="A3044" s="1">
        <v>46083</v>
      </c>
      <c r="B3044">
        <v>396.94137573242102</v>
      </c>
      <c r="C3044">
        <v>398.54998779296801</v>
      </c>
      <c r="D3044">
        <v>401.19000244140602</v>
      </c>
      <c r="E3044">
        <v>390.63000488281199</v>
      </c>
      <c r="F3044">
        <v>392.85998535156199</v>
      </c>
      <c r="G3044" s="2">
        <v>35474900</v>
      </c>
      <c r="H3044" s="3">
        <f t="shared" si="47"/>
        <v>1.4793449697369843E-2</v>
      </c>
      <c r="J3044" s="3">
        <v>2.6685442110547575E-2</v>
      </c>
      <c r="K3044" s="3">
        <v>0.95661741590694749</v>
      </c>
    </row>
    <row r="3045" spans="1:11" x14ac:dyDescent="0.2">
      <c r="A3045" s="1">
        <v>46084</v>
      </c>
      <c r="B3045">
        <v>402.29968261718699</v>
      </c>
      <c r="C3045">
        <v>403.92999267578102</v>
      </c>
      <c r="D3045">
        <v>406.70001220703102</v>
      </c>
      <c r="E3045">
        <v>392.67001342773398</v>
      </c>
      <c r="F3045">
        <v>393.14001464843699</v>
      </c>
      <c r="G3045" s="2">
        <v>38199200</v>
      </c>
      <c r="H3045" s="3">
        <f t="shared" si="47"/>
        <v>1.3498988042954796E-2</v>
      </c>
      <c r="J3045" s="3">
        <v>2.6763512973073889E-2</v>
      </c>
      <c r="K3045" s="3">
        <v>0.95693178245834642</v>
      </c>
    </row>
    <row r="3046" spans="1:11" x14ac:dyDescent="0.2">
      <c r="A3046" s="1">
        <v>46085</v>
      </c>
      <c r="B3046">
        <v>403.56457519531199</v>
      </c>
      <c r="C3046">
        <v>405.20001220703102</v>
      </c>
      <c r="D3046">
        <v>411.02999877929602</v>
      </c>
      <c r="E3046">
        <v>400.30999755859301</v>
      </c>
      <c r="F3046">
        <v>401.26998901367102</v>
      </c>
      <c r="G3046" s="2">
        <v>35808000</v>
      </c>
      <c r="H3046" s="3">
        <f t="shared" si="47"/>
        <v>3.1441550485353797E-3</v>
      </c>
      <c r="J3046" s="3">
        <v>2.6770233881280747E-2</v>
      </c>
      <c r="K3046" s="3">
        <v>0.95724614900974536</v>
      </c>
    </row>
    <row r="3047" spans="1:11" x14ac:dyDescent="0.2">
      <c r="A3047" s="1">
        <v>46086</v>
      </c>
      <c r="B3047">
        <v>409.02243041992102</v>
      </c>
      <c r="C3047">
        <v>410.67999267578102</v>
      </c>
      <c r="D3047">
        <v>411.60998535156199</v>
      </c>
      <c r="E3047">
        <v>404.39999389648398</v>
      </c>
      <c r="F3047">
        <v>404.42001342773398</v>
      </c>
      <c r="G3047" s="2">
        <v>39001300</v>
      </c>
      <c r="H3047" s="3">
        <f t="shared" si="47"/>
        <v>1.352411871623671E-2</v>
      </c>
      <c r="J3047" s="3">
        <v>2.6992907073198902E-2</v>
      </c>
      <c r="K3047" s="3">
        <v>0.9575605155611443</v>
      </c>
    </row>
    <row r="3048" spans="1:11" x14ac:dyDescent="0.2">
      <c r="A3048" s="1">
        <v>46087</v>
      </c>
      <c r="B3048">
        <v>407.30938720703102</v>
      </c>
      <c r="C3048">
        <v>408.95999145507801</v>
      </c>
      <c r="D3048">
        <v>413.04998779296801</v>
      </c>
      <c r="E3048">
        <v>408.510009765625</v>
      </c>
      <c r="F3048">
        <v>409.20001220703102</v>
      </c>
      <c r="G3048" s="2">
        <v>31123900</v>
      </c>
      <c r="H3048" s="3">
        <f t="shared" si="47"/>
        <v>-4.1881400272628655E-3</v>
      </c>
      <c r="J3048" s="3">
        <v>2.7055923175815177E-2</v>
      </c>
      <c r="K3048" s="3">
        <v>0.95787488211254324</v>
      </c>
    </row>
    <row r="3049" spans="1:11" x14ac:dyDescent="0.2">
      <c r="A3049" s="1">
        <v>46090</v>
      </c>
      <c r="B3049">
        <v>407.757568359375</v>
      </c>
      <c r="C3049">
        <v>409.41000366210898</v>
      </c>
      <c r="D3049">
        <v>410.20999145507801</v>
      </c>
      <c r="E3049">
        <v>403.5</v>
      </c>
      <c r="F3049">
        <v>404.92001342773398</v>
      </c>
      <c r="G3049" s="2">
        <v>30131900</v>
      </c>
      <c r="H3049" s="3">
        <f t="shared" si="47"/>
        <v>1.1003457480251999E-3</v>
      </c>
      <c r="J3049" s="3">
        <v>2.7454270256151991E-2</v>
      </c>
      <c r="K3049" s="3">
        <v>0.95818924866394217</v>
      </c>
    </row>
    <row r="3050" spans="1:11" x14ac:dyDescent="0.2">
      <c r="A3050" s="1">
        <v>46091</v>
      </c>
      <c r="B3050">
        <v>404.122314453125</v>
      </c>
      <c r="C3050">
        <v>405.760009765625</v>
      </c>
      <c r="D3050">
        <v>410.20001220703102</v>
      </c>
      <c r="E3050">
        <v>402.92999267578102</v>
      </c>
      <c r="F3050">
        <v>410.02999877929602</v>
      </c>
      <c r="G3050" s="2">
        <v>31706400</v>
      </c>
      <c r="H3050" s="3">
        <f t="shared" si="47"/>
        <v>-8.9152334336222161E-3</v>
      </c>
      <c r="J3050" s="3">
        <v>2.7604603362020308E-2</v>
      </c>
      <c r="K3050" s="3">
        <v>0.95850361521534111</v>
      </c>
    </row>
    <row r="3051" spans="1:11" x14ac:dyDescent="0.2">
      <c r="A3051" s="1">
        <v>46092</v>
      </c>
      <c r="B3051">
        <v>403.245849609375</v>
      </c>
      <c r="C3051">
        <v>404.88000488281199</v>
      </c>
      <c r="D3051">
        <v>409.010009765625</v>
      </c>
      <c r="E3051">
        <v>401.58999633789</v>
      </c>
      <c r="F3051">
        <v>405.57000732421801</v>
      </c>
      <c r="G3051" s="2">
        <v>25512100</v>
      </c>
      <c r="H3051" s="3">
        <f t="shared" si="47"/>
        <v>-2.1688108090147651E-3</v>
      </c>
      <c r="J3051" s="3">
        <v>2.7629447714735633E-2</v>
      </c>
      <c r="K3051" s="3">
        <v>0.95881798176674005</v>
      </c>
    </row>
    <row r="3052" spans="1:11" x14ac:dyDescent="0.2">
      <c r="A3052" s="1">
        <v>46093</v>
      </c>
      <c r="B3052">
        <v>400.238037109375</v>
      </c>
      <c r="C3052">
        <v>401.85998535156199</v>
      </c>
      <c r="D3052">
        <v>406.11999511718699</v>
      </c>
      <c r="E3052">
        <v>401.70999145507801</v>
      </c>
      <c r="F3052">
        <v>404.63000488281199</v>
      </c>
      <c r="G3052" s="2">
        <v>27263900</v>
      </c>
      <c r="H3052" s="3">
        <f t="shared" si="47"/>
        <v>-7.4590042350434205E-3</v>
      </c>
      <c r="J3052" s="3">
        <v>2.770358401447659E-2</v>
      </c>
      <c r="K3052" s="3">
        <v>0.95913234831813898</v>
      </c>
    </row>
    <row r="3053" spans="1:11" x14ac:dyDescent="0.2">
      <c r="A3053" s="1">
        <v>46094</v>
      </c>
      <c r="B3053">
        <v>393.95349121093699</v>
      </c>
      <c r="C3053">
        <v>395.54998779296801</v>
      </c>
      <c r="D3053">
        <v>404.79998779296801</v>
      </c>
      <c r="E3053">
        <v>394.25</v>
      </c>
      <c r="F3053">
        <v>401</v>
      </c>
      <c r="G3053" s="2">
        <v>26848000</v>
      </c>
      <c r="H3053" s="3">
        <f t="shared" si="47"/>
        <v>-1.5702020587115229E-2</v>
      </c>
      <c r="J3053" s="3">
        <v>2.7728407141573097E-2</v>
      </c>
      <c r="K3053" s="3">
        <v>0.95944671486953792</v>
      </c>
    </row>
    <row r="3054" spans="1:11" x14ac:dyDescent="0.2">
      <c r="A3054" s="1">
        <v>46097</v>
      </c>
      <c r="B3054">
        <v>398.33575439453102</v>
      </c>
      <c r="C3054">
        <v>399.95001220703102</v>
      </c>
      <c r="D3054">
        <v>400.63000488281199</v>
      </c>
      <c r="E3054">
        <v>394.79000854492102</v>
      </c>
      <c r="F3054">
        <v>398.07000732421801</v>
      </c>
      <c r="G3054" s="2">
        <v>27733700</v>
      </c>
      <c r="H3054" s="3">
        <f t="shared" si="47"/>
        <v>1.112380847323835E-2</v>
      </c>
      <c r="J3054" s="3">
        <v>2.7773439415563983E-2</v>
      </c>
      <c r="K3054" s="3">
        <v>0.95976108142093686</v>
      </c>
    </row>
    <row r="3055" spans="1:11" x14ac:dyDescent="0.2">
      <c r="A3055" s="1">
        <v>46098</v>
      </c>
      <c r="B3055">
        <v>397.79791259765602</v>
      </c>
      <c r="C3055">
        <v>399.41000366210898</v>
      </c>
      <c r="D3055">
        <v>404.39999389648398</v>
      </c>
      <c r="E3055">
        <v>397.75</v>
      </c>
      <c r="F3055">
        <v>400.26998901367102</v>
      </c>
      <c r="G3055" s="2">
        <v>26228300</v>
      </c>
      <c r="H3055" s="3">
        <f t="shared" si="47"/>
        <v>-1.350222245784849E-3</v>
      </c>
      <c r="J3055" s="3">
        <v>2.7797277866978165E-2</v>
      </c>
      <c r="K3055" s="3">
        <v>0.96007544797233579</v>
      </c>
    </row>
    <row r="3056" spans="1:11" x14ac:dyDescent="0.2">
      <c r="A3056" s="1">
        <v>46099</v>
      </c>
      <c r="B3056">
        <v>390.20870971679602</v>
      </c>
      <c r="C3056">
        <v>391.79000854492102</v>
      </c>
      <c r="D3056">
        <v>398</v>
      </c>
      <c r="E3056">
        <v>391</v>
      </c>
      <c r="F3056">
        <v>397.13000488281199</v>
      </c>
      <c r="G3056" s="2">
        <v>25908500</v>
      </c>
      <c r="H3056" s="3">
        <f t="shared" si="47"/>
        <v>-1.9078035958765671E-2</v>
      </c>
      <c r="J3056" s="3">
        <v>2.7836185304577432E-2</v>
      </c>
      <c r="K3056" s="3">
        <v>0.96038981452373462</v>
      </c>
    </row>
    <row r="3057" spans="1:11" x14ac:dyDescent="0.2">
      <c r="A3057" s="1">
        <v>46100</v>
      </c>
      <c r="B3057">
        <v>387.44985961914</v>
      </c>
      <c r="C3057">
        <v>389.01998901367102</v>
      </c>
      <c r="D3057">
        <v>392.489990234375</v>
      </c>
      <c r="E3057">
        <v>387.05999755859301</v>
      </c>
      <c r="F3057">
        <v>390.100006103515</v>
      </c>
      <c r="G3057" s="2">
        <v>25138800</v>
      </c>
      <c r="H3057" s="3">
        <f t="shared" si="47"/>
        <v>-7.0701909746154756E-3</v>
      </c>
      <c r="J3057" s="3">
        <v>2.7862574080577351E-2</v>
      </c>
      <c r="K3057" s="3">
        <v>0.96070418107513356</v>
      </c>
    </row>
    <row r="3058" spans="1:11" x14ac:dyDescent="0.2">
      <c r="A3058" s="1">
        <v>46101</v>
      </c>
      <c r="B3058">
        <v>380.32873535156199</v>
      </c>
      <c r="C3058">
        <v>381.86999511718699</v>
      </c>
      <c r="D3058">
        <v>387</v>
      </c>
      <c r="E3058">
        <v>380.11999511718699</v>
      </c>
      <c r="F3058">
        <v>386.79000854492102</v>
      </c>
      <c r="G3058" s="2">
        <v>50853200</v>
      </c>
      <c r="H3058" s="3">
        <f t="shared" si="47"/>
        <v>-1.8379473087377085E-2</v>
      </c>
      <c r="J3058" s="3">
        <v>2.7908776202593355E-2</v>
      </c>
      <c r="K3058" s="3">
        <v>0.96101854762653249</v>
      </c>
    </row>
    <row r="3059" spans="1:11" x14ac:dyDescent="0.2">
      <c r="A3059" s="1">
        <v>46104</v>
      </c>
      <c r="B3059">
        <v>381.45419311523398</v>
      </c>
      <c r="C3059">
        <v>383</v>
      </c>
      <c r="D3059">
        <v>387.20999145507801</v>
      </c>
      <c r="E3059">
        <v>381.67999267578102</v>
      </c>
      <c r="F3059">
        <v>383.89999389648398</v>
      </c>
      <c r="G3059" s="2">
        <v>29680100</v>
      </c>
      <c r="H3059" s="3">
        <f t="shared" si="47"/>
        <v>2.9591709988245896E-3</v>
      </c>
      <c r="J3059" s="3">
        <v>2.8008135236035292E-2</v>
      </c>
      <c r="K3059" s="3">
        <v>0.96133291417793143</v>
      </c>
    </row>
    <row r="3060" spans="1:11" x14ac:dyDescent="0.2">
      <c r="A3060" s="1">
        <v>46105</v>
      </c>
      <c r="B3060">
        <v>371.23556518554602</v>
      </c>
      <c r="C3060">
        <v>372.739990234375</v>
      </c>
      <c r="D3060">
        <v>382.47000122070301</v>
      </c>
      <c r="E3060">
        <v>371.850006103515</v>
      </c>
      <c r="F3060">
        <v>382.35998535156199</v>
      </c>
      <c r="G3060" s="2">
        <v>42733600</v>
      </c>
      <c r="H3060" s="3">
        <f t="shared" si="47"/>
        <v>-2.6788610832234272E-2</v>
      </c>
      <c r="J3060" s="3">
        <v>2.8081910317673264E-2</v>
      </c>
      <c r="K3060" s="3">
        <v>0.96164728072933037</v>
      </c>
    </row>
    <row r="3061" spans="1:11" x14ac:dyDescent="0.2">
      <c r="A3061" s="1">
        <v>46106</v>
      </c>
      <c r="B3061">
        <v>369.54244995117102</v>
      </c>
      <c r="C3061">
        <v>371.04000854492102</v>
      </c>
      <c r="D3061">
        <v>377.05999755859301</v>
      </c>
      <c r="E3061">
        <v>369.63000488281199</v>
      </c>
      <c r="F3061">
        <v>376.92001342773398</v>
      </c>
      <c r="G3061" s="2">
        <v>31181200</v>
      </c>
      <c r="H3061" s="3">
        <f t="shared" si="47"/>
        <v>-4.5607570856762703E-3</v>
      </c>
      <c r="J3061" s="3">
        <v>2.8101590360756878E-2</v>
      </c>
      <c r="K3061" s="3">
        <v>0.9619616472807293</v>
      </c>
    </row>
    <row r="3062" spans="1:11" x14ac:dyDescent="0.2">
      <c r="A3062" s="1">
        <v>46107</v>
      </c>
      <c r="B3062">
        <v>364.492919921875</v>
      </c>
      <c r="C3062">
        <v>365.97000122070301</v>
      </c>
      <c r="D3062">
        <v>374.72000122070301</v>
      </c>
      <c r="E3062">
        <v>365.19000244140602</v>
      </c>
      <c r="F3062">
        <v>370.82000732421801</v>
      </c>
      <c r="G3062" s="2">
        <v>36836600</v>
      </c>
      <c r="H3062" s="3">
        <f t="shared" si="47"/>
        <v>-1.3664275998503617E-2</v>
      </c>
      <c r="J3062" s="3">
        <v>2.8207172250328094E-2</v>
      </c>
      <c r="K3062" s="3">
        <v>0.96227601383212824</v>
      </c>
    </row>
    <row r="3063" spans="1:11" x14ac:dyDescent="0.2">
      <c r="A3063" s="1">
        <v>46108</v>
      </c>
      <c r="B3063">
        <v>355.33001708984301</v>
      </c>
      <c r="C3063">
        <v>356.76998901367102</v>
      </c>
      <c r="D3063">
        <v>362.45001220703102</v>
      </c>
      <c r="E3063">
        <v>356.510009765625</v>
      </c>
      <c r="F3063">
        <v>361.89999389648398</v>
      </c>
      <c r="G3063" s="2">
        <v>37883400</v>
      </c>
      <c r="H3063" s="3">
        <f t="shared" si="47"/>
        <v>-2.5138767672074236E-2</v>
      </c>
      <c r="J3063" s="3">
        <v>2.8339976425993507E-2</v>
      </c>
      <c r="K3063" s="3">
        <v>0.96259038038352718</v>
      </c>
    </row>
    <row r="3064" spans="1:11" x14ac:dyDescent="0.2">
      <c r="A3064" s="1">
        <v>46111</v>
      </c>
      <c r="B3064">
        <v>357.51116943359301</v>
      </c>
      <c r="C3064">
        <v>358.95999145507801</v>
      </c>
      <c r="D3064">
        <v>365.35998535156199</v>
      </c>
      <c r="E3064">
        <v>356.27999877929602</v>
      </c>
      <c r="F3064">
        <v>361.89999389648398</v>
      </c>
      <c r="G3064" s="2">
        <v>44797000</v>
      </c>
      <c r="H3064" s="3">
        <f t="shared" si="47"/>
        <v>6.138384709554412E-3</v>
      </c>
      <c r="J3064" s="3">
        <v>2.845728993795027E-2</v>
      </c>
      <c r="K3064" s="3">
        <v>0.96290474693492611</v>
      </c>
    </row>
    <row r="3065" spans="1:11" x14ac:dyDescent="0.2">
      <c r="A3065" s="1">
        <v>46112</v>
      </c>
      <c r="B3065">
        <v>368.67596435546801</v>
      </c>
      <c r="C3065">
        <v>370.17001342773398</v>
      </c>
      <c r="D3065">
        <v>372.89999389648398</v>
      </c>
      <c r="E3065">
        <v>363.07000732421801</v>
      </c>
      <c r="F3065">
        <v>364.54998779296801</v>
      </c>
      <c r="G3065" s="2">
        <v>45244400</v>
      </c>
      <c r="H3065" s="3">
        <f t="shared" si="47"/>
        <v>3.1229219885810622E-2</v>
      </c>
      <c r="J3065" s="3">
        <v>2.8466663961176808E-2</v>
      </c>
      <c r="K3065" s="3">
        <v>0.96321911348632505</v>
      </c>
    </row>
    <row r="3066" spans="1:11" x14ac:dyDescent="0.2">
      <c r="A3066" s="1">
        <v>46113</v>
      </c>
      <c r="B3066">
        <v>367.87918090820301</v>
      </c>
      <c r="C3066">
        <v>369.36999511718699</v>
      </c>
      <c r="D3066">
        <v>373.989990234375</v>
      </c>
      <c r="E3066">
        <v>368.20001220703102</v>
      </c>
      <c r="F3066">
        <v>373.489990234375</v>
      </c>
      <c r="G3066" s="2">
        <v>29417200</v>
      </c>
      <c r="H3066" s="3">
        <f t="shared" si="47"/>
        <v>-2.1612025851969197E-3</v>
      </c>
      <c r="J3066" s="3">
        <v>2.8492816641587648E-2</v>
      </c>
      <c r="K3066" s="3">
        <v>0.96353348003772399</v>
      </c>
    </row>
    <row r="3067" spans="1:11" x14ac:dyDescent="0.2">
      <c r="A3067" s="1">
        <v>46114</v>
      </c>
      <c r="B3067">
        <v>371.95266723632801</v>
      </c>
      <c r="C3067">
        <v>373.45999145507801</v>
      </c>
      <c r="D3067">
        <v>373.64001464843699</v>
      </c>
      <c r="E3067">
        <v>364.14999389648398</v>
      </c>
      <c r="F3067">
        <v>367.20999145507801</v>
      </c>
      <c r="G3067" s="2">
        <v>24099100</v>
      </c>
      <c r="H3067" s="3">
        <f t="shared" si="47"/>
        <v>1.1072891697944343E-2</v>
      </c>
      <c r="J3067" s="3">
        <v>2.8540744421731157E-2</v>
      </c>
      <c r="K3067" s="3">
        <v>0.96384784658912293</v>
      </c>
    </row>
    <row r="3068" spans="1:11" x14ac:dyDescent="0.2">
      <c r="A3068" s="1">
        <v>46118</v>
      </c>
      <c r="B3068">
        <v>371.375</v>
      </c>
      <c r="C3068">
        <v>372.88000488281199</v>
      </c>
      <c r="D3068">
        <v>373.73001098632801</v>
      </c>
      <c r="E3068">
        <v>369.5</v>
      </c>
      <c r="F3068">
        <v>373.489990234375</v>
      </c>
      <c r="G3068" s="2">
        <v>16146600</v>
      </c>
      <c r="H3068" s="3">
        <f t="shared" si="47"/>
        <v>-1.5530665248892905E-3</v>
      </c>
      <c r="J3068" s="3">
        <v>2.8567067745876917E-2</v>
      </c>
      <c r="K3068" s="3">
        <v>0.96416221314052186</v>
      </c>
    </row>
    <row r="3069" spans="1:11" x14ac:dyDescent="0.2">
      <c r="A3069" s="1">
        <v>46119</v>
      </c>
      <c r="B3069">
        <v>370.78741455078102</v>
      </c>
      <c r="C3069">
        <v>372.29000854492102</v>
      </c>
      <c r="D3069">
        <v>372.45001220703102</v>
      </c>
      <c r="E3069">
        <v>366.55999755859301</v>
      </c>
      <c r="F3069">
        <v>370.33999633789</v>
      </c>
      <c r="G3069" s="2">
        <v>21443300</v>
      </c>
      <c r="H3069" s="3">
        <f t="shared" si="47"/>
        <v>-1.5821890251604964E-3</v>
      </c>
      <c r="J3069" s="3">
        <v>2.8799264457734397E-2</v>
      </c>
      <c r="K3069" s="3">
        <v>0.9644765796919208</v>
      </c>
    </row>
    <row r="3070" spans="1:11" x14ac:dyDescent="0.2">
      <c r="A3070" s="1">
        <v>46120</v>
      </c>
      <c r="B3070">
        <v>372.81915283203102</v>
      </c>
      <c r="C3070">
        <v>374.329986572265</v>
      </c>
      <c r="D3070">
        <v>385</v>
      </c>
      <c r="E3070">
        <v>371.41000366210898</v>
      </c>
      <c r="F3070">
        <v>384.98001098632801</v>
      </c>
      <c r="G3070" s="2">
        <v>33064800</v>
      </c>
      <c r="H3070" s="3">
        <f t="shared" si="47"/>
        <v>5.4795233104432128E-3</v>
      </c>
      <c r="J3070" s="3">
        <v>2.8889350011567894E-2</v>
      </c>
      <c r="K3070" s="3">
        <v>0.96479094624331974</v>
      </c>
    </row>
    <row r="3071" spans="1:11" x14ac:dyDescent="0.2">
      <c r="A3071" s="1">
        <v>46121</v>
      </c>
      <c r="B3071">
        <v>371.56427001953102</v>
      </c>
      <c r="C3071">
        <v>373.07000732421801</v>
      </c>
      <c r="D3071">
        <v>373.5</v>
      </c>
      <c r="E3071">
        <v>367.04998779296801</v>
      </c>
      <c r="F3071">
        <v>372.5</v>
      </c>
      <c r="G3071" s="2">
        <v>30435300</v>
      </c>
      <c r="H3071" s="3">
        <f t="shared" si="47"/>
        <v>-3.3659290381612417E-3</v>
      </c>
      <c r="J3071" s="3">
        <v>2.9005278855253724E-2</v>
      </c>
      <c r="K3071" s="3">
        <v>0.96510531279471867</v>
      </c>
    </row>
    <row r="3072" spans="1:11" x14ac:dyDescent="0.2">
      <c r="A3072" s="1">
        <v>46122</v>
      </c>
      <c r="B3072">
        <v>369.37313842773398</v>
      </c>
      <c r="C3072">
        <v>370.86999511718699</v>
      </c>
      <c r="D3072">
        <v>375.64001464843699</v>
      </c>
      <c r="E3072">
        <v>370.02999877929602</v>
      </c>
      <c r="F3072">
        <v>372.98001098632801</v>
      </c>
      <c r="G3072" s="2">
        <v>28111100</v>
      </c>
      <c r="H3072" s="3">
        <f t="shared" si="47"/>
        <v>-5.8970459987497392E-3</v>
      </c>
      <c r="J3072" s="3">
        <v>2.9086924599309949E-2</v>
      </c>
      <c r="K3072" s="3">
        <v>0.96541967934611761</v>
      </c>
    </row>
    <row r="3073" spans="1:11" x14ac:dyDescent="0.2">
      <c r="A3073" s="1">
        <v>46125</v>
      </c>
      <c r="B3073">
        <v>382.81863403320301</v>
      </c>
      <c r="C3073">
        <v>384.36999511718699</v>
      </c>
      <c r="D3073">
        <v>384.54000854492102</v>
      </c>
      <c r="E3073">
        <v>371.01998901367102</v>
      </c>
      <c r="F3073">
        <v>373.60998535156199</v>
      </c>
      <c r="G3073" s="2">
        <v>35745800</v>
      </c>
      <c r="H3073" s="3">
        <f t="shared" si="47"/>
        <v>3.6400848374358974E-2</v>
      </c>
      <c r="J3073" s="3">
        <v>2.9100557054092091E-2</v>
      </c>
      <c r="K3073" s="3">
        <v>0.96573404589751655</v>
      </c>
    </row>
    <row r="3074" spans="1:11" x14ac:dyDescent="0.2">
      <c r="A3074" s="1">
        <v>46126</v>
      </c>
      <c r="B3074">
        <v>391.523345947265</v>
      </c>
      <c r="C3074">
        <v>393.10998535156199</v>
      </c>
      <c r="D3074">
        <v>394.69000244140602</v>
      </c>
      <c r="E3074">
        <v>386.51998901367102</v>
      </c>
      <c r="F3074">
        <v>387.92001342773398</v>
      </c>
      <c r="G3074" s="2">
        <v>37504500</v>
      </c>
      <c r="H3074" s="3">
        <f t="shared" ref="H3074:H3137" si="48">B3074/B3073-1</f>
        <v>2.2738474933555519E-2</v>
      </c>
      <c r="J3074" s="3">
        <v>2.9126303815286914E-2</v>
      </c>
      <c r="K3074" s="3">
        <v>0.96604841244891548</v>
      </c>
    </row>
    <row r="3075" spans="1:11" x14ac:dyDescent="0.2">
      <c r="A3075" s="1">
        <v>46127</v>
      </c>
      <c r="B3075">
        <v>409.56027221679602</v>
      </c>
      <c r="C3075">
        <v>411.22000122070301</v>
      </c>
      <c r="D3075">
        <v>414.36999511718699</v>
      </c>
      <c r="E3075">
        <v>396.73001098632801</v>
      </c>
      <c r="F3075">
        <v>398</v>
      </c>
      <c r="G3075" s="2">
        <v>45063400</v>
      </c>
      <c r="H3075" s="3">
        <f t="shared" si="48"/>
        <v>4.6068584303426086E-2</v>
      </c>
      <c r="J3075" s="3">
        <v>2.9205051651566949E-2</v>
      </c>
      <c r="K3075" s="3">
        <v>0.96636277900031442</v>
      </c>
    </row>
    <row r="3076" spans="1:11" x14ac:dyDescent="0.2">
      <c r="A3076" s="1">
        <v>46128</v>
      </c>
      <c r="B3076">
        <v>418.56378173828102</v>
      </c>
      <c r="C3076">
        <v>420.260009765625</v>
      </c>
      <c r="D3076">
        <v>420.82000732421801</v>
      </c>
      <c r="E3076">
        <v>412.14001464843699</v>
      </c>
      <c r="F3076">
        <v>419.85998535156199</v>
      </c>
      <c r="G3076" s="2">
        <v>41642400</v>
      </c>
      <c r="H3076" s="3">
        <f t="shared" si="48"/>
        <v>2.1983356619899697E-2</v>
      </c>
      <c r="J3076" s="3">
        <v>2.9269545779105011E-2</v>
      </c>
      <c r="K3076" s="3">
        <v>0.96667714555171325</v>
      </c>
    </row>
    <row r="3077" spans="1:11" x14ac:dyDescent="0.2">
      <c r="A3077" s="1">
        <v>46129</v>
      </c>
      <c r="B3077">
        <v>421.08358764648398</v>
      </c>
      <c r="C3077">
        <v>422.79000854492102</v>
      </c>
      <c r="D3077">
        <v>431.579986572265</v>
      </c>
      <c r="E3077">
        <v>420.69000244140602</v>
      </c>
      <c r="F3077">
        <v>424.82000732421801</v>
      </c>
      <c r="G3077" s="2">
        <v>48568200</v>
      </c>
      <c r="H3077" s="3">
        <f t="shared" si="48"/>
        <v>6.0201240961132996E-3</v>
      </c>
      <c r="J3077" s="3">
        <v>2.9417916329155691E-2</v>
      </c>
      <c r="K3077" s="3">
        <v>0.96699151210311218</v>
      </c>
    </row>
    <row r="3078" spans="1:11" x14ac:dyDescent="0.2">
      <c r="A3078" s="1">
        <v>46132</v>
      </c>
      <c r="B3078">
        <v>416.38262939453102</v>
      </c>
      <c r="C3078">
        <v>418.07000732421801</v>
      </c>
      <c r="D3078">
        <v>423.329986572265</v>
      </c>
      <c r="E3078">
        <v>416.29998779296801</v>
      </c>
      <c r="F3078">
        <v>421.14999389648398</v>
      </c>
      <c r="G3078" s="2">
        <v>27582200</v>
      </c>
      <c r="H3078" s="3">
        <f t="shared" si="48"/>
        <v>-1.1163955067039044E-2</v>
      </c>
      <c r="J3078" s="3">
        <v>2.9444507072383885E-2</v>
      </c>
      <c r="K3078" s="3">
        <v>0.96730587865451112</v>
      </c>
    </row>
    <row r="3079" spans="1:11" x14ac:dyDescent="0.2">
      <c r="A3079" s="1">
        <v>46133</v>
      </c>
      <c r="B3079">
        <v>422.44805908203102</v>
      </c>
      <c r="C3079">
        <v>424.16000366210898</v>
      </c>
      <c r="D3079">
        <v>427.17999267578102</v>
      </c>
      <c r="E3079">
        <v>417.20001220703102</v>
      </c>
      <c r="F3079">
        <v>420.239990234375</v>
      </c>
      <c r="G3079" s="2">
        <v>32048500</v>
      </c>
      <c r="H3079" s="3">
        <f t="shared" si="48"/>
        <v>1.4566961393946309E-2</v>
      </c>
      <c r="J3079" s="3">
        <v>2.9692261892607208E-2</v>
      </c>
      <c r="K3079" s="3">
        <v>0.96762024520591006</v>
      </c>
    </row>
    <row r="3080" spans="1:11" x14ac:dyDescent="0.2">
      <c r="A3080" s="1">
        <v>46134</v>
      </c>
      <c r="B3080">
        <v>431.17269897460898</v>
      </c>
      <c r="C3080">
        <v>432.92001342773398</v>
      </c>
      <c r="D3080">
        <v>433.70001220703102</v>
      </c>
      <c r="E3080">
        <v>423.67001342773398</v>
      </c>
      <c r="F3080">
        <v>426.19000244140602</v>
      </c>
      <c r="G3080" s="2">
        <v>29378200</v>
      </c>
      <c r="H3080" s="3">
        <f t="shared" si="48"/>
        <v>2.0652574215955344E-2</v>
      </c>
      <c r="J3080" s="3">
        <v>2.973531100414184E-2</v>
      </c>
      <c r="K3080" s="3">
        <v>0.96793461175730899</v>
      </c>
    </row>
    <row r="3081" spans="1:11" x14ac:dyDescent="0.2">
      <c r="A3081" s="1">
        <v>46135</v>
      </c>
      <c r="B3081">
        <v>414.07196044921801</v>
      </c>
      <c r="C3081">
        <v>415.75</v>
      </c>
      <c r="D3081">
        <v>423.66000366210898</v>
      </c>
      <c r="E3081">
        <v>411.41000366210898</v>
      </c>
      <c r="F3081">
        <v>419.89001464843699</v>
      </c>
      <c r="G3081" s="2">
        <v>38308000</v>
      </c>
      <c r="H3081" s="3">
        <f t="shared" si="48"/>
        <v>-3.9660995619757444E-2</v>
      </c>
      <c r="J3081" s="3">
        <v>2.982000038596766E-2</v>
      </c>
      <c r="K3081" s="3">
        <v>0.96824897830870793</v>
      </c>
    </row>
    <row r="3082" spans="1:11" x14ac:dyDescent="0.2">
      <c r="A3082" s="1">
        <v>46136</v>
      </c>
      <c r="B3082">
        <v>422.90618896484301</v>
      </c>
      <c r="C3082">
        <v>424.61999511718699</v>
      </c>
      <c r="D3082">
        <v>424.95001220703102</v>
      </c>
      <c r="E3082">
        <v>415.79998779296801</v>
      </c>
      <c r="F3082">
        <v>416.97000122070301</v>
      </c>
      <c r="G3082" s="2">
        <v>27457400</v>
      </c>
      <c r="H3082" s="3">
        <f t="shared" si="48"/>
        <v>2.1335007823376717E-2</v>
      </c>
      <c r="J3082" s="3">
        <v>3.0020910451024507E-2</v>
      </c>
      <c r="K3082" s="3">
        <v>0.96856334486010687</v>
      </c>
    </row>
    <row r="3083" spans="1:11" x14ac:dyDescent="0.2">
      <c r="A3083" s="1">
        <v>46139</v>
      </c>
      <c r="B3083">
        <v>423.105377197265</v>
      </c>
      <c r="C3083">
        <v>424.82000732421801</v>
      </c>
      <c r="D3083">
        <v>427.10998535156199</v>
      </c>
      <c r="E3083">
        <v>417.07000732421801</v>
      </c>
      <c r="F3083">
        <v>422.38000488281199</v>
      </c>
      <c r="G3083" s="2">
        <v>30867300</v>
      </c>
      <c r="H3083" s="3">
        <f t="shared" si="48"/>
        <v>4.7099862243582535E-4</v>
      </c>
      <c r="J3083" s="3">
        <v>3.0039767747487067E-2</v>
      </c>
      <c r="K3083" s="3">
        <v>0.9688777114115058</v>
      </c>
    </row>
    <row r="3084" spans="1:11" x14ac:dyDescent="0.2">
      <c r="A3084" s="1">
        <v>46140</v>
      </c>
      <c r="B3084">
        <v>427.517486572265</v>
      </c>
      <c r="C3084">
        <v>429.25</v>
      </c>
      <c r="D3084">
        <v>429.92001342773398</v>
      </c>
      <c r="E3084">
        <v>421.89999389648398</v>
      </c>
      <c r="F3084">
        <v>424.57000732421801</v>
      </c>
      <c r="G3084" s="2">
        <v>30438100</v>
      </c>
      <c r="H3084" s="3">
        <f t="shared" si="48"/>
        <v>1.042792082725752E-2</v>
      </c>
      <c r="J3084" s="3">
        <v>3.0186099320728799E-2</v>
      </c>
      <c r="K3084" s="3">
        <v>0.96919207796290474</v>
      </c>
    </row>
    <row r="3085" spans="1:11" x14ac:dyDescent="0.2">
      <c r="A3085" s="1">
        <v>46141</v>
      </c>
      <c r="B3085">
        <v>422.74679565429602</v>
      </c>
      <c r="C3085">
        <v>424.45999145507801</v>
      </c>
      <c r="D3085">
        <v>426.82000732421801</v>
      </c>
      <c r="E3085">
        <v>420.29000854492102</v>
      </c>
      <c r="F3085">
        <v>424.579986572265</v>
      </c>
      <c r="G3085" s="2">
        <v>38288300</v>
      </c>
      <c r="H3085" s="3">
        <f t="shared" si="48"/>
        <v>-1.1159054466331364E-2</v>
      </c>
      <c r="J3085" s="3">
        <v>3.0192821938053616E-2</v>
      </c>
      <c r="K3085" s="3">
        <v>0.96950644451430368</v>
      </c>
    </row>
    <row r="3086" spans="1:11" x14ac:dyDescent="0.2">
      <c r="A3086" s="1">
        <v>46142</v>
      </c>
      <c r="B3086">
        <v>406.13415527343699</v>
      </c>
      <c r="C3086">
        <v>407.77999877929602</v>
      </c>
      <c r="D3086">
        <v>414.42001342773398</v>
      </c>
      <c r="E3086">
        <v>398.010009765625</v>
      </c>
      <c r="F3086">
        <v>410.80999755859301</v>
      </c>
      <c r="G3086" s="2">
        <v>70909400</v>
      </c>
      <c r="H3086" s="3">
        <f t="shared" si="48"/>
        <v>-3.9296904321054038E-2</v>
      </c>
      <c r="J3086" s="3">
        <v>3.0238278561185883E-2</v>
      </c>
      <c r="K3086" s="3">
        <v>0.96982081106570261</v>
      </c>
    </row>
    <row r="3087" spans="1:11" x14ac:dyDescent="0.2">
      <c r="A3087" s="1">
        <v>46143</v>
      </c>
      <c r="B3087">
        <v>412.76727294921801</v>
      </c>
      <c r="C3087">
        <v>414.44000244140602</v>
      </c>
      <c r="D3087">
        <v>417.10998535156199</v>
      </c>
      <c r="E3087">
        <v>410.44000244140602</v>
      </c>
      <c r="F3087">
        <v>412.79998779296801</v>
      </c>
      <c r="G3087" s="2">
        <v>31372400</v>
      </c>
      <c r="H3087" s="3">
        <f t="shared" si="48"/>
        <v>1.6332331545262813E-2</v>
      </c>
      <c r="J3087" s="3">
        <v>3.0505791288211181E-2</v>
      </c>
      <c r="K3087" s="3">
        <v>0.97013517761710155</v>
      </c>
    </row>
    <row r="3088" spans="1:11" x14ac:dyDescent="0.2">
      <c r="A3088" s="1">
        <v>46146</v>
      </c>
      <c r="B3088">
        <v>411.95056152343699</v>
      </c>
      <c r="C3088">
        <v>413.61999511718699</v>
      </c>
      <c r="D3088">
        <v>420.77999877929602</v>
      </c>
      <c r="E3088">
        <v>410.79998779296801</v>
      </c>
      <c r="F3088">
        <v>411.54000854492102</v>
      </c>
      <c r="G3088" s="2">
        <v>28066500</v>
      </c>
      <c r="H3088" s="3">
        <f t="shared" si="48"/>
        <v>-1.9786244678402509E-3</v>
      </c>
      <c r="J3088" s="3">
        <v>3.0678254125319437E-2</v>
      </c>
      <c r="K3088" s="3">
        <v>0.97044954416850049</v>
      </c>
    </row>
    <row r="3089" spans="1:11" x14ac:dyDescent="0.2">
      <c r="A3089" s="1">
        <v>46147</v>
      </c>
      <c r="B3089">
        <v>409.719635009765</v>
      </c>
      <c r="C3089">
        <v>411.38000488281199</v>
      </c>
      <c r="D3089">
        <v>416.77999877929602</v>
      </c>
      <c r="E3089">
        <v>408.79998779296801</v>
      </c>
      <c r="F3089">
        <v>415.32000732421801</v>
      </c>
      <c r="G3089" s="2">
        <v>25700900</v>
      </c>
      <c r="H3089" s="3">
        <f t="shared" si="48"/>
        <v>-5.4155200211932764E-3</v>
      </c>
      <c r="J3089" s="3">
        <v>3.0713658119458032E-2</v>
      </c>
      <c r="K3089" s="3">
        <v>0.97076391071989943</v>
      </c>
    </row>
    <row r="3090" spans="1:11" x14ac:dyDescent="0.2">
      <c r="A3090" s="1">
        <v>46148</v>
      </c>
      <c r="B3090">
        <v>412.28918457031199</v>
      </c>
      <c r="C3090">
        <v>413.95999145507801</v>
      </c>
      <c r="D3090">
        <v>418.42001342773398</v>
      </c>
      <c r="E3090">
        <v>405.10998535156199</v>
      </c>
      <c r="F3090">
        <v>408</v>
      </c>
      <c r="G3090" s="2">
        <v>30285900</v>
      </c>
      <c r="H3090" s="3">
        <f t="shared" si="48"/>
        <v>6.2714825968390731E-3</v>
      </c>
      <c r="J3090" s="3">
        <v>3.0995329335515187E-2</v>
      </c>
      <c r="K3090" s="3">
        <v>0.97107827727129836</v>
      </c>
    </row>
    <row r="3091" spans="1:11" x14ac:dyDescent="0.2">
      <c r="A3091" s="1">
        <v>46149</v>
      </c>
      <c r="B3091">
        <v>419.07171630859301</v>
      </c>
      <c r="C3091">
        <v>420.76998901367102</v>
      </c>
      <c r="D3091">
        <v>427.98001098632801</v>
      </c>
      <c r="E3091">
        <v>418.760009765625</v>
      </c>
      <c r="F3091">
        <v>420.10998535156199</v>
      </c>
      <c r="G3091" s="2">
        <v>34942400</v>
      </c>
      <c r="H3091" s="3">
        <f t="shared" si="48"/>
        <v>1.6450908711926893E-2</v>
      </c>
      <c r="J3091" s="3">
        <v>3.106144763809171E-2</v>
      </c>
      <c r="K3091" s="3">
        <v>0.9713926438226973</v>
      </c>
    </row>
    <row r="3092" spans="1:11" x14ac:dyDescent="0.2">
      <c r="A3092" s="1">
        <v>46150</v>
      </c>
      <c r="B3092">
        <v>413.44451904296801</v>
      </c>
      <c r="C3092">
        <v>415.11999511718699</v>
      </c>
      <c r="D3092">
        <v>418.63000488281199</v>
      </c>
      <c r="E3092">
        <v>414</v>
      </c>
      <c r="F3092">
        <v>417.39001464843699</v>
      </c>
      <c r="G3092" s="2">
        <v>33383800</v>
      </c>
      <c r="H3092" s="3">
        <f t="shared" si="48"/>
        <v>-1.3427766767923011E-2</v>
      </c>
      <c r="J3092" s="3">
        <v>3.1181622470152215E-2</v>
      </c>
      <c r="K3092" s="3">
        <v>0.97170701037409624</v>
      </c>
    </row>
    <row r="3093" spans="1:11" x14ac:dyDescent="0.2">
      <c r="A3093" s="1">
        <v>46153</v>
      </c>
      <c r="B3093">
        <v>410.99444580078102</v>
      </c>
      <c r="C3093">
        <v>412.66000366210898</v>
      </c>
      <c r="D3093">
        <v>412.69000244140602</v>
      </c>
      <c r="E3093">
        <v>405.5</v>
      </c>
      <c r="F3093">
        <v>407.86999511718699</v>
      </c>
      <c r="G3093" s="2">
        <v>35657900</v>
      </c>
      <c r="H3093" s="3">
        <f t="shared" si="48"/>
        <v>-5.9260024727341154E-3</v>
      </c>
      <c r="J3093" s="3">
        <v>3.1229219885810622E-2</v>
      </c>
      <c r="K3093" s="3">
        <v>0.97202137692549517</v>
      </c>
    </row>
    <row r="3094" spans="1:11" x14ac:dyDescent="0.2">
      <c r="A3094" s="1">
        <v>46154</v>
      </c>
      <c r="B3094">
        <v>406.12417602539</v>
      </c>
      <c r="C3094">
        <v>407.76998901367102</v>
      </c>
      <c r="D3094">
        <v>415.5</v>
      </c>
      <c r="E3094">
        <v>406.64001464843699</v>
      </c>
      <c r="F3094">
        <v>414.48001098632801</v>
      </c>
      <c r="G3094" s="2">
        <v>38594200</v>
      </c>
      <c r="H3094" s="3">
        <f t="shared" si="48"/>
        <v>-1.1849964945151004E-2</v>
      </c>
      <c r="J3094" s="3">
        <v>3.1242688797765927E-2</v>
      </c>
      <c r="K3094" s="3">
        <v>0.97233574347689411</v>
      </c>
    </row>
    <row r="3095" spans="1:11" x14ac:dyDescent="0.2">
      <c r="A3095" s="1">
        <v>46155</v>
      </c>
      <c r="B3095">
        <v>403.57452392578102</v>
      </c>
      <c r="C3095">
        <v>405.20999145507801</v>
      </c>
      <c r="D3095">
        <v>406.30999755859301</v>
      </c>
      <c r="E3095">
        <v>401.02999877929602</v>
      </c>
      <c r="F3095">
        <v>403.20001220703102</v>
      </c>
      <c r="G3095" s="2">
        <v>29667100</v>
      </c>
      <c r="H3095" s="3">
        <f t="shared" si="48"/>
        <v>-6.2780111358098356E-3</v>
      </c>
      <c r="J3095" s="3">
        <v>3.1273304420453174E-2</v>
      </c>
      <c r="K3095" s="3">
        <v>0.97265011002829294</v>
      </c>
    </row>
    <row r="3096" spans="1:11" x14ac:dyDescent="0.2">
      <c r="A3096" s="1">
        <v>46156</v>
      </c>
      <c r="B3096">
        <v>407.77749633789</v>
      </c>
      <c r="C3096">
        <v>409.42999267578102</v>
      </c>
      <c r="D3096">
        <v>411.83999633789</v>
      </c>
      <c r="E3096">
        <v>400.88000488281199</v>
      </c>
      <c r="F3096">
        <v>404.48001098632801</v>
      </c>
      <c r="G3096" s="2">
        <v>27077500</v>
      </c>
      <c r="H3096" s="3">
        <f t="shared" si="48"/>
        <v>1.0414365037774154E-2</v>
      </c>
      <c r="J3096" s="3">
        <v>3.1550128283923451E-2</v>
      </c>
      <c r="K3096" s="3">
        <v>0.97296447657969187</v>
      </c>
    </row>
    <row r="3097" spans="1:11" x14ac:dyDescent="0.2">
      <c r="A3097" s="1">
        <v>46157</v>
      </c>
      <c r="B3097">
        <v>420.21707153320301</v>
      </c>
      <c r="C3097">
        <v>421.92001342773398</v>
      </c>
      <c r="D3097">
        <v>428.17001342773398</v>
      </c>
      <c r="E3097">
        <v>412.91000366210898</v>
      </c>
      <c r="F3097">
        <v>414.26998901367102</v>
      </c>
      <c r="G3097" s="2">
        <v>50771200</v>
      </c>
      <c r="H3097" s="3">
        <f t="shared" si="48"/>
        <v>3.0505791288211181E-2</v>
      </c>
      <c r="J3097" s="3">
        <v>3.1598492083542373E-2</v>
      </c>
      <c r="K3097" s="3">
        <v>0.97327884313109081</v>
      </c>
    </row>
    <row r="3098" spans="1:11" x14ac:dyDescent="0.2">
      <c r="A3098" s="1">
        <v>46160</v>
      </c>
      <c r="B3098">
        <v>421.83056640625</v>
      </c>
      <c r="C3098">
        <v>423.54000854492102</v>
      </c>
      <c r="D3098">
        <v>425.11999511718699</v>
      </c>
      <c r="E3098">
        <v>415.60998535156199</v>
      </c>
      <c r="F3098">
        <v>416.61999511718699</v>
      </c>
      <c r="G3098" s="2">
        <v>32564100</v>
      </c>
      <c r="H3098" s="3">
        <f t="shared" si="48"/>
        <v>3.839669976186233E-3</v>
      </c>
      <c r="J3098" s="3">
        <v>3.188671721316072E-2</v>
      </c>
      <c r="K3098" s="3">
        <v>0.97359320968248975</v>
      </c>
    </row>
    <row r="3099" spans="1:11" x14ac:dyDescent="0.2">
      <c r="A3099" s="1">
        <v>46161</v>
      </c>
      <c r="B3099">
        <v>415.735260009765</v>
      </c>
      <c r="C3099">
        <v>417.42001342773398</v>
      </c>
      <c r="D3099">
        <v>432.70001220703102</v>
      </c>
      <c r="E3099">
        <v>416.489990234375</v>
      </c>
      <c r="F3099">
        <v>429.89999389648398</v>
      </c>
      <c r="G3099" s="2">
        <v>33018700</v>
      </c>
      <c r="H3099" s="3">
        <f t="shared" si="48"/>
        <v>-1.4449655577151388E-2</v>
      </c>
      <c r="J3099" s="3">
        <v>3.1896721527910232E-2</v>
      </c>
      <c r="K3099" s="3">
        <v>0.97390757623388868</v>
      </c>
    </row>
    <row r="3100" spans="1:11" x14ac:dyDescent="0.2">
      <c r="A3100" s="1">
        <v>46162</v>
      </c>
      <c r="B3100">
        <v>419.36053466796801</v>
      </c>
      <c r="C3100">
        <v>421.05999755859301</v>
      </c>
      <c r="D3100">
        <v>422.100006103515</v>
      </c>
      <c r="E3100">
        <v>411.29998779296801</v>
      </c>
      <c r="F3100">
        <v>414.17001342773398</v>
      </c>
      <c r="G3100" s="2">
        <v>27864000</v>
      </c>
      <c r="H3100" s="3">
        <f t="shared" si="48"/>
        <v>8.7201519979753783E-3</v>
      </c>
      <c r="J3100" s="3">
        <v>3.1934369492986336E-2</v>
      </c>
      <c r="K3100" s="3">
        <v>0.97422194278528762</v>
      </c>
    </row>
    <row r="3101" spans="1:11" x14ac:dyDescent="0.2">
      <c r="A3101" s="1">
        <v>46163</v>
      </c>
      <c r="B3101">
        <v>418.30252075195301</v>
      </c>
      <c r="C3101">
        <v>419.08999633789</v>
      </c>
      <c r="D3101">
        <v>426.33999633789</v>
      </c>
      <c r="E3101">
        <v>415.70999145507801</v>
      </c>
      <c r="F3101">
        <v>424.75</v>
      </c>
      <c r="G3101" s="2">
        <v>31393500</v>
      </c>
      <c r="H3101" s="3">
        <f t="shared" si="48"/>
        <v>-2.5229219932502156E-3</v>
      </c>
      <c r="J3101" s="3">
        <v>3.2027322766477795E-2</v>
      </c>
      <c r="K3101" s="3">
        <v>0.97453630933668656</v>
      </c>
    </row>
    <row r="3102" spans="1:11" x14ac:dyDescent="0.2">
      <c r="A3102" s="1">
        <v>46164</v>
      </c>
      <c r="B3102">
        <v>417.78353881835898</v>
      </c>
      <c r="C3102">
        <v>418.57000732421801</v>
      </c>
      <c r="D3102">
        <v>424.39999389648398</v>
      </c>
      <c r="E3102">
        <v>416.329986572265</v>
      </c>
      <c r="F3102">
        <v>419.54000854492102</v>
      </c>
      <c r="G3102" s="2">
        <v>22390300</v>
      </c>
      <c r="H3102" s="3">
        <f t="shared" si="48"/>
        <v>-1.2406856469836525E-3</v>
      </c>
      <c r="J3102" s="3">
        <v>3.2031999905909547E-2</v>
      </c>
      <c r="K3102" s="3">
        <v>0.97485067588808549</v>
      </c>
    </row>
    <row r="3103" spans="1:11" x14ac:dyDescent="0.2">
      <c r="A3103" s="1">
        <v>46168</v>
      </c>
      <c r="B3103">
        <v>415.248291015625</v>
      </c>
      <c r="C3103">
        <v>416.02999877929602</v>
      </c>
      <c r="D3103">
        <v>419.76998901367102</v>
      </c>
      <c r="E3103">
        <v>413.01998901367102</v>
      </c>
      <c r="F3103">
        <v>416.42999267578102</v>
      </c>
      <c r="G3103" s="2">
        <v>30398000</v>
      </c>
      <c r="H3103" s="3">
        <f t="shared" si="48"/>
        <v>-6.0683286131966163E-3</v>
      </c>
      <c r="J3103" s="3">
        <v>3.2827967725273854E-2</v>
      </c>
      <c r="K3103" s="3">
        <v>0.97516504243948443</v>
      </c>
    </row>
    <row r="3104" spans="1:11" x14ac:dyDescent="0.2">
      <c r="A3104" s="1">
        <v>46169</v>
      </c>
      <c r="B3104">
        <v>411.89462280273398</v>
      </c>
      <c r="C3104">
        <v>412.67001342773398</v>
      </c>
      <c r="D3104">
        <v>415.94000244140602</v>
      </c>
      <c r="E3104">
        <v>409.579986572265</v>
      </c>
      <c r="F3104">
        <v>411.010009765625</v>
      </c>
      <c r="G3104" s="2">
        <v>28901500</v>
      </c>
      <c r="H3104" s="3">
        <f t="shared" si="48"/>
        <v>-8.0762962436005115E-3</v>
      </c>
      <c r="J3104" s="3">
        <v>3.2916522411886806E-2</v>
      </c>
      <c r="K3104" s="3">
        <v>0.97547940899088337</v>
      </c>
    </row>
    <row r="3105" spans="1:11" x14ac:dyDescent="0.2">
      <c r="A3105" s="1">
        <v>46170</v>
      </c>
      <c r="B3105">
        <v>426.18768310546801</v>
      </c>
      <c r="C3105">
        <v>426.989990234375</v>
      </c>
      <c r="D3105">
        <v>429.489990234375</v>
      </c>
      <c r="E3105">
        <v>412.67001342773398</v>
      </c>
      <c r="F3105">
        <v>412.98001098632801</v>
      </c>
      <c r="G3105" s="2">
        <v>47250500</v>
      </c>
      <c r="H3105" s="3">
        <f t="shared" si="48"/>
        <v>3.4700769350852534E-2</v>
      </c>
      <c r="J3105" s="3">
        <v>3.2987572646287822E-2</v>
      </c>
      <c r="K3105" s="3">
        <v>0.9757937755422823</v>
      </c>
    </row>
    <row r="3106" spans="1:11" x14ac:dyDescent="0.2">
      <c r="A3106" s="1">
        <v>46171</v>
      </c>
      <c r="B3106">
        <v>449.39401245117102</v>
      </c>
      <c r="C3106">
        <v>450.239990234375</v>
      </c>
      <c r="D3106">
        <v>450.329986572265</v>
      </c>
      <c r="E3106">
        <v>432.35998535156199</v>
      </c>
      <c r="F3106">
        <v>432.54998779296801</v>
      </c>
      <c r="G3106" s="2">
        <v>79654400</v>
      </c>
      <c r="H3106" s="3">
        <f t="shared" si="48"/>
        <v>5.4450962018909754E-2</v>
      </c>
      <c r="J3106" s="3">
        <v>3.3117253391594659E-2</v>
      </c>
      <c r="K3106" s="3">
        <v>0.97610814209368124</v>
      </c>
    </row>
    <row r="3107" spans="1:11" x14ac:dyDescent="0.2">
      <c r="A3107" s="1">
        <v>46174</v>
      </c>
      <c r="B3107">
        <v>459.654693603515</v>
      </c>
      <c r="C3107">
        <v>460.51998901367102</v>
      </c>
      <c r="D3107">
        <v>466.32000732421801</v>
      </c>
      <c r="E3107">
        <v>458.26998901367102</v>
      </c>
      <c r="F3107">
        <v>464.83999633789</v>
      </c>
      <c r="G3107" s="2">
        <v>53628900</v>
      </c>
      <c r="H3107" s="3">
        <f t="shared" si="48"/>
        <v>2.2832260484242362E-2</v>
      </c>
      <c r="J3107" s="3">
        <v>3.3152377623085094E-2</v>
      </c>
      <c r="K3107" s="3">
        <v>0.97642250864508018</v>
      </c>
    </row>
    <row r="3108" spans="1:11" x14ac:dyDescent="0.2">
      <c r="A3108" s="1">
        <v>46175</v>
      </c>
      <c r="B3108">
        <v>440.48077392578102</v>
      </c>
      <c r="C3108">
        <v>441.30999755859301</v>
      </c>
      <c r="D3108">
        <v>453.5</v>
      </c>
      <c r="E3108">
        <v>440.42999267578102</v>
      </c>
      <c r="F3108">
        <v>446.88000488281199</v>
      </c>
      <c r="G3108" s="2">
        <v>37036800</v>
      </c>
      <c r="H3108" s="3">
        <f t="shared" si="48"/>
        <v>-4.171374717707732E-2</v>
      </c>
      <c r="J3108" s="3">
        <v>3.3325520339848369E-2</v>
      </c>
      <c r="K3108" s="3">
        <v>0.97673687519647912</v>
      </c>
    </row>
    <row r="3109" spans="1:11" x14ac:dyDescent="0.2">
      <c r="A3109" s="1">
        <v>46176</v>
      </c>
      <c r="B3109">
        <v>426.53704833984301</v>
      </c>
      <c r="C3109">
        <v>427.33999633789</v>
      </c>
      <c r="D3109">
        <v>440.39001464843699</v>
      </c>
      <c r="E3109">
        <v>424.25</v>
      </c>
      <c r="F3109">
        <v>438.45001220703102</v>
      </c>
      <c r="G3109" s="2">
        <v>39037000</v>
      </c>
      <c r="H3109" s="3">
        <f t="shared" si="48"/>
        <v>-3.165569625585396E-2</v>
      </c>
      <c r="J3109" s="3">
        <v>3.3412262812664739E-2</v>
      </c>
      <c r="K3109" s="3">
        <v>0.97705124174787805</v>
      </c>
    </row>
    <row r="3110" spans="1:11" x14ac:dyDescent="0.2">
      <c r="A3110" s="1">
        <v>46177</v>
      </c>
      <c r="B3110">
        <v>427.24569702148398</v>
      </c>
      <c r="C3110">
        <v>428.04998779296801</v>
      </c>
      <c r="D3110">
        <v>436.14999389648398</v>
      </c>
      <c r="E3110">
        <v>426.41000366210898</v>
      </c>
      <c r="F3110">
        <v>435.80999755859301</v>
      </c>
      <c r="G3110" s="2">
        <v>26899500</v>
      </c>
      <c r="H3110" s="3">
        <f t="shared" si="48"/>
        <v>1.6614000692298792E-3</v>
      </c>
      <c r="J3110" s="3">
        <v>3.3417438056202675E-2</v>
      </c>
      <c r="K3110" s="3">
        <v>0.97736560829927699</v>
      </c>
    </row>
    <row r="3111" spans="1:11" x14ac:dyDescent="0.2">
      <c r="A3111" s="1">
        <v>46178</v>
      </c>
      <c r="B3111">
        <v>415.88708496093699</v>
      </c>
      <c r="C3111">
        <v>416.67001342773398</v>
      </c>
      <c r="D3111">
        <v>429.47000122070301</v>
      </c>
      <c r="E3111">
        <v>414.39999389648398</v>
      </c>
      <c r="F3111">
        <v>428.33999633789</v>
      </c>
      <c r="G3111" s="2">
        <v>34782200</v>
      </c>
      <c r="H3111" s="3">
        <f t="shared" si="48"/>
        <v>-2.6585667543834401E-2</v>
      </c>
      <c r="J3111" s="3">
        <v>3.3662662939897281E-2</v>
      </c>
      <c r="K3111" s="3">
        <v>0.97767997485067593</v>
      </c>
    </row>
    <row r="3112" spans="1:11" x14ac:dyDescent="0.2">
      <c r="A3112" s="1">
        <v>46181</v>
      </c>
      <c r="B3112">
        <v>410.96633911132801</v>
      </c>
      <c r="C3112">
        <v>411.739990234375</v>
      </c>
      <c r="D3112">
        <v>417.16000366210898</v>
      </c>
      <c r="E3112">
        <v>408.55999755859301</v>
      </c>
      <c r="F3112">
        <v>414.14001464843699</v>
      </c>
      <c r="G3112" s="2">
        <v>32086700</v>
      </c>
      <c r="H3112" s="3">
        <f t="shared" si="48"/>
        <v>-1.183192752925033E-2</v>
      </c>
      <c r="J3112" s="3">
        <v>3.3812219263853915E-2</v>
      </c>
      <c r="K3112" s="3">
        <v>0.97799434140207486</v>
      </c>
    </row>
    <row r="3113" spans="1:11" x14ac:dyDescent="0.2">
      <c r="A3113" s="1">
        <v>46182</v>
      </c>
      <c r="B3113">
        <v>402.65200805664</v>
      </c>
      <c r="C3113">
        <v>403.41000366210898</v>
      </c>
      <c r="D3113">
        <v>411.98001098632801</v>
      </c>
      <c r="E3113">
        <v>398.48001098632801</v>
      </c>
      <c r="F3113">
        <v>409.02999877929602</v>
      </c>
      <c r="G3113" s="2">
        <v>35317300</v>
      </c>
      <c r="H3113" s="3">
        <f t="shared" si="48"/>
        <v>-2.0231172880647352E-2</v>
      </c>
      <c r="J3113" s="3">
        <v>3.3965219510655453E-2</v>
      </c>
      <c r="K3113" s="3">
        <v>0.9783087079534738</v>
      </c>
    </row>
    <row r="3114" spans="1:11" x14ac:dyDescent="0.2">
      <c r="A3114" s="1">
        <v>46183</v>
      </c>
      <c r="B3114">
        <v>396.61334228515602</v>
      </c>
      <c r="C3114">
        <v>397.35998535156199</v>
      </c>
      <c r="D3114">
        <v>405.04000854492102</v>
      </c>
      <c r="E3114">
        <v>397.16000366210898</v>
      </c>
      <c r="F3114">
        <v>398.54998779296801</v>
      </c>
      <c r="G3114" s="2">
        <v>32576000</v>
      </c>
      <c r="H3114" s="3">
        <f t="shared" si="48"/>
        <v>-1.4997232475330247E-2</v>
      </c>
      <c r="J3114" s="3">
        <v>3.4149751895529157E-2</v>
      </c>
      <c r="K3114" s="3">
        <v>0.97862307450487274</v>
      </c>
    </row>
    <row r="3115" spans="1:11" x14ac:dyDescent="0.2">
      <c r="A3115" s="1">
        <v>46184</v>
      </c>
      <c r="B3115">
        <v>389.60656738281199</v>
      </c>
      <c r="C3115">
        <v>390.33999633789</v>
      </c>
      <c r="D3115">
        <v>396.850006103515</v>
      </c>
      <c r="E3115">
        <v>384</v>
      </c>
      <c r="F3115">
        <v>395.20999145507801</v>
      </c>
      <c r="G3115" s="2">
        <v>47224100</v>
      </c>
      <c r="H3115" s="3">
        <f t="shared" si="48"/>
        <v>-1.7666513340104273E-2</v>
      </c>
      <c r="J3115" s="3">
        <v>3.4482636338056816E-2</v>
      </c>
      <c r="K3115" s="3">
        <v>0.97893744105627156</v>
      </c>
    </row>
    <row r="3116" spans="1:11" x14ac:dyDescent="0.2">
      <c r="A3116" s="1">
        <v>46185</v>
      </c>
      <c r="B3116">
        <v>390.00579833984301</v>
      </c>
      <c r="C3116">
        <v>390.739990234375</v>
      </c>
      <c r="D3116">
        <v>391.739990234375</v>
      </c>
      <c r="E3116">
        <v>382.26998901367102</v>
      </c>
      <c r="F3116">
        <v>391.42999267578102</v>
      </c>
      <c r="G3116" s="2">
        <v>34865800</v>
      </c>
      <c r="H3116" s="3">
        <f t="shared" si="48"/>
        <v>1.0247028424414939E-3</v>
      </c>
      <c r="J3116" s="3">
        <v>3.4557841465914452E-2</v>
      </c>
      <c r="K3116" s="3">
        <v>0.9792518076076705</v>
      </c>
    </row>
    <row r="3117" spans="1:11" x14ac:dyDescent="0.2">
      <c r="A3117" s="1">
        <v>46188</v>
      </c>
      <c r="B3117">
        <v>399.00888061523398</v>
      </c>
      <c r="C3117">
        <v>399.760009765625</v>
      </c>
      <c r="D3117">
        <v>401.75</v>
      </c>
      <c r="E3117">
        <v>392.850006103515</v>
      </c>
      <c r="F3117">
        <v>396.79998779296801</v>
      </c>
      <c r="G3117" s="2">
        <v>32266400</v>
      </c>
      <c r="H3117" s="3">
        <f t="shared" si="48"/>
        <v>2.3084483137724598E-2</v>
      </c>
      <c r="J3117" s="3">
        <v>3.4700769350852534E-2</v>
      </c>
      <c r="K3117" s="3">
        <v>0.97956617415906944</v>
      </c>
    </row>
    <row r="3118" spans="1:11" x14ac:dyDescent="0.2">
      <c r="A3118" s="1">
        <v>46189</v>
      </c>
      <c r="B3118">
        <v>393.08999633789</v>
      </c>
      <c r="C3118">
        <v>393.829986572265</v>
      </c>
      <c r="D3118">
        <v>396.83999633789</v>
      </c>
      <c r="E3118">
        <v>390.69000244140602</v>
      </c>
      <c r="F3118">
        <v>395.79000854492102</v>
      </c>
      <c r="G3118" s="2">
        <v>31506800</v>
      </c>
      <c r="H3118" s="3">
        <f t="shared" si="48"/>
        <v>-1.483396627217326E-2</v>
      </c>
      <c r="J3118" s="3">
        <v>3.574346725075328E-2</v>
      </c>
      <c r="K3118" s="3">
        <v>0.97988054071046837</v>
      </c>
    </row>
    <row r="3119" spans="1:11" x14ac:dyDescent="0.2">
      <c r="A3119" s="1">
        <v>46190</v>
      </c>
      <c r="B3119">
        <v>378.19802856445301</v>
      </c>
      <c r="C3119">
        <v>378.91000366210898</v>
      </c>
      <c r="D3119">
        <v>390.36999511718699</v>
      </c>
      <c r="E3119">
        <v>377.32000732421801</v>
      </c>
      <c r="F3119">
        <v>390.25</v>
      </c>
      <c r="G3119" s="2">
        <v>41987800</v>
      </c>
      <c r="H3119" s="3">
        <f t="shared" si="48"/>
        <v>-3.7884372312126269E-2</v>
      </c>
      <c r="J3119" s="3">
        <v>3.5855682701007252E-2</v>
      </c>
      <c r="K3119" s="3">
        <v>0.98019490726186731</v>
      </c>
    </row>
    <row r="3120" spans="1:11" x14ac:dyDescent="0.2">
      <c r="A3120" s="1">
        <v>46191</v>
      </c>
      <c r="B3120">
        <v>378.68710327148398</v>
      </c>
      <c r="C3120">
        <v>379.39999389648398</v>
      </c>
      <c r="D3120">
        <v>381.36999511718699</v>
      </c>
      <c r="E3120">
        <v>373.27999877929602</v>
      </c>
      <c r="F3120">
        <v>377.82000732421801</v>
      </c>
      <c r="G3120" s="2">
        <v>59714200</v>
      </c>
      <c r="H3120" s="3">
        <f t="shared" si="48"/>
        <v>1.2931709583134943E-3</v>
      </c>
      <c r="J3120" s="3">
        <v>3.6400848374358974E-2</v>
      </c>
      <c r="K3120" s="3">
        <v>0.98050927381326625</v>
      </c>
    </row>
    <row r="3121" spans="1:11" x14ac:dyDescent="0.2">
      <c r="A3121" s="1">
        <v>46195</v>
      </c>
      <c r="B3121">
        <v>366.64978027343699</v>
      </c>
      <c r="C3121">
        <v>367.33999633789</v>
      </c>
      <c r="D3121">
        <v>381.63000488281199</v>
      </c>
      <c r="E3121">
        <v>367.07000732421801</v>
      </c>
      <c r="F3121">
        <v>375.739990234375</v>
      </c>
      <c r="G3121" s="2">
        <v>45171100</v>
      </c>
      <c r="H3121" s="3">
        <f t="shared" si="48"/>
        <v>-3.1786989559603018E-2</v>
      </c>
      <c r="J3121" s="3">
        <v>3.6499657594362134E-2</v>
      </c>
      <c r="K3121" s="3">
        <v>0.98082364036466518</v>
      </c>
    </row>
    <row r="3122" spans="1:11" x14ac:dyDescent="0.2">
      <c r="A3122" s="1">
        <v>46196</v>
      </c>
      <c r="B3122">
        <v>373.23736572265602</v>
      </c>
      <c r="C3122">
        <v>373.94000244140602</v>
      </c>
      <c r="D3122">
        <v>377.22000122070301</v>
      </c>
      <c r="E3122">
        <v>370.67001342773398</v>
      </c>
      <c r="F3122">
        <v>372.38000488281199</v>
      </c>
      <c r="G3122" s="2">
        <v>40647600</v>
      </c>
      <c r="H3122" s="3">
        <f t="shared" si="48"/>
        <v>1.7966969581452386E-2</v>
      </c>
      <c r="J3122" s="3">
        <v>3.6714986644011516E-2</v>
      </c>
      <c r="K3122" s="3">
        <v>0.98113800691606412</v>
      </c>
    </row>
    <row r="3123" spans="1:11" x14ac:dyDescent="0.2">
      <c r="A3123" s="1">
        <v>46197</v>
      </c>
      <c r="B3123">
        <v>364.77331542968699</v>
      </c>
      <c r="C3123">
        <v>365.45999145507801</v>
      </c>
      <c r="D3123">
        <v>378.88000488281199</v>
      </c>
      <c r="E3123">
        <v>364.77999877929602</v>
      </c>
      <c r="F3123">
        <v>371.57000732421801</v>
      </c>
      <c r="G3123" s="2">
        <v>44509900</v>
      </c>
      <c r="H3123" s="3">
        <f t="shared" si="48"/>
        <v>-2.2677392646851091E-2</v>
      </c>
      <c r="J3123" s="3">
        <v>3.6825095073083958E-2</v>
      </c>
      <c r="K3123" s="3">
        <v>0.98145237346746306</v>
      </c>
    </row>
    <row r="3124" spans="1:11" x14ac:dyDescent="0.2">
      <c r="A3124" s="1">
        <v>46198</v>
      </c>
      <c r="B3124">
        <v>352.16702270507801</v>
      </c>
      <c r="C3124">
        <v>352.829986572265</v>
      </c>
      <c r="D3124">
        <v>364.23001098632801</v>
      </c>
      <c r="E3124">
        <v>349.20001220703102</v>
      </c>
      <c r="F3124">
        <v>362.76998901367102</v>
      </c>
      <c r="G3124" s="2">
        <v>66179000</v>
      </c>
      <c r="H3124" s="3">
        <f t="shared" si="48"/>
        <v>-3.45592514347145E-2</v>
      </c>
      <c r="J3124" s="3">
        <v>3.7091459319180675E-2</v>
      </c>
      <c r="K3124" s="3">
        <v>0.98176674001886199</v>
      </c>
    </row>
    <row r="3125" spans="1:11" x14ac:dyDescent="0.2">
      <c r="A3125" s="1">
        <v>46199</v>
      </c>
      <c r="B3125">
        <v>372.26919555664</v>
      </c>
      <c r="C3125">
        <v>372.97000122070301</v>
      </c>
      <c r="D3125">
        <v>376.60998535156199</v>
      </c>
      <c r="E3125">
        <v>355.42999267578102</v>
      </c>
      <c r="F3125">
        <v>357.14999389648398</v>
      </c>
      <c r="G3125" s="2">
        <v>186201600</v>
      </c>
      <c r="H3125" s="3">
        <f t="shared" si="48"/>
        <v>5.7081360705361961E-2</v>
      </c>
      <c r="J3125" s="3">
        <v>3.7147922598569805E-2</v>
      </c>
      <c r="K3125" s="3">
        <v>0.98208110657026093</v>
      </c>
    </row>
    <row r="3126" spans="1:11" x14ac:dyDescent="0.2">
      <c r="A3126" s="1">
        <v>46202</v>
      </c>
      <c r="B3126">
        <v>367.87747192382801</v>
      </c>
      <c r="C3126">
        <v>368.57000732421801</v>
      </c>
      <c r="D3126">
        <v>380.5</v>
      </c>
      <c r="E3126">
        <v>359.89999389648398</v>
      </c>
      <c r="F3126">
        <v>377.5</v>
      </c>
      <c r="G3126" s="2">
        <v>51229900</v>
      </c>
      <c r="H3126" s="3">
        <f t="shared" si="48"/>
        <v>-1.1797171738169743E-2</v>
      </c>
      <c r="J3126" s="3">
        <v>3.72898202942471E-2</v>
      </c>
      <c r="K3126" s="3">
        <v>0.98239547312165987</v>
      </c>
    </row>
    <row r="3127" spans="1:11" x14ac:dyDescent="0.2">
      <c r="A3127" s="1">
        <v>46203</v>
      </c>
      <c r="B3127">
        <v>372.319091796875</v>
      </c>
      <c r="C3127">
        <v>373.01998901367102</v>
      </c>
      <c r="D3127">
        <v>374.14999389648398</v>
      </c>
      <c r="E3127">
        <v>367.45001220703102</v>
      </c>
      <c r="F3127">
        <v>371.02999877929602</v>
      </c>
      <c r="G3127" s="2">
        <v>44945700</v>
      </c>
      <c r="H3127" s="3">
        <f t="shared" si="48"/>
        <v>1.2073639219654764E-2</v>
      </c>
      <c r="J3127" s="3">
        <v>3.7608178829729111E-2</v>
      </c>
      <c r="K3127" s="3">
        <v>0.9827098396730588</v>
      </c>
    </row>
    <row r="3128" spans="1:11" x14ac:dyDescent="0.2">
      <c r="A3128" s="1">
        <v>46204</v>
      </c>
      <c r="B3128">
        <v>383.55795288085898</v>
      </c>
      <c r="C3128">
        <v>384.27999877929602</v>
      </c>
      <c r="D3128">
        <v>388.829986572265</v>
      </c>
      <c r="E3128">
        <v>374.89001464843699</v>
      </c>
      <c r="F3128">
        <v>380.829986572265</v>
      </c>
      <c r="G3128" s="2">
        <v>48065800</v>
      </c>
      <c r="H3128" s="3">
        <f t="shared" si="48"/>
        <v>3.0186099320728799E-2</v>
      </c>
      <c r="J3128" s="3">
        <v>3.7840665261243078E-2</v>
      </c>
      <c r="K3128" s="3">
        <v>0.98302420622445774</v>
      </c>
    </row>
    <row r="3129" spans="1:11" x14ac:dyDescent="0.2">
      <c r="A3129" s="1">
        <v>46205</v>
      </c>
      <c r="B3129">
        <v>389.756256103515</v>
      </c>
      <c r="C3129">
        <v>390.489990234375</v>
      </c>
      <c r="D3129">
        <v>392.20001220703102</v>
      </c>
      <c r="E3129">
        <v>383.70001220703102</v>
      </c>
      <c r="F3129">
        <v>384.48001098632801</v>
      </c>
      <c r="G3129" s="2">
        <v>42128900</v>
      </c>
      <c r="H3129" s="3">
        <f t="shared" si="48"/>
        <v>1.6160017478718203E-2</v>
      </c>
      <c r="J3129" s="3">
        <v>3.8398213772743439E-2</v>
      </c>
      <c r="K3129" s="3">
        <v>0.98333857277585668</v>
      </c>
    </row>
    <row r="3130" spans="1:11" x14ac:dyDescent="0.2">
      <c r="A3130" s="1">
        <v>46209</v>
      </c>
      <c r="B3130">
        <v>386.01330566406199</v>
      </c>
      <c r="C3130">
        <v>386.739990234375</v>
      </c>
      <c r="D3130">
        <v>389.14999389648398</v>
      </c>
      <c r="E3130">
        <v>381.22000122070301</v>
      </c>
      <c r="F3130">
        <v>387.04000854492102</v>
      </c>
      <c r="G3130" s="2">
        <v>34224500</v>
      </c>
      <c r="H3130" s="3">
        <f t="shared" si="48"/>
        <v>-9.6033107380293359E-3</v>
      </c>
      <c r="J3130" s="3">
        <v>3.8457982906257682E-2</v>
      </c>
      <c r="K3130" s="3">
        <v>0.98365293932725562</v>
      </c>
    </row>
    <row r="3131" spans="1:11" x14ac:dyDescent="0.2">
      <c r="A3131" s="1">
        <v>46210</v>
      </c>
      <c r="B3131">
        <v>388.109375</v>
      </c>
      <c r="C3131">
        <v>388.83999633789</v>
      </c>
      <c r="D3131">
        <v>395.57000732421801</v>
      </c>
      <c r="E3131">
        <v>388.22000122070301</v>
      </c>
      <c r="F3131">
        <v>392.489990234375</v>
      </c>
      <c r="G3131" s="2">
        <v>29297500</v>
      </c>
      <c r="H3131" s="3">
        <f t="shared" si="48"/>
        <v>5.4300442631949331E-3</v>
      </c>
      <c r="J3131" s="3">
        <v>3.8742511738481422E-2</v>
      </c>
      <c r="K3131" s="3">
        <v>0.98396730587865455</v>
      </c>
    </row>
    <row r="3132" spans="1:11" x14ac:dyDescent="0.2">
      <c r="A3132" s="1">
        <v>46211</v>
      </c>
      <c r="B3132">
        <v>382.61972045898398</v>
      </c>
      <c r="C3132">
        <v>383.33999633789</v>
      </c>
      <c r="D3132">
        <v>385.30999755859301</v>
      </c>
      <c r="E3132">
        <v>381.329986572265</v>
      </c>
      <c r="F3132">
        <v>384.02999877929602</v>
      </c>
      <c r="G3132" s="2">
        <v>25908300</v>
      </c>
      <c r="H3132" s="3">
        <f t="shared" si="48"/>
        <v>-1.4144606893394474E-2</v>
      </c>
      <c r="J3132" s="3">
        <v>3.8915652246944044E-2</v>
      </c>
      <c r="K3132" s="3">
        <v>0.98428167243005349</v>
      </c>
    </row>
    <row r="3133" spans="1:11" x14ac:dyDescent="0.2">
      <c r="A3133" s="1">
        <v>46212</v>
      </c>
      <c r="B3133">
        <v>383.63778686523398</v>
      </c>
      <c r="C3133">
        <v>384.35998535156199</v>
      </c>
      <c r="D3133">
        <v>384.64999389648398</v>
      </c>
      <c r="E3133">
        <v>373.350006103515</v>
      </c>
      <c r="F3133">
        <v>374.45001220703102</v>
      </c>
      <c r="G3133" s="2">
        <v>31083200</v>
      </c>
      <c r="H3133" s="3">
        <f t="shared" si="48"/>
        <v>2.6607787100694225E-3</v>
      </c>
      <c r="J3133" s="3">
        <v>3.9245762055930555E-2</v>
      </c>
      <c r="K3133" s="3">
        <v>0.98459603898145243</v>
      </c>
    </row>
    <row r="3134" spans="1:11" x14ac:dyDescent="0.2">
      <c r="A3134" s="1">
        <v>46213</v>
      </c>
      <c r="B3134">
        <v>384.37640380859301</v>
      </c>
      <c r="C3134">
        <v>385.100006103515</v>
      </c>
      <c r="D3134">
        <v>391.91000366210898</v>
      </c>
      <c r="E3134">
        <v>381.5</v>
      </c>
      <c r="F3134">
        <v>387.79998779296801</v>
      </c>
      <c r="G3134" s="2">
        <v>24644600</v>
      </c>
      <c r="H3134" s="3">
        <f t="shared" si="48"/>
        <v>1.9252976861179327E-3</v>
      </c>
      <c r="J3134" s="3">
        <v>3.9361332859903397E-2</v>
      </c>
      <c r="K3134" s="3">
        <v>0.98491040553285125</v>
      </c>
    </row>
    <row r="3135" spans="1:11" x14ac:dyDescent="0.2">
      <c r="A3135" s="1">
        <v>46216</v>
      </c>
      <c r="B3135">
        <v>390.25534057617102</v>
      </c>
      <c r="C3135">
        <v>390.989990234375</v>
      </c>
      <c r="D3135">
        <v>393.64999389648398</v>
      </c>
      <c r="E3135">
        <v>384.14999389648398</v>
      </c>
      <c r="F3135">
        <v>387.75</v>
      </c>
      <c r="G3135" s="2">
        <v>28914900</v>
      </c>
      <c r="H3135" s="3">
        <f t="shared" si="48"/>
        <v>1.5294738983263834E-2</v>
      </c>
      <c r="J3135" s="3">
        <v>3.9421676846991049E-2</v>
      </c>
      <c r="K3135" s="3">
        <v>0.98522477208425019</v>
      </c>
    </row>
    <row r="3136" spans="1:11" x14ac:dyDescent="0.2">
      <c r="A3136" s="1">
        <v>46217</v>
      </c>
      <c r="B3136">
        <v>384.20672607421801</v>
      </c>
      <c r="C3136">
        <v>384.92999267578102</v>
      </c>
      <c r="D3136">
        <v>388.19000244140602</v>
      </c>
      <c r="E3136">
        <v>378.64999389648398</v>
      </c>
      <c r="F3136">
        <v>382.82000732421801</v>
      </c>
      <c r="G3136" s="2">
        <v>27863900</v>
      </c>
      <c r="H3136" s="3">
        <f t="shared" si="48"/>
        <v>-1.5499120378526743E-2</v>
      </c>
      <c r="J3136" s="3">
        <v>3.9474686861029396E-2</v>
      </c>
      <c r="K3136" s="3">
        <v>0.98553913863564913</v>
      </c>
    </row>
    <row r="3137" spans="1:11" x14ac:dyDescent="0.2">
      <c r="A3137" s="1">
        <v>46218</v>
      </c>
      <c r="B3137">
        <v>394.886627197265</v>
      </c>
      <c r="C3137">
        <v>395.63000488281199</v>
      </c>
      <c r="D3137">
        <v>398.95999145507801</v>
      </c>
      <c r="E3137">
        <v>386.39999389648398</v>
      </c>
      <c r="F3137">
        <v>387.79998779296801</v>
      </c>
      <c r="G3137" s="2">
        <v>36253700</v>
      </c>
      <c r="H3137" s="3">
        <f t="shared" si="48"/>
        <v>2.7797277866978165E-2</v>
      </c>
      <c r="J3137" s="3">
        <v>3.9799833916142502E-2</v>
      </c>
      <c r="K3137" s="3">
        <v>0.98585350518704806</v>
      </c>
    </row>
    <row r="3138" spans="1:11" x14ac:dyDescent="0.2">
      <c r="A3138" s="1">
        <v>46219</v>
      </c>
      <c r="B3138">
        <v>400.34634399414</v>
      </c>
      <c r="C3138">
        <v>401.100006103515</v>
      </c>
      <c r="D3138">
        <v>405.989990234375</v>
      </c>
      <c r="E3138">
        <v>392.04998779296801</v>
      </c>
      <c r="F3138">
        <v>398.30999755859301</v>
      </c>
      <c r="G3138" s="2">
        <v>37047400</v>
      </c>
      <c r="H3138" s="3">
        <f t="shared" ref="H3138:H3183" si="49">B3138/B3137-1</f>
        <v>1.3826036185691448E-2</v>
      </c>
      <c r="J3138" s="3">
        <v>4.0220306025865682E-2</v>
      </c>
      <c r="K3138" s="3">
        <v>0.986167871738447</v>
      </c>
    </row>
    <row r="3139" spans="1:11" x14ac:dyDescent="0.2">
      <c r="A3139" s="1">
        <v>46220</v>
      </c>
      <c r="B3139">
        <v>393.08001708984301</v>
      </c>
      <c r="C3139">
        <v>393.82000732421801</v>
      </c>
      <c r="D3139">
        <v>398.39001464843699</v>
      </c>
      <c r="E3139">
        <v>389.39001464843699</v>
      </c>
      <c r="F3139">
        <v>394.85998535156199</v>
      </c>
      <c r="G3139" s="2">
        <v>33049800</v>
      </c>
      <c r="H3139" s="3">
        <f t="shared" si="49"/>
        <v>-1.8150101813851793E-2</v>
      </c>
      <c r="J3139" s="3">
        <v>4.053637107566499E-2</v>
      </c>
      <c r="K3139" s="3">
        <v>0.98648223828984594</v>
      </c>
    </row>
    <row r="3140" spans="1:11" x14ac:dyDescent="0.2">
      <c r="A3140" s="1">
        <v>46223</v>
      </c>
      <c r="B3140">
        <v>401.53411865234301</v>
      </c>
      <c r="C3140">
        <v>402.29000854492102</v>
      </c>
      <c r="D3140">
        <v>403.17999267578102</v>
      </c>
      <c r="E3140">
        <v>389.64999389648398</v>
      </c>
      <c r="F3140">
        <v>391.41000366210898</v>
      </c>
      <c r="G3140" s="2">
        <v>27915800</v>
      </c>
      <c r="H3140" s="3">
        <f t="shared" si="49"/>
        <v>2.1507329792772811E-2</v>
      </c>
      <c r="J3140" s="3">
        <v>4.130697182853571E-2</v>
      </c>
      <c r="K3140" s="3">
        <v>0.98679660484124487</v>
      </c>
    </row>
    <row r="3141" spans="1:11" x14ac:dyDescent="0.2">
      <c r="A3141" s="1">
        <v>46224</v>
      </c>
      <c r="B3141">
        <v>397.00262451171801</v>
      </c>
      <c r="C3141">
        <v>397.75</v>
      </c>
      <c r="D3141">
        <v>401.47000122070301</v>
      </c>
      <c r="E3141">
        <v>396.32000732421801</v>
      </c>
      <c r="F3141">
        <v>398.80999755859301</v>
      </c>
      <c r="G3141" s="2">
        <v>24126600</v>
      </c>
      <c r="H3141" s="3">
        <f t="shared" si="49"/>
        <v>-1.1285452294400034E-2</v>
      </c>
      <c r="J3141" s="3">
        <v>4.2022007903555814E-2</v>
      </c>
      <c r="K3141" s="3">
        <v>0.98711097139264381</v>
      </c>
    </row>
    <row r="3142" spans="1:11" x14ac:dyDescent="0.2">
      <c r="A3142" s="1">
        <v>46225</v>
      </c>
      <c r="B3142">
        <v>389.60656738281199</v>
      </c>
      <c r="C3142">
        <v>390.33999633789</v>
      </c>
      <c r="D3142">
        <v>401</v>
      </c>
      <c r="E3142">
        <v>386.95999145507801</v>
      </c>
      <c r="F3142">
        <v>399.579986572265</v>
      </c>
      <c r="G3142" s="2">
        <v>28142500</v>
      </c>
      <c r="H3142" s="3">
        <f t="shared" si="49"/>
        <v>-1.8629743664799636E-2</v>
      </c>
      <c r="J3142" s="3">
        <v>4.2096418810716241E-2</v>
      </c>
      <c r="K3142" s="3">
        <v>0.98742533794404275</v>
      </c>
    </row>
    <row r="3143" spans="1:11" x14ac:dyDescent="0.2">
      <c r="A3143" s="1">
        <v>46226</v>
      </c>
      <c r="B3143">
        <v>380.86300659179602</v>
      </c>
      <c r="C3143">
        <v>381.579986572265</v>
      </c>
      <c r="D3143">
        <v>391.77999877929602</v>
      </c>
      <c r="E3143">
        <v>377.39001464843699</v>
      </c>
      <c r="F3143">
        <v>389.97000122070301</v>
      </c>
      <c r="G3143" s="2">
        <v>30351800</v>
      </c>
      <c r="H3143" s="3">
        <f t="shared" si="49"/>
        <v>-2.244202619517166E-2</v>
      </c>
      <c r="J3143" s="3">
        <v>4.2114050157265215E-2</v>
      </c>
      <c r="K3143" s="3">
        <v>0.98773970449544168</v>
      </c>
    </row>
    <row r="3144" spans="1:11" x14ac:dyDescent="0.2">
      <c r="A3144" s="1">
        <v>46227</v>
      </c>
      <c r="B3144">
        <v>380.982818603515</v>
      </c>
      <c r="C3144">
        <v>381.70001220703102</v>
      </c>
      <c r="D3144">
        <v>389.02999877929602</v>
      </c>
      <c r="E3144">
        <v>380.64999389648398</v>
      </c>
      <c r="F3144">
        <v>387.04998779296801</v>
      </c>
      <c r="G3144" s="2">
        <v>27659400</v>
      </c>
      <c r="H3144" s="3">
        <f t="shared" si="49"/>
        <v>3.1458033372988581E-4</v>
      </c>
      <c r="J3144" s="3">
        <v>4.2583638983072492E-2</v>
      </c>
      <c r="K3144" s="3">
        <v>0.98805407104684062</v>
      </c>
    </row>
    <row r="3145" spans="1:11" x14ac:dyDescent="0.2">
      <c r="A3145" s="1">
        <v>46230</v>
      </c>
      <c r="B3145">
        <v>388.368896484375</v>
      </c>
      <c r="C3145">
        <v>389.100006103515</v>
      </c>
      <c r="D3145">
        <v>394.20001220703102</v>
      </c>
      <c r="E3145">
        <v>387.989990234375</v>
      </c>
      <c r="F3145">
        <v>390.079986572265</v>
      </c>
      <c r="G3145" s="2">
        <v>27856200</v>
      </c>
      <c r="H3145" s="3">
        <f t="shared" si="49"/>
        <v>1.9386905446113101E-2</v>
      </c>
      <c r="J3145" s="3">
        <v>4.2980861764063016E-2</v>
      </c>
      <c r="K3145" s="3">
        <v>0.98836843759823956</v>
      </c>
    </row>
    <row r="3146" spans="1:11" x14ac:dyDescent="0.2">
      <c r="A3146" s="1">
        <v>46231</v>
      </c>
      <c r="B3146">
        <v>392.61090087890602</v>
      </c>
      <c r="C3146">
        <v>393.350006103515</v>
      </c>
      <c r="D3146">
        <v>400.32000732421801</v>
      </c>
      <c r="E3146">
        <v>391.29998779296801</v>
      </c>
      <c r="F3146">
        <v>393.16000366210898</v>
      </c>
      <c r="G3146" s="2">
        <v>32367500</v>
      </c>
      <c r="H3146" s="3">
        <f t="shared" si="49"/>
        <v>1.0922616185103484E-2</v>
      </c>
      <c r="J3146" s="3">
        <v>4.4873310899051555E-2</v>
      </c>
      <c r="K3146" s="3">
        <v>0.98868280414963849</v>
      </c>
    </row>
    <row r="3147" spans="1:11" x14ac:dyDescent="0.2">
      <c r="A3147" s="1">
        <v>46232</v>
      </c>
      <c r="B3147">
        <v>389.80618286132801</v>
      </c>
      <c r="C3147">
        <v>390.54000854492102</v>
      </c>
      <c r="D3147">
        <v>401.25</v>
      </c>
      <c r="E3147">
        <v>388.739990234375</v>
      </c>
      <c r="F3147">
        <v>393.39999389648398</v>
      </c>
      <c r="G3147" s="2">
        <v>47209000</v>
      </c>
      <c r="H3147" s="3">
        <f t="shared" si="49"/>
        <v>-7.1437599192974988E-3</v>
      </c>
      <c r="J3147" s="3">
        <v>4.585843370900089E-2</v>
      </c>
      <c r="K3147" s="3">
        <v>0.98899717070103743</v>
      </c>
    </row>
    <row r="3148" spans="1:11" x14ac:dyDescent="0.2">
      <c r="A3148" s="1">
        <v>46233</v>
      </c>
      <c r="B3148">
        <v>450.25241088867102</v>
      </c>
      <c r="C3148">
        <v>451.100006103515</v>
      </c>
      <c r="D3148">
        <v>458.69000244140602</v>
      </c>
      <c r="E3148">
        <v>432.44000244140602</v>
      </c>
      <c r="F3148">
        <v>437.89999389648398</v>
      </c>
      <c r="G3148" s="2">
        <v>110160700</v>
      </c>
      <c r="H3148" s="3">
        <f t="shared" si="49"/>
        <v>0.15506739165511529</v>
      </c>
      <c r="J3148" s="3">
        <v>4.6068584303426086E-2</v>
      </c>
      <c r="K3148" s="3">
        <v>0.98931153725243637</v>
      </c>
    </row>
    <row r="3149" spans="1:11" x14ac:dyDescent="0.2">
      <c r="A3149" s="1">
        <v>46234</v>
      </c>
      <c r="B3149">
        <v>463.84680175781199</v>
      </c>
      <c r="C3149">
        <v>464.72000122070301</v>
      </c>
      <c r="D3149">
        <v>466.83999633789</v>
      </c>
      <c r="E3149">
        <v>449.329986572265</v>
      </c>
      <c r="F3149">
        <v>450</v>
      </c>
      <c r="G3149" s="2">
        <v>60846000</v>
      </c>
      <c r="H3149" s="3">
        <f t="shared" si="49"/>
        <v>3.0192821938053616E-2</v>
      </c>
      <c r="J3149" s="3">
        <v>4.650951775842449E-2</v>
      </c>
      <c r="K3149" s="3">
        <v>0.98962590380383531</v>
      </c>
    </row>
    <row r="3150" spans="1:11" x14ac:dyDescent="0.2">
      <c r="A3150" s="1">
        <v>46237</v>
      </c>
      <c r="B3150">
        <v>486.73370361328102</v>
      </c>
      <c r="C3150">
        <v>487.64999389648398</v>
      </c>
      <c r="D3150">
        <v>491.64999389648398</v>
      </c>
      <c r="E3150">
        <v>475</v>
      </c>
      <c r="F3150">
        <v>476.13000488281199</v>
      </c>
      <c r="G3150" s="2">
        <v>66762100</v>
      </c>
      <c r="H3150" s="3">
        <f t="shared" si="49"/>
        <v>4.9341510534805844E-2</v>
      </c>
      <c r="J3150" s="3">
        <v>4.6884594404226654E-2</v>
      </c>
      <c r="K3150" s="3">
        <v>0.98994027035523424</v>
      </c>
    </row>
    <row r="3151" spans="1:11" x14ac:dyDescent="0.2">
      <c r="A3151" s="1">
        <v>46238</v>
      </c>
      <c r="B3151">
        <v>491.884033203125</v>
      </c>
      <c r="C3151">
        <v>492.80999755859301</v>
      </c>
      <c r="D3151">
        <v>499.44000244140602</v>
      </c>
      <c r="E3151">
        <v>479.17001342773398</v>
      </c>
      <c r="F3151">
        <v>480.89999389648398</v>
      </c>
      <c r="G3151" s="2">
        <v>50455500</v>
      </c>
      <c r="H3151" s="3">
        <f t="shared" si="49"/>
        <v>1.0581411460949486E-2</v>
      </c>
      <c r="J3151" s="3">
        <v>4.8108660932762559E-2</v>
      </c>
      <c r="K3151" s="3">
        <v>0.99025463690663318</v>
      </c>
    </row>
    <row r="3152" spans="1:11" x14ac:dyDescent="0.2">
      <c r="A3152" s="1">
        <v>46239</v>
      </c>
      <c r="B3152">
        <v>486.54406738281199</v>
      </c>
      <c r="C3152">
        <v>487.45999145507801</v>
      </c>
      <c r="D3152">
        <v>498.239990234375</v>
      </c>
      <c r="E3152">
        <v>485.67999267578102</v>
      </c>
      <c r="F3152">
        <v>496.35998535156199</v>
      </c>
      <c r="G3152" s="2">
        <v>33388900</v>
      </c>
      <c r="H3152" s="3">
        <f t="shared" si="49"/>
        <v>-1.0856147912627678E-2</v>
      </c>
      <c r="J3152" s="3">
        <v>4.8248805914823834E-2</v>
      </c>
      <c r="K3152" s="3">
        <v>0.99056900345803212</v>
      </c>
    </row>
    <row r="3153" spans="1:11" x14ac:dyDescent="0.2">
      <c r="A3153" s="1">
        <v>46240</v>
      </c>
      <c r="B3153">
        <v>498.92074584960898</v>
      </c>
      <c r="C3153">
        <v>499.85998535156199</v>
      </c>
      <c r="D3153">
        <v>501.55999755859301</v>
      </c>
      <c r="E3153">
        <v>488.51998901367102</v>
      </c>
      <c r="F3153">
        <v>488.54998779296801</v>
      </c>
      <c r="G3153" s="2">
        <v>36441500</v>
      </c>
      <c r="H3153" s="3">
        <f t="shared" si="49"/>
        <v>2.5437939328646797E-2</v>
      </c>
      <c r="J3153" s="3">
        <v>4.9341510534805844E-2</v>
      </c>
      <c r="K3153" s="3">
        <v>0.99088337000943094</v>
      </c>
    </row>
    <row r="3154" spans="1:11" x14ac:dyDescent="0.2">
      <c r="A3154" s="1">
        <v>46241</v>
      </c>
      <c r="B3154">
        <v>499.05050659179602</v>
      </c>
      <c r="C3154">
        <v>499.989990234375</v>
      </c>
      <c r="D3154">
        <v>505.17999267578102</v>
      </c>
      <c r="E3154">
        <v>498.73001098632801</v>
      </c>
      <c r="F3154">
        <v>499.20999145507801</v>
      </c>
      <c r="G3154" s="2">
        <v>28846200</v>
      </c>
      <c r="H3154" s="3">
        <f t="shared" si="49"/>
        <v>2.6008287541956499E-4</v>
      </c>
      <c r="J3154" s="3">
        <v>4.9483522626999621E-2</v>
      </c>
      <c r="K3154" s="3">
        <v>0.99119773656082988</v>
      </c>
    </row>
    <row r="3155" spans="1:11" x14ac:dyDescent="0.2">
      <c r="A3155" s="1">
        <v>46244</v>
      </c>
      <c r="B3155">
        <v>505.109130859375</v>
      </c>
      <c r="C3155">
        <v>506.05999755859301</v>
      </c>
      <c r="D3155">
        <v>513.72998046875</v>
      </c>
      <c r="E3155">
        <v>502.26998901367102</v>
      </c>
      <c r="F3155">
        <v>503.44000244140602</v>
      </c>
      <c r="G3155" s="2">
        <v>31206100</v>
      </c>
      <c r="H3155" s="3">
        <f t="shared" si="49"/>
        <v>1.2140302810141668E-2</v>
      </c>
      <c r="J3155" s="3">
        <v>5.1093705094327202E-2</v>
      </c>
      <c r="K3155" s="3">
        <v>0.99151210311222882</v>
      </c>
    </row>
    <row r="3156" spans="1:11" x14ac:dyDescent="0.2">
      <c r="A3156" s="1">
        <v>46245</v>
      </c>
      <c r="B3156">
        <v>502.86334228515602</v>
      </c>
      <c r="C3156">
        <v>503.80999755859301</v>
      </c>
      <c r="D3156">
        <v>505.329986572265</v>
      </c>
      <c r="E3156">
        <v>499.54998779296801</v>
      </c>
      <c r="F3156">
        <v>504.329986572265</v>
      </c>
      <c r="G3156" s="2">
        <v>23049800</v>
      </c>
      <c r="H3156" s="3">
        <f t="shared" si="49"/>
        <v>-4.4461452724049444E-3</v>
      </c>
      <c r="J3156" s="3">
        <v>5.3117406256504074E-2</v>
      </c>
      <c r="K3156" s="3">
        <v>0.99182646966362775</v>
      </c>
    </row>
    <row r="3157" spans="1:11" x14ac:dyDescent="0.2">
      <c r="A3157" s="1">
        <v>46246</v>
      </c>
      <c r="B3157">
        <v>491.50473022460898</v>
      </c>
      <c r="C3157">
        <v>492.42999267578102</v>
      </c>
      <c r="D3157">
        <v>501.5</v>
      </c>
      <c r="E3157">
        <v>491.51998901367102</v>
      </c>
      <c r="F3157">
        <v>499.989990234375</v>
      </c>
      <c r="G3157" s="2">
        <v>29001500</v>
      </c>
      <c r="H3157" s="3">
        <f t="shared" si="49"/>
        <v>-2.2587870511559305E-2</v>
      </c>
      <c r="J3157" s="3">
        <v>5.4450962018909754E-2</v>
      </c>
      <c r="K3157" s="3">
        <v>0.99214083621502669</v>
      </c>
    </row>
    <row r="3158" spans="1:11" x14ac:dyDescent="0.2">
      <c r="A3158" s="1">
        <v>46247</v>
      </c>
      <c r="B3158">
        <v>495.94638061523398</v>
      </c>
      <c r="C3158">
        <v>496.88000488281199</v>
      </c>
      <c r="D3158">
        <v>501.33999633789</v>
      </c>
      <c r="E3158">
        <v>493.010009765625</v>
      </c>
      <c r="F3158">
        <v>493.26998901367102</v>
      </c>
      <c r="G3158" s="2">
        <v>23039000</v>
      </c>
      <c r="H3158" s="3">
        <f t="shared" si="49"/>
        <v>9.0368415957975401E-3</v>
      </c>
      <c r="J3158" s="3">
        <v>5.5348886161086241E-2</v>
      </c>
      <c r="K3158" s="3">
        <v>0.99245520276642563</v>
      </c>
    </row>
    <row r="3159" spans="1:11" x14ac:dyDescent="0.2">
      <c r="A3159" s="1">
        <v>46248</v>
      </c>
      <c r="B3159">
        <v>494.469146728515</v>
      </c>
      <c r="C3159">
        <v>495.39999389648398</v>
      </c>
      <c r="D3159">
        <v>500.010009765625</v>
      </c>
      <c r="E3159">
        <v>493.92001342773398</v>
      </c>
      <c r="F3159">
        <v>496.35998535156199</v>
      </c>
      <c r="G3159" s="2">
        <v>16217600</v>
      </c>
      <c r="H3159" s="3">
        <f t="shared" si="49"/>
        <v>-2.97861612557071E-3</v>
      </c>
      <c r="J3159" s="3">
        <v>5.6241161225679681E-2</v>
      </c>
      <c r="K3159" s="3">
        <v>0.99276956931782456</v>
      </c>
    </row>
    <row r="3160" spans="1:11" x14ac:dyDescent="0.2">
      <c r="A3160" s="1">
        <v>46251</v>
      </c>
      <c r="B3160">
        <v>479.44744873046801</v>
      </c>
      <c r="C3160">
        <v>480.350006103515</v>
      </c>
      <c r="D3160">
        <v>492.66000366210898</v>
      </c>
      <c r="E3160">
        <v>478.41000366210898</v>
      </c>
      <c r="F3160">
        <v>490.14001464843699</v>
      </c>
      <c r="G3160" s="2">
        <v>29635800</v>
      </c>
      <c r="H3160" s="3">
        <f t="shared" si="49"/>
        <v>-3.0379444496047681E-2</v>
      </c>
      <c r="J3160" s="3">
        <v>5.7081360705361961E-2</v>
      </c>
      <c r="K3160" s="3">
        <v>0.9930839358692235</v>
      </c>
    </row>
    <row r="3161" spans="1:11" x14ac:dyDescent="0.2">
      <c r="A3161" s="1">
        <v>46252</v>
      </c>
      <c r="B3161">
        <v>480.72503662109301</v>
      </c>
      <c r="C3161">
        <v>481.63000488281199</v>
      </c>
      <c r="D3161">
        <v>484.26998901367102</v>
      </c>
      <c r="E3161">
        <v>477.14999389648398</v>
      </c>
      <c r="F3161">
        <v>481.54000854492102</v>
      </c>
      <c r="G3161" s="2">
        <v>24087600</v>
      </c>
      <c r="H3161" s="3">
        <f t="shared" si="49"/>
        <v>2.6647089144138381E-3</v>
      </c>
      <c r="J3161" s="3">
        <v>5.8202014870079477E-2</v>
      </c>
      <c r="K3161" s="3">
        <v>0.99339830242062244</v>
      </c>
    </row>
    <row r="3162" spans="1:11" x14ac:dyDescent="0.2">
      <c r="A3162" s="1">
        <v>46253</v>
      </c>
      <c r="B3162">
        <v>483.39999389648398</v>
      </c>
      <c r="C3162">
        <v>484.30999755859301</v>
      </c>
      <c r="D3162">
        <v>489.29998779296801</v>
      </c>
      <c r="E3162">
        <v>479.35998535156199</v>
      </c>
      <c r="F3162">
        <v>480.07000732421801</v>
      </c>
      <c r="G3162" s="2">
        <v>19961900</v>
      </c>
      <c r="H3162" s="3">
        <f t="shared" si="49"/>
        <v>5.5644226358431137E-3</v>
      </c>
      <c r="J3162" s="3">
        <v>5.8444273421448312E-2</v>
      </c>
      <c r="K3162" s="3">
        <v>0.99371266897202137</v>
      </c>
    </row>
    <row r="3163" spans="1:11" x14ac:dyDescent="0.2">
      <c r="A3163" s="1">
        <v>46254</v>
      </c>
      <c r="B3163">
        <v>481.14999389648398</v>
      </c>
      <c r="C3163">
        <v>481.14999389648398</v>
      </c>
      <c r="D3163">
        <v>484.16000366210898</v>
      </c>
      <c r="E3163">
        <v>479.5</v>
      </c>
      <c r="F3163">
        <v>483.29998779296801</v>
      </c>
      <c r="G3163" s="2">
        <v>20020800</v>
      </c>
      <c r="H3163" s="3">
        <f t="shared" si="49"/>
        <v>-4.6545304683678346E-3</v>
      </c>
      <c r="J3163" s="3">
        <v>6.1623573796734554E-2</v>
      </c>
      <c r="K3163" s="3">
        <v>0.99402703552342031</v>
      </c>
    </row>
    <row r="3164" spans="1:11" x14ac:dyDescent="0.2">
      <c r="A3164" s="1">
        <v>46255</v>
      </c>
      <c r="B3164">
        <v>483.239990234375</v>
      </c>
      <c r="C3164">
        <v>483.239990234375</v>
      </c>
      <c r="D3164">
        <v>486.35998535156199</v>
      </c>
      <c r="E3164">
        <v>478.52999877929602</v>
      </c>
      <c r="F3164">
        <v>479.88000488281199</v>
      </c>
      <c r="G3164" s="2">
        <v>22510800</v>
      </c>
      <c r="H3164" s="3">
        <f t="shared" si="49"/>
        <v>4.3437521862270678E-3</v>
      </c>
      <c r="J3164" s="3">
        <v>6.2551197643381684E-2</v>
      </c>
      <c r="K3164" s="3">
        <v>0.99434140207481925</v>
      </c>
    </row>
    <row r="3165" spans="1:11" x14ac:dyDescent="0.2">
      <c r="A3165" s="1">
        <v>46258</v>
      </c>
      <c r="B3165">
        <v>487.30999755859301</v>
      </c>
      <c r="C3165">
        <v>487.30999755859301</v>
      </c>
      <c r="D3165">
        <v>490.60998535156199</v>
      </c>
      <c r="E3165">
        <v>481.85998535156199</v>
      </c>
      <c r="F3165">
        <v>483.20999145507801</v>
      </c>
      <c r="G3165" s="2">
        <v>17230800</v>
      </c>
      <c r="H3165" s="3">
        <f t="shared" si="49"/>
        <v>8.4223313601261562E-3</v>
      </c>
      <c r="J3165" s="3">
        <v>6.4118742127859729E-2</v>
      </c>
      <c r="K3165" s="3">
        <v>0.99465576862621818</v>
      </c>
    </row>
    <row r="3166" spans="1:11" x14ac:dyDescent="0.2">
      <c r="A3166" s="1">
        <v>46259</v>
      </c>
      <c r="B3166">
        <v>491.70999145507801</v>
      </c>
      <c r="C3166">
        <v>491.70999145507801</v>
      </c>
      <c r="D3166">
        <v>492.44000244140602</v>
      </c>
      <c r="E3166">
        <v>484.29998779296801</v>
      </c>
      <c r="F3166">
        <v>485.44000244140602</v>
      </c>
      <c r="G3166" s="2">
        <v>19519000</v>
      </c>
      <c r="H3166" s="3">
        <f t="shared" si="49"/>
        <v>9.0291476032275941E-3</v>
      </c>
      <c r="J3166" s="3">
        <v>6.6539039902274499E-2</v>
      </c>
      <c r="K3166" s="3">
        <v>0.99497013517761712</v>
      </c>
    </row>
    <row r="3167" spans="1:11" x14ac:dyDescent="0.2">
      <c r="A3167" s="1">
        <v>46260</v>
      </c>
      <c r="B3167">
        <v>496.36999511718699</v>
      </c>
      <c r="C3167">
        <v>496.36999511718699</v>
      </c>
      <c r="D3167">
        <v>497.39999389648398</v>
      </c>
      <c r="E3167">
        <v>487.30999755859301</v>
      </c>
      <c r="F3167">
        <v>487.850006103515</v>
      </c>
      <c r="G3167" s="2">
        <v>20758900</v>
      </c>
      <c r="H3167" s="3">
        <f t="shared" si="49"/>
        <v>9.4771384415415216E-3</v>
      </c>
      <c r="J3167" s="3">
        <v>6.6851948878619893E-2</v>
      </c>
      <c r="K3167" s="3">
        <v>0.99528450172901606</v>
      </c>
    </row>
    <row r="3168" spans="1:11" x14ac:dyDescent="0.2">
      <c r="A3168" s="1">
        <v>46261</v>
      </c>
      <c r="B3168">
        <v>505.05999755859301</v>
      </c>
      <c r="C3168">
        <v>505.05999755859301</v>
      </c>
      <c r="D3168">
        <v>506.48001098632801</v>
      </c>
      <c r="E3168">
        <v>490.079986572265</v>
      </c>
      <c r="F3168">
        <v>494.88000488281199</v>
      </c>
      <c r="G3168" s="2">
        <v>28688800</v>
      </c>
      <c r="H3168" s="3">
        <f t="shared" si="49"/>
        <v>1.7507106648044779E-2</v>
      </c>
      <c r="J3168" s="3">
        <v>6.8309572518034267E-2</v>
      </c>
      <c r="K3168" s="3">
        <v>0.99559886828041499</v>
      </c>
    </row>
    <row r="3169" spans="1:11" x14ac:dyDescent="0.2">
      <c r="A3169" s="1">
        <v>46262</v>
      </c>
      <c r="B3169">
        <v>513.530029296875</v>
      </c>
      <c r="C3169">
        <v>513.530029296875</v>
      </c>
      <c r="D3169">
        <v>517.780029296875</v>
      </c>
      <c r="E3169">
        <v>504.86999511718699</v>
      </c>
      <c r="F3169">
        <v>505.329986572265</v>
      </c>
      <c r="G3169" s="2">
        <v>29207300</v>
      </c>
      <c r="H3169" s="3">
        <f t="shared" si="49"/>
        <v>1.6770347640330252E-2</v>
      </c>
      <c r="J3169" s="3">
        <v>6.8383933805021391E-2</v>
      </c>
      <c r="K3169" s="3">
        <v>0.99591323483181393</v>
      </c>
    </row>
    <row r="3170" spans="1:11" x14ac:dyDescent="0.2">
      <c r="A3170" s="1">
        <v>46265</v>
      </c>
      <c r="B3170">
        <v>507.29000854492102</v>
      </c>
      <c r="C3170">
        <v>507.29000854492102</v>
      </c>
      <c r="D3170">
        <v>512.19000244140602</v>
      </c>
      <c r="E3170">
        <v>506.39001464843699</v>
      </c>
      <c r="F3170">
        <v>510.38000488281199</v>
      </c>
      <c r="G3170" s="2">
        <v>27208900</v>
      </c>
      <c r="H3170" s="3">
        <f t="shared" si="49"/>
        <v>-1.215122854742845E-2</v>
      </c>
      <c r="J3170" s="3">
        <v>7.034045159105129E-2</v>
      </c>
      <c r="K3170" s="3">
        <v>0.99622760138321287</v>
      </c>
    </row>
    <row r="3171" spans="1:11" x14ac:dyDescent="0.2">
      <c r="A3171" s="1">
        <v>46266</v>
      </c>
      <c r="B3171">
        <v>501.01998901367102</v>
      </c>
      <c r="C3171">
        <v>501.01998901367102</v>
      </c>
      <c r="D3171">
        <v>505.97000122070301</v>
      </c>
      <c r="E3171">
        <v>496.77999877929602</v>
      </c>
      <c r="F3171">
        <v>497.51998901367102</v>
      </c>
      <c r="G3171" s="2">
        <v>21046900</v>
      </c>
      <c r="H3171" s="3">
        <f t="shared" si="49"/>
        <v>-1.2359832493516909E-2</v>
      </c>
      <c r="J3171" s="3">
        <v>7.2434718554414523E-2</v>
      </c>
      <c r="K3171" s="3">
        <v>0.99654196793461181</v>
      </c>
    </row>
    <row r="3172" spans="1:11" x14ac:dyDescent="0.2">
      <c r="A3172" s="1">
        <v>46267</v>
      </c>
      <c r="B3172">
        <v>496.82000732421801</v>
      </c>
      <c r="C3172">
        <v>496.82000732421801</v>
      </c>
      <c r="D3172">
        <v>500.26998901367102</v>
      </c>
      <c r="E3172">
        <v>493.80999755859301</v>
      </c>
      <c r="F3172">
        <v>499.850006103515</v>
      </c>
      <c r="G3172" s="2">
        <v>15336100</v>
      </c>
      <c r="H3172" s="3">
        <f t="shared" si="49"/>
        <v>-8.3828625235516929E-3</v>
      </c>
      <c r="J3172" s="3">
        <v>7.4367932025830585E-2</v>
      </c>
      <c r="K3172" s="3">
        <v>0.99685633448601074</v>
      </c>
    </row>
    <row r="3173" spans="1:11" x14ac:dyDescent="0.2">
      <c r="A3173" s="1">
        <v>46268</v>
      </c>
      <c r="B3173">
        <v>510.11999511718699</v>
      </c>
      <c r="C3173">
        <v>510.11999511718699</v>
      </c>
      <c r="D3173">
        <v>515.65002441406205</v>
      </c>
      <c r="E3173">
        <v>500.79998779296801</v>
      </c>
      <c r="F3173">
        <v>501.66000366210898</v>
      </c>
      <c r="G3173" s="2">
        <v>24125900</v>
      </c>
      <c r="H3173" s="3">
        <f t="shared" si="49"/>
        <v>2.6770233881280747E-2</v>
      </c>
      <c r="J3173" s="3">
        <v>7.5705291015728982E-2</v>
      </c>
      <c r="K3173" s="3">
        <v>0.99717070103740957</v>
      </c>
    </row>
    <row r="3174" spans="1:11" x14ac:dyDescent="0.2">
      <c r="A3174" s="1">
        <v>46269</v>
      </c>
      <c r="B3174">
        <v>499.70001220703102</v>
      </c>
      <c r="C3174">
        <v>499.70001220703102</v>
      </c>
      <c r="D3174">
        <v>511</v>
      </c>
      <c r="E3174">
        <v>499.35998535156199</v>
      </c>
      <c r="F3174">
        <v>510</v>
      </c>
      <c r="G3174" s="2">
        <v>18101800</v>
      </c>
      <c r="H3174" s="3">
        <f t="shared" si="49"/>
        <v>-2.0426532992031121E-2</v>
      </c>
      <c r="J3174" s="3">
        <v>7.6253509229041283E-2</v>
      </c>
      <c r="K3174" s="3">
        <v>0.9974850675888085</v>
      </c>
    </row>
    <row r="3175" spans="1:11" x14ac:dyDescent="0.2">
      <c r="A3175" s="1">
        <v>46273</v>
      </c>
      <c r="B3175">
        <v>493.95001220703102</v>
      </c>
      <c r="C3175">
        <v>493.95001220703102</v>
      </c>
      <c r="D3175">
        <v>495.19000244140602</v>
      </c>
      <c r="E3175">
        <v>490.14999389648398</v>
      </c>
      <c r="F3175">
        <v>493.010009765625</v>
      </c>
      <c r="G3175" s="2">
        <v>18882300</v>
      </c>
      <c r="H3175" s="3">
        <f t="shared" si="49"/>
        <v>-1.150690386138653E-2</v>
      </c>
      <c r="J3175" s="3">
        <v>8.2267894263721164E-2</v>
      </c>
      <c r="K3175" s="3">
        <v>0.99779943414020744</v>
      </c>
    </row>
    <row r="3176" spans="1:11" x14ac:dyDescent="0.2">
      <c r="A3176" s="1">
        <v>46274</v>
      </c>
      <c r="B3176">
        <v>491.64999389648398</v>
      </c>
      <c r="C3176">
        <v>491.64999389648398</v>
      </c>
      <c r="D3176">
        <v>494.39001464843699</v>
      </c>
      <c r="E3176">
        <v>489.79998779296801</v>
      </c>
      <c r="F3176">
        <v>493.07000732421801</v>
      </c>
      <c r="G3176" s="2">
        <v>12889600</v>
      </c>
      <c r="H3176" s="3">
        <f t="shared" si="49"/>
        <v>-4.6563786895565951E-3</v>
      </c>
      <c r="J3176" s="3">
        <v>8.2336890660574369E-2</v>
      </c>
      <c r="K3176" s="3">
        <v>0.99811380069160638</v>
      </c>
    </row>
    <row r="3177" spans="1:11" x14ac:dyDescent="0.2">
      <c r="A3177" s="1">
        <v>46275</v>
      </c>
      <c r="B3177">
        <v>492.44000244140602</v>
      </c>
      <c r="C3177">
        <v>492.44000244140602</v>
      </c>
      <c r="D3177">
        <v>494.51998901367102</v>
      </c>
      <c r="E3177">
        <v>486</v>
      </c>
      <c r="F3177">
        <v>488.32000732421801</v>
      </c>
      <c r="G3177" s="2">
        <v>16038800</v>
      </c>
      <c r="H3177" s="3">
        <f t="shared" si="49"/>
        <v>1.6068515300100561E-3</v>
      </c>
      <c r="J3177" s="3">
        <v>9.089551548390773E-2</v>
      </c>
      <c r="K3177" s="3">
        <v>0.99842816724300532</v>
      </c>
    </row>
    <row r="3178" spans="1:11" x14ac:dyDescent="0.2">
      <c r="A3178" s="1">
        <v>46276</v>
      </c>
      <c r="B3178">
        <v>495.63000488281199</v>
      </c>
      <c r="C3178">
        <v>495.63000488281199</v>
      </c>
      <c r="D3178">
        <v>498.97000122070301</v>
      </c>
      <c r="E3178">
        <v>492.579986572265</v>
      </c>
      <c r="F3178">
        <v>495.64999389648398</v>
      </c>
      <c r="G3178" s="2">
        <v>14510500</v>
      </c>
      <c r="H3178" s="3">
        <f t="shared" si="49"/>
        <v>6.4779514775215041E-3</v>
      </c>
      <c r="J3178" s="3">
        <v>0.10077049067490562</v>
      </c>
      <c r="K3178" s="3">
        <v>0.99874253379440425</v>
      </c>
    </row>
    <row r="3179" spans="1:11" x14ac:dyDescent="0.2">
      <c r="A3179" s="1">
        <v>46279</v>
      </c>
      <c r="B3179">
        <v>505.41000366210898</v>
      </c>
      <c r="C3179">
        <v>505.41000366210898</v>
      </c>
      <c r="D3179">
        <v>509.95001220703102</v>
      </c>
      <c r="E3179">
        <v>495.33999633789</v>
      </c>
      <c r="F3179">
        <v>497.05999755859301</v>
      </c>
      <c r="G3179" s="2">
        <v>23091900</v>
      </c>
      <c r="H3179" s="3">
        <f t="shared" si="49"/>
        <v>1.9732459058061647E-2</v>
      </c>
      <c r="J3179" s="3">
        <v>0.10133700634027121</v>
      </c>
      <c r="K3179" s="3">
        <v>0.99905690034580319</v>
      </c>
    </row>
    <row r="3180" spans="1:11" x14ac:dyDescent="0.2">
      <c r="A3180" s="1">
        <v>46280</v>
      </c>
      <c r="B3180">
        <v>497.11999511718699</v>
      </c>
      <c r="C3180">
        <v>497.11999511718699</v>
      </c>
      <c r="D3180">
        <v>505.89999389648398</v>
      </c>
      <c r="E3180">
        <v>495.54000854492102</v>
      </c>
      <c r="F3180">
        <v>500.05999755859301</v>
      </c>
      <c r="G3180" s="2">
        <v>17794600</v>
      </c>
      <c r="H3180" s="3">
        <f t="shared" si="49"/>
        <v>-1.6402541470992071E-2</v>
      </c>
      <c r="J3180" s="3">
        <v>0.10452202209251493</v>
      </c>
      <c r="K3180" s="3">
        <v>0.99937126689720213</v>
      </c>
    </row>
    <row r="3181" spans="1:11" x14ac:dyDescent="0.2">
      <c r="A3181" s="1">
        <v>46281</v>
      </c>
      <c r="B3181">
        <v>490.29998779296801</v>
      </c>
      <c r="C3181">
        <v>490.29998779296801</v>
      </c>
      <c r="D3181">
        <v>495.97000122070301</v>
      </c>
      <c r="E3181">
        <v>487.23001098632801</v>
      </c>
      <c r="F3181">
        <v>493.02999877929602</v>
      </c>
      <c r="G3181" s="2">
        <v>16670300</v>
      </c>
      <c r="H3181" s="3">
        <f t="shared" si="49"/>
        <v>-1.3719036432262799E-2</v>
      </c>
      <c r="J3181" s="3">
        <v>0.14216900056843129</v>
      </c>
      <c r="K3181" s="3">
        <v>0.99968563344860106</v>
      </c>
    </row>
    <row r="3182" spans="1:11" x14ac:dyDescent="0.2">
      <c r="A3182" s="1">
        <v>46282</v>
      </c>
      <c r="B3182">
        <v>497.75</v>
      </c>
      <c r="C3182">
        <v>497.75</v>
      </c>
      <c r="D3182">
        <v>501.47000122070301</v>
      </c>
      <c r="E3182">
        <v>493.17001342773398</v>
      </c>
      <c r="F3182">
        <v>497.79998779296801</v>
      </c>
      <c r="G3182" s="2">
        <v>17841600</v>
      </c>
      <c r="H3182" s="3">
        <f t="shared" si="49"/>
        <v>1.5194803982287342E-2</v>
      </c>
      <c r="J3182" s="3">
        <v>0.15506739165511529</v>
      </c>
      <c r="K3182" s="3">
        <v>1</v>
      </c>
    </row>
    <row r="3183" spans="1:11" x14ac:dyDescent="0.2">
      <c r="A3183" s="1">
        <v>46283</v>
      </c>
      <c r="B3183">
        <v>493.77999877929602</v>
      </c>
      <c r="C3183">
        <v>493.77999877929602</v>
      </c>
      <c r="D3183">
        <v>498.64999389648398</v>
      </c>
      <c r="E3183">
        <v>491.100006103515</v>
      </c>
      <c r="F3183">
        <v>497.97000122070301</v>
      </c>
      <c r="G3183" s="2">
        <v>39622300</v>
      </c>
      <c r="H3183" s="3">
        <f t="shared" si="49"/>
        <v>-7.9758939642470272E-3</v>
      </c>
      <c r="K3183" s="3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Sheng</dc:creator>
  <cp:lastModifiedBy>Wen Sheng</cp:lastModifiedBy>
  <dcterms:created xsi:type="dcterms:W3CDTF">2026-10-04T19:57:05Z</dcterms:created>
  <dcterms:modified xsi:type="dcterms:W3CDTF">2026-10-05T13:27:01Z</dcterms:modified>
</cp:coreProperties>
</file>