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wens/Desktop/2026/columbia_fall_2026/intro to mfin/HW1/"/>
    </mc:Choice>
  </mc:AlternateContent>
  <xr:revisionPtr revIDLastSave="0" documentId="13_ncr:1_{3DFE9319-6E01-2A49-BF42-F9C00601ADCD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Margin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E2" i="1" s="1"/>
  <c r="E3" i="1" s="1"/>
  <c r="J20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D3" i="1" s="1"/>
  <c r="D4" i="1" s="1"/>
  <c r="F3" i="1" l="1"/>
  <c r="E4" i="1" s="1"/>
  <c r="F4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E5" i="1" l="1"/>
  <c r="F5" i="1" l="1"/>
  <c r="E6" i="1" l="1"/>
  <c r="F6" i="1" l="1"/>
  <c r="E7" i="1" s="1"/>
  <c r="F7" i="1" l="1"/>
  <c r="E8" i="1" s="1"/>
  <c r="F8" i="1" l="1"/>
  <c r="E9" i="1" s="1"/>
  <c r="F9" i="1" l="1"/>
  <c r="E10" i="1" s="1"/>
  <c r="F10" i="1" l="1"/>
  <c r="E11" i="1" s="1"/>
  <c r="F11" i="1" l="1"/>
  <c r="E12" i="1" s="1"/>
  <c r="F12" i="1" l="1"/>
  <c r="E13" i="1" s="1"/>
  <c r="F13" i="1" l="1"/>
  <c r="E14" i="1" s="1"/>
  <c r="F14" i="1" l="1"/>
  <c r="E15" i="1" s="1"/>
  <c r="F15" i="1" l="1"/>
  <c r="E16" i="1" s="1"/>
  <c r="F16" i="1" l="1"/>
  <c r="E17" i="1" s="1"/>
  <c r="F17" i="1" l="1"/>
  <c r="E18" i="1" s="1"/>
  <c r="F18" i="1" l="1"/>
  <c r="E19" i="1" s="1"/>
  <c r="F19" i="1" l="1"/>
  <c r="E20" i="1" s="1"/>
  <c r="F20" i="1" l="1"/>
  <c r="E21" i="1" s="1"/>
  <c r="F21" i="1" l="1"/>
  <c r="E22" i="1" s="1"/>
  <c r="F22" i="1" l="1"/>
  <c r="E23" i="1" s="1"/>
  <c r="F23" i="1" l="1"/>
  <c r="E24" i="1" s="1"/>
  <c r="F24" i="1" l="1"/>
  <c r="E25" i="1" s="1"/>
  <c r="F25" i="1" l="1"/>
  <c r="E26" i="1" s="1"/>
  <c r="F26" i="1" l="1"/>
  <c r="E27" i="1" s="1"/>
  <c r="F27" i="1" l="1"/>
  <c r="E28" i="1" s="1"/>
  <c r="F28" i="1" l="1"/>
  <c r="E29" i="1" s="1"/>
  <c r="F29" i="1" l="1"/>
  <c r="E30" i="1" s="1"/>
  <c r="F30" i="1" l="1"/>
  <c r="E31" i="1" s="1"/>
  <c r="F31" i="1" l="1"/>
  <c r="E32" i="1"/>
  <c r="F32" i="1" l="1"/>
  <c r="E33" i="1" s="1"/>
  <c r="F33" i="1" l="1"/>
  <c r="E34" i="1" s="1"/>
  <c r="F34" i="1" l="1"/>
  <c r="E35" i="1" s="1"/>
  <c r="F35" i="1" l="1"/>
  <c r="E36" i="1" s="1"/>
  <c r="F36" i="1" l="1"/>
  <c r="E37" i="1" s="1"/>
  <c r="F37" i="1" l="1"/>
  <c r="E38" i="1" s="1"/>
  <c r="F38" i="1" l="1"/>
  <c r="E39" i="1" s="1"/>
  <c r="F39" i="1" l="1"/>
  <c r="E40" i="1" s="1"/>
  <c r="F40" i="1" l="1"/>
  <c r="E41" i="1" s="1"/>
  <c r="F41" i="1" l="1"/>
  <c r="E42" i="1" s="1"/>
  <c r="F42" i="1" l="1"/>
  <c r="E43" i="1" s="1"/>
  <c r="F43" i="1" l="1"/>
  <c r="E44" i="1" s="1"/>
  <c r="F44" i="1" l="1"/>
  <c r="E45" i="1" s="1"/>
  <c r="F45" i="1" l="1"/>
  <c r="E46" i="1" s="1"/>
  <c r="F46" i="1" l="1"/>
  <c r="E47" i="1" s="1"/>
  <c r="F47" i="1" l="1"/>
  <c r="E48" i="1" s="1"/>
  <c r="F48" i="1" l="1"/>
  <c r="E49" i="1" s="1"/>
  <c r="F49" i="1" l="1"/>
  <c r="E50" i="1" s="1"/>
  <c r="F50" i="1" l="1"/>
  <c r="E51" i="1" s="1"/>
  <c r="F51" i="1" l="1"/>
  <c r="E52" i="1" s="1"/>
  <c r="F52" i="1" l="1"/>
  <c r="E53" i="1" s="1"/>
  <c r="F53" i="1" l="1"/>
  <c r="E54" i="1" s="1"/>
  <c r="F54" i="1" l="1"/>
  <c r="E55" i="1" s="1"/>
  <c r="F55" i="1" l="1"/>
  <c r="E56" i="1" s="1"/>
  <c r="F56" i="1" l="1"/>
  <c r="E57" i="1" s="1"/>
  <c r="F57" i="1" l="1"/>
  <c r="E58" i="1" s="1"/>
  <c r="F58" i="1" l="1"/>
  <c r="E59" i="1" s="1"/>
  <c r="F59" i="1" l="1"/>
  <c r="E60" i="1" s="1"/>
  <c r="F60" i="1" l="1"/>
  <c r="E61" i="1" s="1"/>
  <c r="F61" i="1" l="1"/>
  <c r="E62" i="1" s="1"/>
  <c r="F62" i="1" l="1"/>
  <c r="E63" i="1" s="1"/>
  <c r="F63" i="1" l="1"/>
  <c r="E64" i="1" s="1"/>
  <c r="F64" i="1" l="1"/>
  <c r="E65" i="1" s="1"/>
  <c r="F65" i="1" l="1"/>
  <c r="E66" i="1" s="1"/>
  <c r="F66" i="1" l="1"/>
  <c r="E67" i="1" s="1"/>
  <c r="F67" i="1" l="1"/>
  <c r="E68" i="1" s="1"/>
  <c r="F68" i="1" l="1"/>
  <c r="E69" i="1" s="1"/>
  <c r="F69" i="1" l="1"/>
  <c r="E70" i="1" s="1"/>
  <c r="F70" i="1" l="1"/>
  <c r="E71" i="1" s="1"/>
  <c r="F71" i="1" l="1"/>
  <c r="E72" i="1"/>
  <c r="F72" i="1" l="1"/>
  <c r="E73" i="1" s="1"/>
  <c r="F73" i="1" l="1"/>
  <c r="E74" i="1" s="1"/>
  <c r="F74" i="1" l="1"/>
  <c r="E75" i="1" s="1"/>
  <c r="F75" i="1" l="1"/>
  <c r="E76" i="1" s="1"/>
  <c r="F76" i="1" l="1"/>
  <c r="E77" i="1" s="1"/>
  <c r="F77" i="1" l="1"/>
  <c r="E78" i="1" s="1"/>
  <c r="F78" i="1" l="1"/>
  <c r="E79" i="1" s="1"/>
  <c r="F79" i="1" l="1"/>
  <c r="E80" i="1" s="1"/>
  <c r="F80" i="1" l="1"/>
  <c r="E81" i="1" s="1"/>
  <c r="F81" i="1" l="1"/>
  <c r="E82" i="1" s="1"/>
  <c r="F82" i="1" l="1"/>
  <c r="E83" i="1" s="1"/>
  <c r="F83" i="1" l="1"/>
  <c r="E84" i="1" s="1"/>
  <c r="F84" i="1" l="1"/>
  <c r="E85" i="1" s="1"/>
  <c r="F85" i="1" l="1"/>
  <c r="E86" i="1" s="1"/>
  <c r="F86" i="1" l="1"/>
  <c r="E87" i="1" s="1"/>
  <c r="F87" i="1" l="1"/>
  <c r="E88" i="1" s="1"/>
  <c r="F88" i="1" l="1"/>
  <c r="E89" i="1" s="1"/>
  <c r="F89" i="1" l="1"/>
  <c r="E90" i="1" s="1"/>
  <c r="F90" i="1" l="1"/>
  <c r="E91" i="1" s="1"/>
  <c r="F91" i="1" l="1"/>
  <c r="E92" i="1" s="1"/>
  <c r="F92" i="1" l="1"/>
  <c r="E93" i="1" s="1"/>
  <c r="F93" i="1" l="1"/>
  <c r="E94" i="1" s="1"/>
  <c r="F94" i="1" l="1"/>
  <c r="E95" i="1" s="1"/>
  <c r="F95" i="1" l="1"/>
  <c r="E96" i="1" s="1"/>
  <c r="F96" i="1" l="1"/>
  <c r="E97" i="1" s="1"/>
  <c r="F97" i="1" l="1"/>
  <c r="E98" i="1" s="1"/>
  <c r="F98" i="1" l="1"/>
  <c r="E99" i="1" s="1"/>
  <c r="F99" i="1" l="1"/>
  <c r="E100" i="1" s="1"/>
  <c r="F100" i="1" l="1"/>
  <c r="E101" i="1" s="1"/>
  <c r="F101" i="1" l="1"/>
  <c r="E102" i="1" s="1"/>
  <c r="F102" i="1" l="1"/>
  <c r="E103" i="1" s="1"/>
  <c r="F103" i="1" l="1"/>
  <c r="E104" i="1" s="1"/>
  <c r="F104" i="1" l="1"/>
  <c r="E105" i="1" s="1"/>
  <c r="F105" i="1" l="1"/>
  <c r="E106" i="1" s="1"/>
  <c r="F106" i="1" l="1"/>
  <c r="E107" i="1" s="1"/>
  <c r="F107" i="1" l="1"/>
  <c r="E108" i="1" s="1"/>
  <c r="F108" i="1" l="1"/>
  <c r="E109" i="1" s="1"/>
  <c r="F109" i="1" l="1"/>
  <c r="E110" i="1" s="1"/>
  <c r="F110" i="1" l="1"/>
  <c r="E111" i="1" s="1"/>
  <c r="F111" i="1" l="1"/>
  <c r="E112" i="1" s="1"/>
  <c r="F112" i="1" l="1"/>
  <c r="E113" i="1" s="1"/>
  <c r="F113" i="1" l="1"/>
  <c r="E114" i="1" s="1"/>
  <c r="F114" i="1" l="1"/>
  <c r="E115" i="1" s="1"/>
  <c r="F115" i="1" l="1"/>
  <c r="E116" i="1" s="1"/>
  <c r="F116" i="1" l="1"/>
  <c r="E117" i="1" s="1"/>
  <c r="F117" i="1" l="1"/>
  <c r="E118" i="1" s="1"/>
  <c r="F118" i="1" l="1"/>
  <c r="E119" i="1" s="1"/>
  <c r="F119" i="1" l="1"/>
  <c r="E120" i="1" s="1"/>
  <c r="F120" i="1" l="1"/>
  <c r="E121" i="1" s="1"/>
  <c r="F121" i="1" l="1"/>
  <c r="E122" i="1" s="1"/>
  <c r="F122" i="1" l="1"/>
  <c r="E123" i="1" s="1"/>
  <c r="F123" i="1" l="1"/>
  <c r="E124" i="1" s="1"/>
  <c r="F124" i="1" l="1"/>
  <c r="E125" i="1" s="1"/>
  <c r="F125" i="1" l="1"/>
  <c r="E126" i="1" s="1"/>
  <c r="F126" i="1" l="1"/>
  <c r="E127" i="1" s="1"/>
  <c r="F127" i="1" l="1"/>
  <c r="E128" i="1" s="1"/>
  <c r="F128" i="1" l="1"/>
  <c r="E129" i="1" s="1"/>
  <c r="F129" i="1" l="1"/>
  <c r="E130" i="1" s="1"/>
  <c r="F130" i="1" l="1"/>
  <c r="E131" i="1" s="1"/>
  <c r="F131" i="1" l="1"/>
  <c r="E132" i="1" s="1"/>
  <c r="F132" i="1" l="1"/>
  <c r="E133" i="1" s="1"/>
  <c r="F133" i="1" l="1"/>
  <c r="E134" i="1" s="1"/>
  <c r="F134" i="1" l="1"/>
  <c r="E135" i="1" s="1"/>
  <c r="F135" i="1" l="1"/>
  <c r="E136" i="1" s="1"/>
  <c r="F136" i="1" l="1"/>
  <c r="E137" i="1"/>
  <c r="F137" i="1" l="1"/>
  <c r="E138" i="1" s="1"/>
  <c r="F138" i="1" l="1"/>
  <c r="E139" i="1"/>
  <c r="F139" i="1" l="1"/>
  <c r="E140" i="1" s="1"/>
  <c r="F140" i="1" l="1"/>
  <c r="E141" i="1" s="1"/>
  <c r="F141" i="1" l="1"/>
  <c r="E142" i="1" s="1"/>
  <c r="F142" i="1" l="1"/>
  <c r="E143" i="1" s="1"/>
  <c r="F143" i="1" l="1"/>
  <c r="E144" i="1" s="1"/>
  <c r="F144" i="1" l="1"/>
  <c r="E145" i="1" s="1"/>
  <c r="F145" i="1" l="1"/>
  <c r="E146" i="1" s="1"/>
  <c r="F146" i="1" l="1"/>
  <c r="E147" i="1" s="1"/>
  <c r="F147" i="1" l="1"/>
  <c r="E148" i="1" s="1"/>
  <c r="F148" i="1" l="1"/>
  <c r="E149" i="1" s="1"/>
  <c r="F149" i="1" l="1"/>
  <c r="E150" i="1" s="1"/>
  <c r="F150" i="1" l="1"/>
  <c r="E151" i="1" s="1"/>
  <c r="F151" i="1" l="1"/>
  <c r="E152" i="1" s="1"/>
  <c r="F152" i="1" l="1"/>
  <c r="E153" i="1" s="1"/>
  <c r="F153" i="1" l="1"/>
  <c r="E154" i="1" s="1"/>
  <c r="F154" i="1" l="1"/>
  <c r="E155" i="1" s="1"/>
  <c r="F155" i="1" l="1"/>
  <c r="E156" i="1" s="1"/>
  <c r="F156" i="1" l="1"/>
  <c r="E157" i="1" s="1"/>
  <c r="F157" i="1" l="1"/>
  <c r="E158" i="1" s="1"/>
  <c r="F158" i="1" l="1"/>
  <c r="E159" i="1" s="1"/>
  <c r="F159" i="1" l="1"/>
  <c r="E160" i="1" s="1"/>
  <c r="F160" i="1" l="1"/>
  <c r="E161" i="1" s="1"/>
  <c r="F161" i="1" l="1"/>
  <c r="E162" i="1" s="1"/>
  <c r="F162" i="1" l="1"/>
  <c r="E163" i="1" s="1"/>
  <c r="F163" i="1" l="1"/>
  <c r="E164" i="1" s="1"/>
  <c r="F164" i="1" l="1"/>
  <c r="E165" i="1" s="1"/>
  <c r="F165" i="1" l="1"/>
  <c r="E166" i="1" s="1"/>
  <c r="F166" i="1" l="1"/>
  <c r="E167" i="1" s="1"/>
  <c r="F167" i="1" l="1"/>
  <c r="E168" i="1" s="1"/>
  <c r="F168" i="1" l="1"/>
  <c r="E169" i="1"/>
  <c r="F169" i="1" l="1"/>
  <c r="E170" i="1" s="1"/>
  <c r="F170" i="1" l="1"/>
  <c r="E171" i="1" s="1"/>
  <c r="F171" i="1" l="1"/>
  <c r="E172" i="1" s="1"/>
  <c r="F172" i="1" l="1"/>
  <c r="E173" i="1" s="1"/>
  <c r="F173" i="1" l="1"/>
  <c r="E174" i="1" s="1"/>
  <c r="F174" i="1" l="1"/>
  <c r="E175" i="1" s="1"/>
  <c r="F175" i="1" l="1"/>
  <c r="E176" i="1" s="1"/>
  <c r="F176" i="1" l="1"/>
  <c r="E177" i="1" s="1"/>
  <c r="F177" i="1" l="1"/>
  <c r="E178" i="1" s="1"/>
  <c r="F178" i="1" l="1"/>
  <c r="E179" i="1" s="1"/>
  <c r="F179" i="1" l="1"/>
  <c r="E180" i="1" s="1"/>
  <c r="F180" i="1" l="1"/>
  <c r="E181" i="1" s="1"/>
  <c r="F181" i="1" l="1"/>
  <c r="E182" i="1" s="1"/>
  <c r="F182" i="1" l="1"/>
  <c r="E183" i="1" s="1"/>
  <c r="F183" i="1" l="1"/>
  <c r="E184" i="1" s="1"/>
  <c r="F184" i="1" l="1"/>
  <c r="E185" i="1" s="1"/>
  <c r="F185" i="1" l="1"/>
  <c r="E186" i="1" s="1"/>
  <c r="F186" i="1" l="1"/>
  <c r="E187" i="1" s="1"/>
  <c r="F187" i="1" l="1"/>
  <c r="E188" i="1" s="1"/>
  <c r="F188" i="1" l="1"/>
  <c r="E189" i="1" s="1"/>
  <c r="F189" i="1" l="1"/>
  <c r="E190" i="1" s="1"/>
  <c r="F190" i="1" l="1"/>
  <c r="E191" i="1" s="1"/>
  <c r="F191" i="1" l="1"/>
  <c r="E192" i="1" s="1"/>
  <c r="F192" i="1" l="1"/>
  <c r="E193" i="1" s="1"/>
  <c r="F193" i="1" l="1"/>
  <c r="E194" i="1" s="1"/>
  <c r="F194" i="1" l="1"/>
  <c r="E195" i="1" s="1"/>
  <c r="F195" i="1" l="1"/>
  <c r="E196" i="1" s="1"/>
  <c r="F196" i="1" l="1"/>
  <c r="E197" i="1" s="1"/>
  <c r="F197" i="1" l="1"/>
  <c r="E198" i="1" s="1"/>
  <c r="F198" i="1" l="1"/>
  <c r="E199" i="1"/>
  <c r="F199" i="1" l="1"/>
  <c r="E200" i="1" s="1"/>
  <c r="F200" i="1" l="1"/>
  <c r="E201" i="1" s="1"/>
  <c r="F201" i="1" l="1"/>
  <c r="E202" i="1" s="1"/>
  <c r="F202" i="1" l="1"/>
  <c r="E203" i="1" s="1"/>
  <c r="F203" i="1" l="1"/>
  <c r="E204" i="1" s="1"/>
  <c r="F204" i="1" l="1"/>
  <c r="E205" i="1" s="1"/>
  <c r="F205" i="1" l="1"/>
  <c r="E206" i="1" s="1"/>
  <c r="F206" i="1" l="1"/>
  <c r="E207" i="1" s="1"/>
  <c r="F207" i="1" l="1"/>
  <c r="E208" i="1" s="1"/>
  <c r="F208" i="1" l="1"/>
  <c r="E209" i="1" s="1"/>
  <c r="F209" i="1" l="1"/>
  <c r="E210" i="1" s="1"/>
  <c r="F210" i="1" l="1"/>
  <c r="E211" i="1" s="1"/>
  <c r="F211" i="1" l="1"/>
  <c r="E212" i="1" s="1"/>
  <c r="F212" i="1" l="1"/>
  <c r="E213" i="1" s="1"/>
  <c r="F213" i="1" l="1"/>
  <c r="E214" i="1" s="1"/>
  <c r="F214" i="1" l="1"/>
  <c r="E215" i="1" s="1"/>
  <c r="F215" i="1" l="1"/>
  <c r="E216" i="1" s="1"/>
  <c r="F216" i="1" l="1"/>
  <c r="E217" i="1" s="1"/>
  <c r="F217" i="1" l="1"/>
  <c r="E218" i="1"/>
  <c r="F218" i="1" l="1"/>
  <c r="E219" i="1" s="1"/>
  <c r="F219" i="1" l="1"/>
  <c r="E220" i="1" s="1"/>
  <c r="F220" i="1" l="1"/>
  <c r="E221" i="1" s="1"/>
  <c r="F221" i="1" l="1"/>
  <c r="E222" i="1" s="1"/>
  <c r="F222" i="1" l="1"/>
  <c r="E223" i="1" s="1"/>
  <c r="F223" i="1" l="1"/>
  <c r="E224" i="1" s="1"/>
  <c r="F224" i="1" l="1"/>
  <c r="E225" i="1" s="1"/>
  <c r="F225" i="1" l="1"/>
  <c r="E226" i="1" s="1"/>
  <c r="F226" i="1" l="1"/>
  <c r="E227" i="1" s="1"/>
  <c r="F227" i="1" l="1"/>
  <c r="E228" i="1" s="1"/>
  <c r="F228" i="1" l="1"/>
  <c r="E229" i="1" s="1"/>
  <c r="F229" i="1" l="1"/>
  <c r="E230" i="1" s="1"/>
  <c r="F230" i="1" l="1"/>
  <c r="E231" i="1" s="1"/>
  <c r="F231" i="1" l="1"/>
  <c r="E232" i="1" s="1"/>
  <c r="F232" i="1" l="1"/>
  <c r="E233" i="1" s="1"/>
  <c r="F233" i="1" l="1"/>
  <c r="E234" i="1" s="1"/>
  <c r="F234" i="1" l="1"/>
  <c r="E235" i="1" s="1"/>
  <c r="F235" i="1" l="1"/>
  <c r="E236" i="1" s="1"/>
  <c r="F236" i="1" l="1"/>
  <c r="E237" i="1" s="1"/>
  <c r="F237" i="1" l="1"/>
  <c r="E238" i="1" s="1"/>
  <c r="F238" i="1" l="1"/>
  <c r="E239" i="1" s="1"/>
  <c r="F239" i="1" l="1"/>
  <c r="E240" i="1" s="1"/>
  <c r="F240" i="1" l="1"/>
  <c r="E241" i="1" s="1"/>
  <c r="F241" i="1" l="1"/>
  <c r="E242" i="1" s="1"/>
  <c r="F242" i="1" l="1"/>
  <c r="E243" i="1" s="1"/>
  <c r="F243" i="1" l="1"/>
  <c r="E244" i="1" s="1"/>
  <c r="F244" i="1" l="1"/>
  <c r="E245" i="1" s="1"/>
  <c r="F245" i="1" l="1"/>
  <c r="E246" i="1" s="1"/>
  <c r="F246" i="1" l="1"/>
  <c r="E247" i="1" s="1"/>
  <c r="F247" i="1" l="1"/>
  <c r="E248" i="1" s="1"/>
  <c r="F248" i="1" l="1"/>
  <c r="E249" i="1" s="1"/>
  <c r="F249" i="1" l="1"/>
  <c r="E250" i="1" s="1"/>
  <c r="F250" i="1" l="1"/>
  <c r="E251" i="1" s="1"/>
  <c r="F251" i="1" l="1"/>
  <c r="E252" i="1" s="1"/>
  <c r="F252" i="1" l="1"/>
  <c r="E253" i="1" s="1"/>
  <c r="F253" i="1" l="1"/>
  <c r="E254" i="1" s="1"/>
  <c r="F254" i="1" l="1"/>
  <c r="E255" i="1" s="1"/>
  <c r="F255" i="1" l="1"/>
  <c r="E256" i="1" s="1"/>
  <c r="F256" i="1" l="1"/>
  <c r="E257" i="1" s="1"/>
  <c r="F257" i="1" l="1"/>
  <c r="E258" i="1" s="1"/>
  <c r="F258" i="1" l="1"/>
  <c r="E259" i="1" s="1"/>
  <c r="F259" i="1" l="1"/>
  <c r="E260" i="1"/>
  <c r="F260" i="1" l="1"/>
  <c r="E261" i="1" s="1"/>
  <c r="F261" i="1" l="1"/>
  <c r="E262" i="1" s="1"/>
  <c r="F262" i="1" l="1"/>
  <c r="E263" i="1" s="1"/>
  <c r="F263" i="1" l="1"/>
  <c r="E264" i="1" s="1"/>
  <c r="F264" i="1" l="1"/>
  <c r="E265" i="1" s="1"/>
  <c r="F265" i="1" l="1"/>
  <c r="E266" i="1" s="1"/>
  <c r="F266" i="1" l="1"/>
  <c r="E267" i="1" s="1"/>
  <c r="F267" i="1" l="1"/>
  <c r="E268" i="1" s="1"/>
  <c r="F268" i="1" l="1"/>
  <c r="E269" i="1" s="1"/>
  <c r="F269" i="1" l="1"/>
  <c r="E270" i="1" s="1"/>
  <c r="F270" i="1" l="1"/>
  <c r="E271" i="1" s="1"/>
  <c r="F271" i="1" l="1"/>
  <c r="E272" i="1" s="1"/>
  <c r="F272" i="1" l="1"/>
  <c r="E273" i="1" s="1"/>
  <c r="F273" i="1" l="1"/>
  <c r="E274" i="1" s="1"/>
  <c r="F274" i="1" l="1"/>
  <c r="E275" i="1" s="1"/>
  <c r="F275" i="1" l="1"/>
  <c r="E276" i="1" s="1"/>
  <c r="F276" i="1" l="1"/>
  <c r="E277" i="1" s="1"/>
  <c r="F277" i="1" l="1"/>
  <c r="E278" i="1" s="1"/>
  <c r="F278" i="1" l="1"/>
  <c r="E279" i="1" s="1"/>
  <c r="F279" i="1" l="1"/>
  <c r="E280" i="1" s="1"/>
  <c r="F280" i="1" l="1"/>
  <c r="E281" i="1" s="1"/>
  <c r="F281" i="1" l="1"/>
  <c r="E282" i="1" s="1"/>
  <c r="F282" i="1" l="1"/>
  <c r="E283" i="1" s="1"/>
  <c r="F283" i="1" l="1"/>
  <c r="E284" i="1" s="1"/>
  <c r="F284" i="1" l="1"/>
  <c r="E285" i="1" s="1"/>
  <c r="F285" i="1" l="1"/>
  <c r="E286" i="1" s="1"/>
  <c r="F286" i="1" l="1"/>
  <c r="E287" i="1" s="1"/>
  <c r="F287" i="1" l="1"/>
  <c r="E288" i="1" s="1"/>
  <c r="F288" i="1" l="1"/>
  <c r="E289" i="1" s="1"/>
  <c r="F289" i="1" l="1"/>
  <c r="E290" i="1" s="1"/>
  <c r="F290" i="1" l="1"/>
  <c r="E291" i="1" s="1"/>
  <c r="F291" i="1" l="1"/>
  <c r="E292" i="1" s="1"/>
  <c r="F292" i="1" l="1"/>
  <c r="E293" i="1" s="1"/>
  <c r="F293" i="1" l="1"/>
  <c r="E294" i="1" s="1"/>
  <c r="F294" i="1" l="1"/>
  <c r="E295" i="1" s="1"/>
  <c r="F295" i="1" l="1"/>
  <c r="E296" i="1" s="1"/>
  <c r="F296" i="1" l="1"/>
  <c r="E297" i="1" s="1"/>
  <c r="F297" i="1" l="1"/>
  <c r="E298" i="1" s="1"/>
  <c r="F298" i="1" l="1"/>
  <c r="E299" i="1" s="1"/>
  <c r="F299" i="1" l="1"/>
  <c r="E300" i="1" s="1"/>
  <c r="F300" i="1" l="1"/>
  <c r="E301" i="1" s="1"/>
  <c r="F301" i="1" l="1"/>
  <c r="E302" i="1" s="1"/>
  <c r="F302" i="1" l="1"/>
  <c r="E303" i="1" s="1"/>
  <c r="F303" i="1" l="1"/>
  <c r="E304" i="1" s="1"/>
  <c r="F304" i="1" l="1"/>
  <c r="E305" i="1" s="1"/>
  <c r="F305" i="1" l="1"/>
  <c r="E306" i="1" s="1"/>
  <c r="F306" i="1" l="1"/>
  <c r="E307" i="1" s="1"/>
  <c r="F307" i="1" l="1"/>
  <c r="E308" i="1" s="1"/>
  <c r="F308" i="1" l="1"/>
  <c r="E309" i="1" s="1"/>
  <c r="F309" i="1" l="1"/>
  <c r="E310" i="1" s="1"/>
  <c r="F310" i="1" l="1"/>
  <c r="E311" i="1" s="1"/>
  <c r="F311" i="1" l="1"/>
  <c r="E312" i="1" s="1"/>
  <c r="F312" i="1" l="1"/>
  <c r="E313" i="1" s="1"/>
  <c r="F313" i="1" l="1"/>
  <c r="E314" i="1" s="1"/>
  <c r="F314" i="1" l="1"/>
  <c r="E315" i="1" s="1"/>
  <c r="F315" i="1" l="1"/>
  <c r="E316" i="1" s="1"/>
  <c r="F316" i="1" l="1"/>
  <c r="E317" i="1" s="1"/>
  <c r="F317" i="1" l="1"/>
  <c r="E318" i="1" s="1"/>
  <c r="F318" i="1" l="1"/>
  <c r="E319" i="1" s="1"/>
  <c r="F319" i="1" l="1"/>
  <c r="E320" i="1" s="1"/>
  <c r="F320" i="1" l="1"/>
  <c r="E321" i="1" s="1"/>
  <c r="F321" i="1" l="1"/>
  <c r="E322" i="1" s="1"/>
  <c r="F322" i="1" l="1"/>
  <c r="E323" i="1" s="1"/>
  <c r="F323" i="1" l="1"/>
  <c r="E324" i="1" s="1"/>
  <c r="F324" i="1" l="1"/>
  <c r="E325" i="1" s="1"/>
  <c r="F325" i="1" l="1"/>
  <c r="E326" i="1" s="1"/>
  <c r="F326" i="1" l="1"/>
  <c r="E327" i="1"/>
  <c r="F327" i="1" l="1"/>
  <c r="E328" i="1" s="1"/>
  <c r="F328" i="1" l="1"/>
  <c r="E329" i="1" s="1"/>
  <c r="F329" i="1" l="1"/>
  <c r="E330" i="1" s="1"/>
  <c r="F330" i="1" l="1"/>
  <c r="E331" i="1" s="1"/>
  <c r="F331" i="1" l="1"/>
  <c r="E332" i="1"/>
  <c r="F332" i="1" l="1"/>
  <c r="E333" i="1" s="1"/>
  <c r="F333" i="1" l="1"/>
  <c r="E334" i="1" s="1"/>
  <c r="F334" i="1" l="1"/>
  <c r="E335" i="1" s="1"/>
  <c r="F335" i="1" l="1"/>
  <c r="E336" i="1" s="1"/>
  <c r="F336" i="1" l="1"/>
  <c r="E337" i="1" s="1"/>
  <c r="F337" i="1" l="1"/>
  <c r="E338" i="1"/>
  <c r="F338" i="1" l="1"/>
  <c r="E339" i="1" s="1"/>
  <c r="F339" i="1" l="1"/>
  <c r="E340" i="1" s="1"/>
  <c r="F340" i="1" l="1"/>
  <c r="E341" i="1" s="1"/>
  <c r="F341" i="1" l="1"/>
  <c r="E342" i="1" s="1"/>
  <c r="F342" i="1" l="1"/>
  <c r="E343" i="1" s="1"/>
  <c r="F343" i="1" l="1"/>
  <c r="E344" i="1"/>
  <c r="F344" i="1" l="1"/>
  <c r="E345" i="1" s="1"/>
  <c r="F345" i="1" l="1"/>
  <c r="E346" i="1" s="1"/>
  <c r="F346" i="1" l="1"/>
  <c r="E347" i="1"/>
  <c r="F347" i="1" l="1"/>
  <c r="E348" i="1" s="1"/>
  <c r="F348" i="1" l="1"/>
  <c r="E349" i="1" s="1"/>
  <c r="F349" i="1" l="1"/>
  <c r="E350" i="1" s="1"/>
  <c r="F350" i="1" l="1"/>
  <c r="E351" i="1" s="1"/>
  <c r="F351" i="1" l="1"/>
  <c r="E352" i="1"/>
  <c r="F352" i="1" l="1"/>
  <c r="E353" i="1" s="1"/>
  <c r="F353" i="1" l="1"/>
  <c r="E354" i="1" s="1"/>
  <c r="F354" i="1" l="1"/>
  <c r="E355" i="1" s="1"/>
  <c r="F355" i="1" l="1"/>
  <c r="E356" i="1" s="1"/>
  <c r="F356" i="1" l="1"/>
  <c r="E357" i="1" s="1"/>
  <c r="F357" i="1" l="1"/>
  <c r="E358" i="1" s="1"/>
  <c r="F358" i="1" l="1"/>
  <c r="E359" i="1" s="1"/>
  <c r="F359" i="1" l="1"/>
  <c r="E360" i="1" s="1"/>
  <c r="F360" i="1" l="1"/>
  <c r="E361" i="1" s="1"/>
  <c r="F361" i="1" l="1"/>
  <c r="E362" i="1" s="1"/>
  <c r="F362" i="1" l="1"/>
  <c r="E363" i="1" s="1"/>
  <c r="F363" i="1" l="1"/>
  <c r="E364" i="1" s="1"/>
  <c r="F364" i="1" l="1"/>
  <c r="E365" i="1" s="1"/>
  <c r="F365" i="1" l="1"/>
  <c r="E366" i="1" s="1"/>
  <c r="F366" i="1" l="1"/>
  <c r="E367" i="1" s="1"/>
  <c r="F367" i="1" l="1"/>
  <c r="E368" i="1" s="1"/>
  <c r="F368" i="1" l="1"/>
  <c r="E369" i="1" s="1"/>
  <c r="F369" i="1" l="1"/>
  <c r="E370" i="1" s="1"/>
  <c r="F370" i="1" l="1"/>
  <c r="E371" i="1" s="1"/>
  <c r="F371" i="1" l="1"/>
  <c r="E372" i="1" s="1"/>
  <c r="F372" i="1" l="1"/>
  <c r="E373" i="1" s="1"/>
  <c r="F373" i="1" l="1"/>
  <c r="E374" i="1" s="1"/>
  <c r="F374" i="1" l="1"/>
  <c r="E375" i="1" s="1"/>
  <c r="F375" i="1" l="1"/>
  <c r="E376" i="1" s="1"/>
  <c r="F376" i="1" l="1"/>
  <c r="E377" i="1"/>
  <c r="F377" i="1" l="1"/>
  <c r="E378" i="1" s="1"/>
  <c r="F378" i="1" l="1"/>
  <c r="E379" i="1" s="1"/>
  <c r="F379" i="1" l="1"/>
  <c r="E380" i="1" s="1"/>
  <c r="F380" i="1" l="1"/>
  <c r="E381" i="1" s="1"/>
  <c r="F381" i="1" l="1"/>
  <c r="E382" i="1" s="1"/>
  <c r="F382" i="1" l="1"/>
  <c r="E383" i="1" s="1"/>
  <c r="F383" i="1" l="1"/>
  <c r="E384" i="1" s="1"/>
  <c r="F384" i="1" l="1"/>
  <c r="E385" i="1" s="1"/>
  <c r="F385" i="1" l="1"/>
  <c r="E386" i="1" s="1"/>
  <c r="F386" i="1" l="1"/>
  <c r="E387" i="1" s="1"/>
  <c r="F387" i="1" l="1"/>
  <c r="E388" i="1" s="1"/>
  <c r="F388" i="1" l="1"/>
  <c r="E389" i="1" s="1"/>
  <c r="F389" i="1" l="1"/>
  <c r="E390" i="1" s="1"/>
  <c r="F390" i="1" l="1"/>
  <c r="E391" i="1" s="1"/>
  <c r="F391" i="1" l="1"/>
  <c r="E392" i="1"/>
  <c r="F392" i="1" l="1"/>
  <c r="E393" i="1" s="1"/>
  <c r="F393" i="1" l="1"/>
  <c r="E394" i="1" s="1"/>
  <c r="F394" i="1" l="1"/>
  <c r="E395" i="1" s="1"/>
  <c r="F395" i="1" l="1"/>
  <c r="E396" i="1" s="1"/>
  <c r="F396" i="1" l="1"/>
  <c r="E397" i="1" s="1"/>
  <c r="F397" i="1" l="1"/>
  <c r="E398" i="1" s="1"/>
  <c r="F398" i="1" l="1"/>
  <c r="E399" i="1" s="1"/>
  <c r="F399" i="1" l="1"/>
  <c r="E400" i="1" s="1"/>
  <c r="F400" i="1" l="1"/>
  <c r="E401" i="1" s="1"/>
  <c r="F401" i="1" l="1"/>
  <c r="E402" i="1"/>
  <c r="F402" i="1" l="1"/>
  <c r="E403" i="1" s="1"/>
  <c r="F403" i="1" l="1"/>
  <c r="E404" i="1" s="1"/>
  <c r="F404" i="1" l="1"/>
  <c r="E405" i="1" s="1"/>
  <c r="F405" i="1" l="1"/>
  <c r="E406" i="1" s="1"/>
  <c r="F406" i="1" l="1"/>
  <c r="E407" i="1"/>
  <c r="F407" i="1" l="1"/>
  <c r="E408" i="1" s="1"/>
  <c r="F408" i="1" l="1"/>
  <c r="E409" i="1" s="1"/>
  <c r="F409" i="1" l="1"/>
  <c r="E410" i="1" s="1"/>
  <c r="F410" i="1" l="1"/>
  <c r="E411" i="1" s="1"/>
  <c r="F411" i="1" l="1"/>
  <c r="E412" i="1"/>
  <c r="F412" i="1" l="1"/>
  <c r="E413" i="1" s="1"/>
  <c r="F413" i="1" l="1"/>
  <c r="E414" i="1"/>
  <c r="F414" i="1" l="1"/>
  <c r="E415" i="1" s="1"/>
  <c r="F415" i="1" l="1"/>
  <c r="E416" i="1" s="1"/>
  <c r="F416" i="1" l="1"/>
  <c r="E417" i="1" s="1"/>
  <c r="F417" i="1" l="1"/>
  <c r="E418" i="1" s="1"/>
  <c r="F418" i="1" l="1"/>
  <c r="E419" i="1" s="1"/>
  <c r="F419" i="1" l="1"/>
  <c r="E420" i="1" s="1"/>
  <c r="F420" i="1" l="1"/>
  <c r="E421" i="1" s="1"/>
  <c r="F421" i="1" l="1"/>
  <c r="E422" i="1" s="1"/>
  <c r="F422" i="1" l="1"/>
  <c r="E423" i="1" s="1"/>
  <c r="F423" i="1" l="1"/>
  <c r="E424" i="1" s="1"/>
  <c r="F424" i="1" l="1"/>
  <c r="E425" i="1" s="1"/>
  <c r="F425" i="1" l="1"/>
  <c r="E426" i="1" s="1"/>
  <c r="F426" i="1" l="1"/>
  <c r="E427" i="1"/>
  <c r="F427" i="1" l="1"/>
  <c r="E428" i="1" s="1"/>
  <c r="F428" i="1" l="1"/>
  <c r="E429" i="1"/>
  <c r="F429" i="1" l="1"/>
  <c r="E430" i="1" s="1"/>
  <c r="F430" i="1" l="1"/>
  <c r="E431" i="1" s="1"/>
  <c r="F431" i="1" l="1"/>
  <c r="E432" i="1" s="1"/>
  <c r="F432" i="1" l="1"/>
  <c r="E433" i="1" s="1"/>
  <c r="F433" i="1" l="1"/>
  <c r="E434" i="1" s="1"/>
  <c r="F434" i="1" l="1"/>
  <c r="E435" i="1"/>
  <c r="F435" i="1" l="1"/>
  <c r="E436" i="1" s="1"/>
  <c r="F436" i="1" l="1"/>
  <c r="E437" i="1"/>
  <c r="F437" i="1" l="1"/>
  <c r="E438" i="1" s="1"/>
  <c r="F438" i="1" l="1"/>
  <c r="E439" i="1" s="1"/>
  <c r="F439" i="1" l="1"/>
  <c r="E440" i="1" s="1"/>
  <c r="F440" i="1" l="1"/>
  <c r="E441" i="1" s="1"/>
  <c r="F441" i="1" l="1"/>
  <c r="E442" i="1" s="1"/>
  <c r="F442" i="1" l="1"/>
  <c r="E443" i="1" s="1"/>
  <c r="F443" i="1" l="1"/>
  <c r="E444" i="1" s="1"/>
  <c r="F444" i="1" l="1"/>
  <c r="E445" i="1" s="1"/>
  <c r="F445" i="1" l="1"/>
  <c r="E446" i="1" s="1"/>
  <c r="F446" i="1" l="1"/>
  <c r="E447" i="1"/>
  <c r="F447" i="1" l="1"/>
  <c r="E448" i="1" s="1"/>
  <c r="F448" i="1" l="1"/>
  <c r="E449" i="1" s="1"/>
  <c r="F449" i="1" l="1"/>
  <c r="E450" i="1" s="1"/>
  <c r="F450" i="1" l="1"/>
  <c r="E451" i="1" s="1"/>
  <c r="F451" i="1" l="1"/>
  <c r="E452" i="1"/>
  <c r="F452" i="1" l="1"/>
  <c r="E453" i="1" s="1"/>
  <c r="F453" i="1" l="1"/>
  <c r="E454" i="1" s="1"/>
  <c r="F454" i="1" l="1"/>
  <c r="E455" i="1"/>
  <c r="F455" i="1" l="1"/>
  <c r="E456" i="1" s="1"/>
  <c r="F456" i="1" l="1"/>
  <c r="E457" i="1" s="1"/>
  <c r="F457" i="1" l="1"/>
  <c r="E458" i="1"/>
  <c r="F458" i="1" l="1"/>
  <c r="E459" i="1" s="1"/>
  <c r="F459" i="1" l="1"/>
  <c r="E460" i="1" s="1"/>
  <c r="F460" i="1" l="1"/>
  <c r="E461" i="1" s="1"/>
  <c r="F461" i="1" l="1"/>
  <c r="E462" i="1" s="1"/>
  <c r="F462" i="1" l="1"/>
  <c r="E463" i="1" s="1"/>
  <c r="F463" i="1" l="1"/>
  <c r="E464" i="1"/>
  <c r="F464" i="1" l="1"/>
  <c r="E465" i="1" s="1"/>
  <c r="F465" i="1" l="1"/>
  <c r="E466" i="1" s="1"/>
  <c r="F466" i="1" l="1"/>
  <c r="E467" i="1" s="1"/>
  <c r="F467" i="1" l="1"/>
  <c r="E468" i="1" s="1"/>
  <c r="F468" i="1" l="1"/>
  <c r="E469" i="1" s="1"/>
  <c r="F469" i="1" l="1"/>
  <c r="E470" i="1" s="1"/>
  <c r="F470" i="1" l="1"/>
  <c r="E471" i="1" s="1"/>
  <c r="F471" i="1" l="1"/>
  <c r="E472" i="1" s="1"/>
  <c r="F472" i="1" l="1"/>
  <c r="E473" i="1"/>
  <c r="F473" i="1" l="1"/>
  <c r="E474" i="1" s="1"/>
  <c r="F474" i="1" l="1"/>
  <c r="E475" i="1" s="1"/>
  <c r="F475" i="1" l="1"/>
  <c r="E476" i="1" s="1"/>
  <c r="F476" i="1" l="1"/>
  <c r="E477" i="1"/>
  <c r="F477" i="1" l="1"/>
  <c r="E478" i="1" s="1"/>
  <c r="F478" i="1" l="1"/>
  <c r="E479" i="1" s="1"/>
  <c r="F479" i="1" l="1"/>
  <c r="E480" i="1" s="1"/>
  <c r="F480" i="1" l="1"/>
  <c r="E481" i="1" s="1"/>
  <c r="F481" i="1" l="1"/>
  <c r="E482" i="1" s="1"/>
  <c r="F482" i="1" l="1"/>
  <c r="E483" i="1" s="1"/>
  <c r="F483" i="1" l="1"/>
  <c r="E484" i="1" s="1"/>
  <c r="F484" i="1" l="1"/>
  <c r="E485" i="1" s="1"/>
  <c r="F485" i="1" l="1"/>
  <c r="E486" i="1" s="1"/>
  <c r="F486" i="1" l="1"/>
  <c r="E487" i="1"/>
  <c r="F487" i="1" l="1"/>
  <c r="E488" i="1" s="1"/>
  <c r="F488" i="1" l="1"/>
  <c r="E489" i="1" s="1"/>
  <c r="F489" i="1" l="1"/>
  <c r="E490" i="1" s="1"/>
  <c r="F490" i="1" l="1"/>
  <c r="E491" i="1" s="1"/>
  <c r="F491" i="1" l="1"/>
  <c r="E492" i="1" s="1"/>
  <c r="F492" i="1" l="1"/>
  <c r="E493" i="1" s="1"/>
  <c r="F493" i="1" l="1"/>
  <c r="E494" i="1" s="1"/>
  <c r="F494" i="1" l="1"/>
  <c r="E495" i="1" s="1"/>
  <c r="F495" i="1" l="1"/>
  <c r="E496" i="1" s="1"/>
  <c r="F496" i="1" l="1"/>
  <c r="E497" i="1" s="1"/>
  <c r="F497" i="1" l="1"/>
  <c r="E498" i="1" s="1"/>
  <c r="F498" i="1" l="1"/>
  <c r="E499" i="1" s="1"/>
  <c r="F499" i="1" l="1"/>
  <c r="E500" i="1" s="1"/>
  <c r="F500" i="1" l="1"/>
  <c r="E501" i="1" s="1"/>
  <c r="F501" i="1" l="1"/>
  <c r="E502" i="1"/>
  <c r="F502" i="1" l="1"/>
  <c r="E503" i="1" s="1"/>
  <c r="F503" i="1" l="1"/>
  <c r="E504" i="1" s="1"/>
  <c r="F504" i="1" l="1"/>
  <c r="E505" i="1" s="1"/>
  <c r="F505" i="1" l="1"/>
  <c r="E506" i="1" s="1"/>
  <c r="F506" i="1" l="1"/>
  <c r="E507" i="1" s="1"/>
  <c r="F507" i="1" l="1"/>
  <c r="E508" i="1"/>
  <c r="F508" i="1" l="1"/>
  <c r="E509" i="1" s="1"/>
  <c r="F509" i="1" l="1"/>
  <c r="E510" i="1" s="1"/>
  <c r="F510" i="1" l="1"/>
  <c r="E511" i="1" l="1"/>
  <c r="F511" i="1" s="1"/>
</calcChain>
</file>

<file path=xl/sharedStrings.xml><?xml version="1.0" encoding="utf-8"?>
<sst xmlns="http://schemas.openxmlformats.org/spreadsheetml/2006/main" count="16" uniqueCount="16">
  <si>
    <t>Assumption</t>
  </si>
  <si>
    <t>Value</t>
  </si>
  <si>
    <t>Contracts</t>
  </si>
  <si>
    <t>Point Value ($/point/contract)</t>
  </si>
  <si>
    <t>Date</t>
  </si>
  <si>
    <t>Close</t>
  </si>
  <si>
    <t>Daily Gain ($)</t>
  </si>
  <si>
    <t>Cumulative Gain ($)</t>
  </si>
  <si>
    <t>Margin Balance ($)</t>
  </si>
  <si>
    <t>Margin Call ($)</t>
  </si>
  <si>
    <t>Initial Margin ($/contract)</t>
  </si>
  <si>
    <t>Maintenance Margin ($/contract)</t>
  </si>
  <si>
    <t>Initial Margin Total ($)</t>
  </si>
  <si>
    <t>Maintenance Margin Total ($)</t>
  </si>
  <si>
    <t>Entry Date</t>
  </si>
  <si>
    <t>Exit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</si>
</sst>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;[Red]\(\$#,##0\);\-"/>
    <numFmt numFmtId="167" formatCode="mm/dd/yy;@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65" fontId="0" fillId="2" borderId="0" xfId="0" applyNumberForma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1" fontId="3" fillId="2" borderId="0" xfId="0" applyNumberFormat="1" applyFont="1" applyFill="1"/>
    <xf numFmtId="165" fontId="3" fillId="2" borderId="0" xfId="0" applyNumberFormat="1" applyFont="1" applyFill="1"/>
    <xf numFmtId="165" fontId="4" fillId="2" borderId="0" xfId="0" applyNumberFormat="1" applyFont="1" applyFill="1"/>
    <xf numFmtId="164" fontId="3" fillId="2" borderId="0" xfId="0" applyNumberFormat="1" applyFont="1" applyFill="1"/>
    <xf numFmtId="2" fontId="0" fillId="2" borderId="0" xfId="0" applyNumberFormat="1" applyFill="1"/>
    <xf numFmtId="0" fontId="0" fillId="0" borderId="1" xfId="0" applyBorder="1"/>
    <xf numFmtId="167" fontId="0" fillId="0" borderId="1" xfId="0" applyNumberFormat="1" applyBorder="1"/>
  </cellXfs>
  <cellStyles count="1">
    <cellStyle name="Normal" xfId="0" builtinId="0"/>
  </cellStyles>
  <dxfs count="2">
    <dxf>
      <numFmt numFmtId="167" formatCode="mm/dd/yy;@"/>
    </dxf>
    <dxf>
      <font>
        <b/>
        <color rgb="FFC00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0C8817-00AC-4542-A63A-48D05E793B6A}" name="Table2" displayName="Table2" ref="A1:F511" totalsRowShown="0" headerRowCellStyle="Normal" dataCellStyle="Normal">
  <autoFilter ref="A1:F511" xr:uid="{2D0C8817-00AC-4542-A63A-48D05E793B6A}">
    <filterColumn colId="5">
      <customFilters>
        <customFilter operator="notEqual" val=" "/>
      </customFilters>
    </filterColumn>
  </autoFilter>
  <tableColumns count="6">
    <tableColumn id="1" xr3:uid="{84250ECD-A14B-9E45-A030-E0D8CBA600FB}" name="Date" dataDxfId="0" dataCellStyle="Normal"/>
    <tableColumn id="2" xr3:uid="{274651B4-6E5B-104E-AF52-F74F04109F18}" name="Close" dataCellStyle="Normal"/>
    <tableColumn id="3" xr3:uid="{60240EDA-5807-3B47-A88A-0FF1FE1DA90C}" name="Daily Gain ($)" dataCellStyle="Normal">
      <calculatedColumnFormula>(B1-B2)*$J$15*$J$16</calculatedColumnFormula>
    </tableColumn>
    <tableColumn id="4" xr3:uid="{D90F2D87-865B-E844-A86C-83CD6F8EC338}" name="Cumulative Gain ($)" dataCellStyle="Normal">
      <calculatedColumnFormula>D1+C2</calculatedColumnFormula>
    </tableColumn>
    <tableColumn id="5" xr3:uid="{FA269C61-EA92-9C48-9F03-B7D07DFE9949}" name="Margin Balance ($)" dataCellStyle="Normal">
      <calculatedColumnFormula>E1+IF(F1="",0,F1)+C2</calculatedColumnFormula>
    </tableColumn>
    <tableColumn id="6" xr3:uid="{2959C42F-F82E-D74F-8A7C-4A8FE1ECC7CA}" name="Margin Call ($)" dataCellStyle="Normal">
      <calculatedColumnFormula>IF(A2=$J$22,"",IF(E2&lt;$J$20,$J$19-E2,""))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1"/>
  <sheetViews>
    <sheetView tabSelected="1" workbookViewId="0">
      <selection activeCell="E522" sqref="E522"/>
    </sheetView>
  </sheetViews>
  <sheetFormatPr baseColWidth="10" defaultColWidth="8.83203125" defaultRowHeight="14"/>
  <cols>
    <col min="1" max="1" width="13" style="11" customWidth="1"/>
    <col min="2" max="2" width="10" style="10" customWidth="1"/>
    <col min="3" max="3" width="18" style="10" customWidth="1"/>
    <col min="4" max="4" width="21" style="10" customWidth="1"/>
    <col min="5" max="5" width="19.83203125" style="10" customWidth="1"/>
    <col min="6" max="6" width="18" style="10" customWidth="1"/>
    <col min="7" max="7" width="8.83203125" style="1"/>
    <col min="8" max="8" width="30" style="1" customWidth="1"/>
    <col min="9" max="9" width="18" style="1" customWidth="1"/>
    <col min="10" max="10" width="20.5" style="1" customWidth="1"/>
    <col min="11" max="16384" width="8.83203125" style="1"/>
  </cols>
  <sheetData>
    <row r="1" spans="1:10">
      <c r="A1" s="11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</row>
    <row r="2" spans="1:10" hidden="1">
      <c r="A2" s="11">
        <v>45545</v>
      </c>
      <c r="B2" s="10">
        <v>63.1</v>
      </c>
      <c r="D2" s="10">
        <v>0</v>
      </c>
      <c r="E2" s="10">
        <f>$J$19</f>
        <v>16252</v>
      </c>
    </row>
    <row r="3" spans="1:10">
      <c r="A3" s="11">
        <v>45546</v>
      </c>
      <c r="B3" s="10">
        <v>63.94</v>
      </c>
      <c r="C3" s="10">
        <f>(B2-B3)*$J$15*$J$16</f>
        <v>-1679.9999999999927</v>
      </c>
      <c r="D3" s="10">
        <f t="shared" ref="D3:D66" si="0">D2+C3</f>
        <v>-1679.9999999999927</v>
      </c>
      <c r="E3" s="10">
        <f>E2+IF(F2="",0,F2)+C3</f>
        <v>14572.000000000007</v>
      </c>
      <c r="F3" s="10">
        <f>IF(A3=$J$22,"",IF(E3&lt;$J$20,$J$19-E3,""))</f>
        <v>1679.9999999999927</v>
      </c>
    </row>
    <row r="4" spans="1:10">
      <c r="A4" s="11">
        <v>45547</v>
      </c>
      <c r="B4" s="10">
        <v>64.83</v>
      </c>
      <c r="C4" s="10">
        <f>(B3-B4)*$J$15*$J$16</f>
        <v>-1780.0000000000011</v>
      </c>
      <c r="D4" s="10">
        <f>D3+C4</f>
        <v>-3459.9999999999936</v>
      </c>
      <c r="E4" s="10">
        <f>E3+IF(F3="",0,F3)+C4</f>
        <v>14471.999999999998</v>
      </c>
      <c r="F4" s="10">
        <f>IF(A4=Table2[[#Headers],[Margin Call ($)]],"",IF(E4&lt;$J$20,$J$19-E4,""))</f>
        <v>1780.0000000000018</v>
      </c>
    </row>
    <row r="5" spans="1:10" hidden="1">
      <c r="A5" s="11">
        <v>45548</v>
      </c>
      <c r="B5" s="10">
        <v>64.39</v>
      </c>
      <c r="C5" s="10">
        <f>(B4-B5)*$J$15*$J$16</f>
        <v>879.99999999999545</v>
      </c>
      <c r="D5" s="10">
        <f t="shared" si="0"/>
        <v>-2579.9999999999982</v>
      </c>
      <c r="E5" s="10">
        <f t="shared" ref="E3:E66" si="1">E4+IF(F4="",0,F4)+C5</f>
        <v>17131.999999999996</v>
      </c>
      <c r="F5" s="10" t="str">
        <f>IF(A5=$J$22,"",IF(E5&lt;$J$20,$J$19-E5,""))</f>
        <v/>
      </c>
    </row>
    <row r="6" spans="1:10" hidden="1">
      <c r="A6" s="11">
        <v>45551</v>
      </c>
      <c r="B6" s="10">
        <v>65.099999999999994</v>
      </c>
      <c r="C6" s="10">
        <f>(B5-B6)*$J$15*$J$16</f>
        <v>-1419.9999999999875</v>
      </c>
      <c r="D6" s="10">
        <f t="shared" si="0"/>
        <v>-3999.9999999999854</v>
      </c>
      <c r="E6" s="10">
        <f t="shared" si="1"/>
        <v>15712.000000000009</v>
      </c>
      <c r="F6" s="10" t="str">
        <f>IF(A6=$J$22,"",IF(E6&lt;$J$20,$J$19-E6,""))</f>
        <v/>
      </c>
    </row>
    <row r="7" spans="1:10">
      <c r="A7" s="11">
        <v>45552</v>
      </c>
      <c r="B7" s="10">
        <v>65.64</v>
      </c>
      <c r="C7" s="10">
        <f>(B6-B7)*$J$15*$J$16</f>
        <v>-1080.0000000000125</v>
      </c>
      <c r="D7" s="10">
        <f t="shared" si="0"/>
        <v>-5079.9999999999982</v>
      </c>
      <c r="E7" s="10">
        <f t="shared" si="1"/>
        <v>14631.999999999996</v>
      </c>
      <c r="F7" s="10">
        <f>IF(A7=$J$22,"",IF(E7&lt;$J$20,$J$19-E7,""))</f>
        <v>1620.0000000000036</v>
      </c>
    </row>
    <row r="8" spans="1:10" hidden="1">
      <c r="A8" s="11">
        <v>45553</v>
      </c>
      <c r="B8" s="10">
        <v>65.59</v>
      </c>
      <c r="C8" s="10">
        <f>(B7-B8)*$J$15*$J$16</f>
        <v>99.999999999994316</v>
      </c>
      <c r="D8" s="10">
        <f t="shared" si="0"/>
        <v>-4980.0000000000036</v>
      </c>
      <c r="E8" s="10">
        <f t="shared" si="1"/>
        <v>16351.999999999995</v>
      </c>
      <c r="F8" s="10" t="str">
        <f>IF(A8=$J$22,"",IF(E8&lt;$J$20,$J$19-E8,""))</f>
        <v/>
      </c>
    </row>
    <row r="9" spans="1:10" hidden="1">
      <c r="A9" s="11">
        <v>45554</v>
      </c>
      <c r="B9" s="10">
        <v>65.95</v>
      </c>
      <c r="C9" s="10">
        <f>(B8-B9)*$J$15*$J$16</f>
        <v>-719.99999999999886</v>
      </c>
      <c r="D9" s="10">
        <f t="shared" si="0"/>
        <v>-5700.0000000000027</v>
      </c>
      <c r="E9" s="10">
        <f t="shared" si="1"/>
        <v>15631.999999999996</v>
      </c>
      <c r="F9" s="10" t="str">
        <f>IF(A9=$J$22,"",IF(E9&lt;$J$20,$J$19-E9,""))</f>
        <v/>
      </c>
    </row>
    <row r="10" spans="1:10" hidden="1">
      <c r="A10" s="11">
        <v>45555</v>
      </c>
      <c r="B10" s="10">
        <v>65.930000000000007</v>
      </c>
      <c r="C10" s="10">
        <f>(B9-B10)*$J$15*$J$16</f>
        <v>39.999999999992042</v>
      </c>
      <c r="D10" s="10">
        <f t="shared" si="0"/>
        <v>-5660.0000000000109</v>
      </c>
      <c r="E10" s="10">
        <f t="shared" si="1"/>
        <v>15671.999999999989</v>
      </c>
      <c r="F10" s="10" t="str">
        <f>IF(A10=$J$22,"",IF(E10&lt;$J$20,$J$19-E10,""))</f>
        <v/>
      </c>
    </row>
    <row r="11" spans="1:10" hidden="1">
      <c r="A11" s="11">
        <v>45558</v>
      </c>
      <c r="B11" s="10">
        <v>65.91</v>
      </c>
      <c r="C11" s="10">
        <f>(B10-B11)*$J$15*$J$16</f>
        <v>40.000000000020464</v>
      </c>
      <c r="D11" s="10">
        <f t="shared" si="0"/>
        <v>-5619.9999999999909</v>
      </c>
      <c r="E11" s="10">
        <f t="shared" si="1"/>
        <v>15712.000000000009</v>
      </c>
      <c r="F11" s="10" t="str">
        <f>IF(A11=$J$22,"",IF(E11&lt;$J$20,$J$19-E11,""))</f>
        <v/>
      </c>
    </row>
    <row r="12" spans="1:10">
      <c r="A12" s="11">
        <v>45559</v>
      </c>
      <c r="B12" s="10">
        <v>66.69</v>
      </c>
      <c r="C12" s="10">
        <f>(B11-B12)*$J$15*$J$16</f>
        <v>-1560.0000000000023</v>
      </c>
      <c r="D12" s="10">
        <f t="shared" si="0"/>
        <v>-7179.9999999999927</v>
      </c>
      <c r="E12" s="10">
        <f t="shared" si="1"/>
        <v>14152.000000000007</v>
      </c>
      <c r="F12" s="10">
        <f>IF(A12=$J$22,"",IF(E12&lt;$J$20,$J$19-E12,""))</f>
        <v>2099.9999999999927</v>
      </c>
      <c r="I12" s="2"/>
    </row>
    <row r="13" spans="1:10" hidden="1">
      <c r="A13" s="11">
        <v>45560</v>
      </c>
      <c r="B13" s="10">
        <v>66</v>
      </c>
      <c r="C13" s="10">
        <f>(B12-B13)*$J$15*$J$16</f>
        <v>1379.9999999999955</v>
      </c>
      <c r="D13" s="10">
        <f t="shared" si="0"/>
        <v>-5799.9999999999973</v>
      </c>
      <c r="E13" s="10">
        <f t="shared" si="1"/>
        <v>17631.999999999996</v>
      </c>
      <c r="F13" s="10" t="str">
        <f>IF(A13=$J$22,"",IF(E13&lt;$J$20,$J$19-E13,""))</f>
        <v/>
      </c>
      <c r="I13" s="2"/>
    </row>
    <row r="14" spans="1:10" ht="15" hidden="1">
      <c r="A14" s="11">
        <v>45561</v>
      </c>
      <c r="B14" s="10">
        <v>65.39</v>
      </c>
      <c r="C14" s="10">
        <f>(B13-B14)*$J$15*$J$16</f>
        <v>1219.9999999999989</v>
      </c>
      <c r="D14" s="10">
        <f t="shared" si="0"/>
        <v>-4579.9999999999982</v>
      </c>
      <c r="E14" s="10">
        <f t="shared" si="1"/>
        <v>18851.999999999996</v>
      </c>
      <c r="F14" s="10" t="str">
        <f>IF(A14=$J$22,"",IF(E14&lt;$J$20,$J$19-E14,""))</f>
        <v/>
      </c>
      <c r="I14" s="3" t="s">
        <v>0</v>
      </c>
      <c r="J14" s="3" t="s">
        <v>1</v>
      </c>
    </row>
    <row r="15" spans="1:10" ht="15" hidden="1">
      <c r="A15" s="11">
        <v>45562</v>
      </c>
      <c r="B15" s="10">
        <v>65.489999999999995</v>
      </c>
      <c r="C15" s="10">
        <f>(B14-B15)*$J$15*$J$16</f>
        <v>-199.99999999998863</v>
      </c>
      <c r="D15" s="10">
        <f t="shared" si="0"/>
        <v>-4779.9999999999873</v>
      </c>
      <c r="E15" s="10">
        <f t="shared" si="1"/>
        <v>18652.000000000007</v>
      </c>
      <c r="F15" s="10" t="str">
        <f>IF(A15=$J$22,"",IF(E15&lt;$J$20,$J$19-E15,""))</f>
        <v/>
      </c>
      <c r="I15" s="4" t="s">
        <v>2</v>
      </c>
      <c r="J15" s="5">
        <v>2</v>
      </c>
    </row>
    <row r="16" spans="1:10" ht="15" hidden="1">
      <c r="A16" s="11">
        <v>45565</v>
      </c>
      <c r="B16" s="10">
        <v>65.69</v>
      </c>
      <c r="C16" s="10">
        <f>(B15-B16)*$J$15*$J$16</f>
        <v>-400.00000000000568</v>
      </c>
      <c r="D16" s="10">
        <f t="shared" si="0"/>
        <v>-5179.9999999999927</v>
      </c>
      <c r="E16" s="10">
        <f t="shared" si="1"/>
        <v>18252</v>
      </c>
      <c r="F16" s="10" t="str">
        <f>IF(A16=$J$22,"",IF(E16&lt;$J$20,$J$19-E16,""))</f>
        <v/>
      </c>
      <c r="I16" s="4" t="s">
        <v>3</v>
      </c>
      <c r="J16" s="6">
        <v>1000</v>
      </c>
    </row>
    <row r="17" spans="1:10" ht="15" hidden="1">
      <c r="A17" s="11">
        <v>45566</v>
      </c>
      <c r="B17" s="10">
        <v>66.64</v>
      </c>
      <c r="C17" s="10">
        <f>(B16-B17)*$J$15*$J$16</f>
        <v>-1900.0000000000057</v>
      </c>
      <c r="D17" s="10">
        <f t="shared" si="0"/>
        <v>-7079.9999999999982</v>
      </c>
      <c r="E17" s="10">
        <f t="shared" si="1"/>
        <v>16351.999999999995</v>
      </c>
      <c r="F17" s="10" t="str">
        <f>IF(A17=$J$22,"",IF(E17&lt;$J$20,$J$19-E17,""))</f>
        <v/>
      </c>
      <c r="I17" s="4" t="s">
        <v>10</v>
      </c>
      <c r="J17" s="6">
        <v>8126</v>
      </c>
    </row>
    <row r="18" spans="1:10" ht="15" hidden="1">
      <c r="A18" s="11">
        <v>45567</v>
      </c>
      <c r="B18" s="10">
        <v>66.59</v>
      </c>
      <c r="C18" s="10">
        <f>(B17-B18)*$J$15*$J$16</f>
        <v>99.999999999994316</v>
      </c>
      <c r="D18" s="10">
        <f t="shared" si="0"/>
        <v>-6980.0000000000036</v>
      </c>
      <c r="E18" s="10">
        <f t="shared" si="1"/>
        <v>16451.999999999989</v>
      </c>
      <c r="F18" s="10" t="str">
        <f>IF(A18=$J$22,"",IF(E18&lt;$J$20,$J$19-E18,""))</f>
        <v/>
      </c>
      <c r="I18" s="4" t="s">
        <v>11</v>
      </c>
      <c r="J18" s="6">
        <v>7387</v>
      </c>
    </row>
    <row r="19" spans="1:10" ht="15">
      <c r="A19" s="11">
        <v>45568</v>
      </c>
      <c r="B19" s="10">
        <v>68.47</v>
      </c>
      <c r="C19" s="10">
        <f>(B18-B19)*$J$15*$J$16</f>
        <v>-3759.9999999999909</v>
      </c>
      <c r="D19" s="10">
        <f t="shared" si="0"/>
        <v>-10739.999999999995</v>
      </c>
      <c r="E19" s="10">
        <f t="shared" si="1"/>
        <v>12691.999999999998</v>
      </c>
      <c r="F19" s="10">
        <f>IF(A19=$J$22,"",IF(E19&lt;$J$20,$J$19-E19,""))</f>
        <v>3560.0000000000018</v>
      </c>
      <c r="I19" s="4" t="s">
        <v>12</v>
      </c>
      <c r="J19" s="7">
        <f>J15*J17</f>
        <v>16252</v>
      </c>
    </row>
    <row r="20" spans="1:10" ht="15" hidden="1">
      <c r="A20" s="11">
        <v>45569</v>
      </c>
      <c r="B20" s="10">
        <v>68.12</v>
      </c>
      <c r="C20" s="10">
        <f>(B19-B20)*$J$15*$J$16</f>
        <v>699.99999999998863</v>
      </c>
      <c r="D20" s="10">
        <f t="shared" si="0"/>
        <v>-10040.000000000005</v>
      </c>
      <c r="E20" s="10">
        <f t="shared" si="1"/>
        <v>16951.999999999989</v>
      </c>
      <c r="F20" s="10" t="str">
        <f>IF(A20=$J$22,"",IF(E20&lt;$J$20,$J$19-E20,""))</f>
        <v/>
      </c>
      <c r="I20" s="4" t="s">
        <v>13</v>
      </c>
      <c r="J20" s="7">
        <f>J15*J18</f>
        <v>14774</v>
      </c>
    </row>
    <row r="21" spans="1:10" ht="15">
      <c r="A21" s="11">
        <v>45572</v>
      </c>
      <c r="B21" s="10">
        <v>69.61</v>
      </c>
      <c r="C21" s="10">
        <f>(B20-B21)*$J$15*$J$16</f>
        <v>-2979.99999999999</v>
      </c>
      <c r="D21" s="10">
        <f t="shared" si="0"/>
        <v>-13019.999999999996</v>
      </c>
      <c r="E21" s="10">
        <f t="shared" si="1"/>
        <v>13972</v>
      </c>
      <c r="F21" s="10">
        <f>IF(A21=$J$22,"",IF(E21&lt;$J$20,$J$19-E21,""))</f>
        <v>2280</v>
      </c>
      <c r="I21" s="4" t="s">
        <v>14</v>
      </c>
      <c r="J21" s="8">
        <v>45545</v>
      </c>
    </row>
    <row r="22" spans="1:10" ht="15" hidden="1">
      <c r="A22" s="11">
        <v>45573</v>
      </c>
      <c r="B22" s="10">
        <v>68.23</v>
      </c>
      <c r="C22" s="10">
        <f>(B21-B22)*$J$15*$J$16</f>
        <v>2759.9999999999909</v>
      </c>
      <c r="D22" s="10">
        <f t="shared" si="0"/>
        <v>-10260.000000000005</v>
      </c>
      <c r="E22" s="10">
        <f t="shared" si="1"/>
        <v>19011.999999999993</v>
      </c>
      <c r="F22" s="10" t="str">
        <f>IF(A22=$J$22,"",IF(E22&lt;$J$20,$J$19-E22,""))</f>
        <v/>
      </c>
      <c r="I22" s="4" t="s">
        <v>15</v>
      </c>
      <c r="J22" s="8">
        <v>46283</v>
      </c>
    </row>
    <row r="23" spans="1:10" hidden="1">
      <c r="A23" s="11">
        <v>45574</v>
      </c>
      <c r="B23" s="10">
        <v>67.69</v>
      </c>
      <c r="C23" s="10">
        <f>(B22-B23)*$J$15*$J$16</f>
        <v>1080.0000000000125</v>
      </c>
      <c r="D23" s="10">
        <f t="shared" si="0"/>
        <v>-9179.9999999999927</v>
      </c>
      <c r="E23" s="10">
        <f t="shared" si="1"/>
        <v>20092.000000000004</v>
      </c>
      <c r="F23" s="10" t="str">
        <f>IF(A23=$J$22,"",IF(E23&lt;$J$20,$J$19-E23,""))</f>
        <v/>
      </c>
    </row>
    <row r="24" spans="1:10" ht="15" hidden="1">
      <c r="A24" s="11">
        <v>45575</v>
      </c>
      <c r="B24" s="10">
        <v>68.59</v>
      </c>
      <c r="C24" s="10">
        <f>(B23-B24)*$J$15*$J$16</f>
        <v>-1800.0000000000114</v>
      </c>
      <c r="D24" s="10">
        <f t="shared" si="0"/>
        <v>-10980.000000000004</v>
      </c>
      <c r="E24" s="10">
        <f t="shared" si="1"/>
        <v>18291.999999999993</v>
      </c>
      <c r="F24" s="10" t="str">
        <f>IF(A24=$J$22,"",IF(E24&lt;$J$20,$J$19-E24,""))</f>
        <v/>
      </c>
      <c r="I24" s="3"/>
      <c r="J24" s="3"/>
    </row>
    <row r="25" spans="1:10" hidden="1">
      <c r="A25" s="11">
        <v>45576</v>
      </c>
      <c r="B25" s="10">
        <v>68.62</v>
      </c>
      <c r="C25" s="10">
        <f>(B24-B25)*$J$15*$J$16</f>
        <v>-60.000000000002274</v>
      </c>
      <c r="D25" s="10">
        <f t="shared" si="0"/>
        <v>-11040.000000000005</v>
      </c>
      <c r="E25" s="10">
        <f t="shared" si="1"/>
        <v>18231.999999999989</v>
      </c>
      <c r="F25" s="10" t="str">
        <f>IF(A25=$J$22,"",IF(E25&lt;$J$20,$J$19-E25,""))</f>
        <v/>
      </c>
      <c r="J25" s="9"/>
    </row>
    <row r="26" spans="1:10" hidden="1">
      <c r="A26" s="11">
        <v>45579</v>
      </c>
      <c r="B26" s="10">
        <v>68.180000000000007</v>
      </c>
      <c r="C26" s="10">
        <f>(B25-B26)*$J$15*$J$16</f>
        <v>879.99999999999545</v>
      </c>
      <c r="D26" s="10">
        <f t="shared" si="0"/>
        <v>-10160.000000000011</v>
      </c>
      <c r="E26" s="10">
        <f t="shared" si="1"/>
        <v>19111.999999999985</v>
      </c>
      <c r="F26" s="10" t="str">
        <f>IF(A26=$J$22,"",IF(E26&lt;$J$20,$J$19-E26,""))</f>
        <v/>
      </c>
      <c r="J26" s="9"/>
    </row>
    <row r="27" spans="1:10" hidden="1">
      <c r="A27" s="11">
        <v>45580</v>
      </c>
      <c r="B27" s="10">
        <v>66.239999999999995</v>
      </c>
      <c r="C27" s="10">
        <f>(B26-B27)*$J$15*$J$16</f>
        <v>3880.0000000000236</v>
      </c>
      <c r="D27" s="10">
        <f t="shared" si="0"/>
        <v>-6279.9999999999873</v>
      </c>
      <c r="E27" s="10">
        <f t="shared" si="1"/>
        <v>22992.000000000007</v>
      </c>
      <c r="F27" s="10" t="str">
        <f>IF(A27=$J$22,"",IF(E27&lt;$J$20,$J$19-E27,""))</f>
        <v/>
      </c>
      <c r="J27" s="2"/>
    </row>
    <row r="28" spans="1:10" hidden="1">
      <c r="A28" s="11">
        <v>45581</v>
      </c>
      <c r="B28" s="10">
        <v>65.790000000000006</v>
      </c>
      <c r="C28" s="10">
        <f>(B27-B28)*$J$15*$J$16</f>
        <v>899.99999999997726</v>
      </c>
      <c r="D28" s="10">
        <f t="shared" si="0"/>
        <v>-5380.00000000001</v>
      </c>
      <c r="E28" s="10">
        <f t="shared" si="1"/>
        <v>23891.999999999985</v>
      </c>
      <c r="F28" s="10" t="str">
        <f>IF(A28=$J$22,"",IF(E28&lt;$J$20,$J$19-E28,""))</f>
        <v/>
      </c>
    </row>
    <row r="29" spans="1:10" hidden="1">
      <c r="A29" s="11">
        <v>45582</v>
      </c>
      <c r="B29" s="10">
        <v>65.989999999999995</v>
      </c>
      <c r="C29" s="10">
        <f>(B28-B29)*$J$15*$J$16</f>
        <v>-399.99999999997726</v>
      </c>
      <c r="D29" s="10">
        <f t="shared" si="0"/>
        <v>-5779.9999999999873</v>
      </c>
      <c r="E29" s="10">
        <f t="shared" si="1"/>
        <v>23492.000000000007</v>
      </c>
      <c r="F29" s="10" t="str">
        <f>IF(A29=$J$22,"",IF(E29&lt;$J$20,$J$19-E29,""))</f>
        <v/>
      </c>
    </row>
    <row r="30" spans="1:10" hidden="1">
      <c r="A30" s="11">
        <v>45583</v>
      </c>
      <c r="B30" s="10">
        <v>65.33</v>
      </c>
      <c r="C30" s="10">
        <f>(B29-B30)*$J$15*$J$16</f>
        <v>1319.9999999999932</v>
      </c>
      <c r="D30" s="10">
        <f t="shared" si="0"/>
        <v>-4459.9999999999945</v>
      </c>
      <c r="E30" s="10">
        <f t="shared" si="1"/>
        <v>24812</v>
      </c>
      <c r="F30" s="10" t="str">
        <f>IF(A30=$J$22,"",IF(E30&lt;$J$20,$J$19-E30,""))</f>
        <v/>
      </c>
    </row>
    <row r="31" spans="1:10" hidden="1">
      <c r="A31" s="11">
        <v>45586</v>
      </c>
      <c r="B31" s="10">
        <v>66.06</v>
      </c>
      <c r="C31" s="10">
        <f>(B30-B31)*$J$15*$J$16</f>
        <v>-1460.000000000008</v>
      </c>
      <c r="D31" s="10">
        <f t="shared" si="0"/>
        <v>-5920.0000000000027</v>
      </c>
      <c r="E31" s="10">
        <f t="shared" si="1"/>
        <v>23351.999999999993</v>
      </c>
      <c r="F31" s="10" t="str">
        <f>IF(A31=$J$22,"",IF(E31&lt;$J$20,$J$19-E31,""))</f>
        <v/>
      </c>
    </row>
    <row r="32" spans="1:10" hidden="1">
      <c r="A32" s="11">
        <v>45587</v>
      </c>
      <c r="B32" s="10">
        <v>67.05</v>
      </c>
      <c r="C32" s="10">
        <f>(B31-B32)*$J$15*$J$16</f>
        <v>-1979.9999999999898</v>
      </c>
      <c r="D32" s="10">
        <f t="shared" si="0"/>
        <v>-7899.9999999999927</v>
      </c>
      <c r="E32" s="10">
        <f t="shared" si="1"/>
        <v>21372.000000000004</v>
      </c>
      <c r="F32" s="10" t="str">
        <f>IF(A32=$J$22,"",IF(E32&lt;$J$20,$J$19-E32,""))</f>
        <v/>
      </c>
    </row>
    <row r="33" spans="1:6" hidden="1">
      <c r="A33" s="11">
        <v>45588</v>
      </c>
      <c r="B33" s="10">
        <v>66.27</v>
      </c>
      <c r="C33" s="10">
        <f>(B32-B33)*$J$15*$J$16</f>
        <v>1560.0000000000023</v>
      </c>
      <c r="D33" s="10">
        <f t="shared" si="0"/>
        <v>-6339.9999999999909</v>
      </c>
      <c r="E33" s="10">
        <f t="shared" si="1"/>
        <v>22932.000000000007</v>
      </c>
      <c r="F33" s="10" t="str">
        <f>IF(A33=$J$22,"",IF(E33&lt;$J$20,$J$19-E33,""))</f>
        <v/>
      </c>
    </row>
    <row r="34" spans="1:6" hidden="1">
      <c r="A34" s="11">
        <v>45589</v>
      </c>
      <c r="B34" s="10">
        <v>66.17</v>
      </c>
      <c r="C34" s="10">
        <f>(B33-B34)*$J$15*$J$16</f>
        <v>199.99999999998863</v>
      </c>
      <c r="D34" s="10">
        <f t="shared" si="0"/>
        <v>-6140.0000000000018</v>
      </c>
      <c r="E34" s="10">
        <f t="shared" si="1"/>
        <v>23131.999999999996</v>
      </c>
      <c r="F34" s="10" t="str">
        <f>IF(A34=$J$22,"",IF(E34&lt;$J$20,$J$19-E34,""))</f>
        <v/>
      </c>
    </row>
    <row r="35" spans="1:6" hidden="1">
      <c r="A35" s="11">
        <v>45590</v>
      </c>
      <c r="B35" s="10">
        <v>67.03</v>
      </c>
      <c r="C35" s="10">
        <f>(B34-B35)*$J$15*$J$16</f>
        <v>-1719.9999999999989</v>
      </c>
      <c r="D35" s="10">
        <f t="shared" si="0"/>
        <v>-7860.0000000000009</v>
      </c>
      <c r="E35" s="10">
        <f t="shared" si="1"/>
        <v>21411.999999999996</v>
      </c>
      <c r="F35" s="10" t="str">
        <f>IF(A35=$J$22,"",IF(E35&lt;$J$20,$J$19-E35,""))</f>
        <v/>
      </c>
    </row>
    <row r="36" spans="1:6" hidden="1">
      <c r="A36" s="11">
        <v>45593</v>
      </c>
      <c r="B36" s="10">
        <v>64.36</v>
      </c>
      <c r="C36" s="10">
        <f>(B35-B36)*$J$15*$J$16</f>
        <v>5340.0000000000036</v>
      </c>
      <c r="D36" s="10">
        <f t="shared" si="0"/>
        <v>-2519.9999999999973</v>
      </c>
      <c r="E36" s="10">
        <f t="shared" si="1"/>
        <v>26752</v>
      </c>
      <c r="F36" s="10" t="str">
        <f>IF(A36=$J$22,"",IF(E36&lt;$J$20,$J$19-E36,""))</f>
        <v/>
      </c>
    </row>
    <row r="37" spans="1:6" hidden="1">
      <c r="A37" s="11">
        <v>45594</v>
      </c>
      <c r="B37" s="10">
        <v>64.34</v>
      </c>
      <c r="C37" s="10">
        <f>(B36-B37)*$J$15*$J$16</f>
        <v>39.999999999992042</v>
      </c>
      <c r="D37" s="10">
        <f t="shared" si="0"/>
        <v>-2480.0000000000055</v>
      </c>
      <c r="E37" s="10">
        <f t="shared" si="1"/>
        <v>26791.999999999993</v>
      </c>
      <c r="F37" s="10" t="str">
        <f>IF(A37=$J$22,"",IF(E37&lt;$J$20,$J$19-E37,""))</f>
        <v/>
      </c>
    </row>
    <row r="38" spans="1:6" hidden="1">
      <c r="A38" s="11">
        <v>45595</v>
      </c>
      <c r="B38" s="10">
        <v>65.209999999999994</v>
      </c>
      <c r="C38" s="10">
        <f>(B37-B38)*$J$15*$J$16</f>
        <v>-1739.9999999999807</v>
      </c>
      <c r="D38" s="10">
        <f t="shared" si="0"/>
        <v>-4219.9999999999864</v>
      </c>
      <c r="E38" s="10">
        <f t="shared" si="1"/>
        <v>25052.000000000011</v>
      </c>
      <c r="F38" s="10" t="str">
        <f>IF(A38=$J$22,"",IF(E38&lt;$J$20,$J$19-E38,""))</f>
        <v/>
      </c>
    </row>
    <row r="39" spans="1:6" hidden="1">
      <c r="A39" s="11">
        <v>45596</v>
      </c>
      <c r="B39" s="10">
        <v>65.260000000000005</v>
      </c>
      <c r="C39" s="10">
        <f>(B38-B39)*$J$15*$J$16</f>
        <v>-100.00000000002274</v>
      </c>
      <c r="D39" s="10">
        <f t="shared" si="0"/>
        <v>-4320.0000000000091</v>
      </c>
      <c r="E39" s="10">
        <f t="shared" si="1"/>
        <v>24951.999999999989</v>
      </c>
      <c r="F39" s="10" t="str">
        <f>IF(A39=$J$22,"",IF(E39&lt;$J$20,$J$19-E39,""))</f>
        <v/>
      </c>
    </row>
    <row r="40" spans="1:6" hidden="1">
      <c r="A40" s="11">
        <v>45597</v>
      </c>
      <c r="B40" s="10">
        <v>65.569999999999993</v>
      </c>
      <c r="C40" s="10">
        <f>(B39-B40)*$J$15*$J$16</f>
        <v>-619.99999999997613</v>
      </c>
      <c r="D40" s="10">
        <f t="shared" si="0"/>
        <v>-4939.9999999999854</v>
      </c>
      <c r="E40" s="10">
        <f t="shared" si="1"/>
        <v>24332.000000000015</v>
      </c>
      <c r="F40" s="10" t="str">
        <f>IF(A40=$J$22,"",IF(E40&lt;$J$20,$J$19-E40,""))</f>
        <v/>
      </c>
    </row>
    <row r="41" spans="1:6" hidden="1">
      <c r="A41" s="11">
        <v>45600</v>
      </c>
      <c r="B41" s="10">
        <v>66.13</v>
      </c>
      <c r="C41" s="10">
        <f>(B40-B41)*$J$15*$J$16</f>
        <v>-1120.0000000000045</v>
      </c>
      <c r="D41" s="10">
        <f t="shared" si="0"/>
        <v>-6059.99999999999</v>
      </c>
      <c r="E41" s="10">
        <f t="shared" si="1"/>
        <v>23212.000000000011</v>
      </c>
      <c r="F41" s="10" t="str">
        <f>IF(A41=$J$22,"",IF(E41&lt;$J$20,$J$19-E41,""))</f>
        <v/>
      </c>
    </row>
    <row r="42" spans="1:6" hidden="1">
      <c r="A42" s="11">
        <v>45601</v>
      </c>
      <c r="B42" s="10">
        <v>66.239999999999995</v>
      </c>
      <c r="C42" s="10">
        <f>(B41-B42)*$J$15*$J$16</f>
        <v>-219.99999999999886</v>
      </c>
      <c r="D42" s="10">
        <f t="shared" si="0"/>
        <v>-6279.9999999999891</v>
      </c>
      <c r="E42" s="10">
        <f t="shared" si="1"/>
        <v>22992.000000000011</v>
      </c>
      <c r="F42" s="10" t="str">
        <f>IF(A42=$J$22,"",IF(E42&lt;$J$20,$J$19-E42,""))</f>
        <v/>
      </c>
    </row>
    <row r="43" spans="1:6" hidden="1">
      <c r="A43" s="11">
        <v>45602</v>
      </c>
      <c r="B43" s="10">
        <v>66.31</v>
      </c>
      <c r="C43" s="10">
        <f>(B42-B43)*$J$15*$J$16</f>
        <v>-140.00000000001478</v>
      </c>
      <c r="D43" s="10">
        <f t="shared" si="0"/>
        <v>-6420.0000000000036</v>
      </c>
      <c r="E43" s="10">
        <f t="shared" si="1"/>
        <v>22851.999999999996</v>
      </c>
      <c r="F43" s="10" t="str">
        <f>IF(A43=$J$22,"",IF(E43&lt;$J$20,$J$19-E43,""))</f>
        <v/>
      </c>
    </row>
    <row r="44" spans="1:6" hidden="1">
      <c r="A44" s="11">
        <v>45603</v>
      </c>
      <c r="B44" s="10">
        <v>66.86</v>
      </c>
      <c r="C44" s="10">
        <f>(B43-B44)*$J$15*$J$16</f>
        <v>-1099.9999999999943</v>
      </c>
      <c r="D44" s="10">
        <f t="shared" si="0"/>
        <v>-7519.9999999999982</v>
      </c>
      <c r="E44" s="10">
        <f t="shared" si="1"/>
        <v>21752.000000000004</v>
      </c>
      <c r="F44" s="10" t="str">
        <f>IF(A44=$J$22,"",IF(E44&lt;$J$20,$J$19-E44,""))</f>
        <v/>
      </c>
    </row>
    <row r="45" spans="1:6" hidden="1">
      <c r="A45" s="11">
        <v>45604</v>
      </c>
      <c r="B45" s="10">
        <v>66.13</v>
      </c>
      <c r="C45" s="10">
        <f>(B44-B45)*$J$15*$J$16</f>
        <v>1460.000000000008</v>
      </c>
      <c r="D45" s="10">
        <f t="shared" si="0"/>
        <v>-6059.99999999999</v>
      </c>
      <c r="E45" s="10">
        <f t="shared" si="1"/>
        <v>23212.000000000011</v>
      </c>
      <c r="F45" s="10" t="str">
        <f>IF(A45=$J$22,"",IF(E45&lt;$J$20,$J$19-E45,""))</f>
        <v/>
      </c>
    </row>
    <row r="46" spans="1:6" hidden="1">
      <c r="A46" s="11">
        <v>45607</v>
      </c>
      <c r="B46" s="10">
        <v>65</v>
      </c>
      <c r="C46" s="10">
        <f>(B45-B46)*$J$15*$J$16</f>
        <v>2259.9999999999909</v>
      </c>
      <c r="D46" s="10">
        <f t="shared" si="0"/>
        <v>-3799.9999999999991</v>
      </c>
      <c r="E46" s="10">
        <f t="shared" si="1"/>
        <v>25472</v>
      </c>
      <c r="F46" s="10" t="str">
        <f>IF(A46=$J$22,"",IF(E46&lt;$J$20,$J$19-E46,""))</f>
        <v/>
      </c>
    </row>
    <row r="47" spans="1:6" hidden="1">
      <c r="A47" s="11">
        <v>45608</v>
      </c>
      <c r="B47" s="10">
        <v>64.91</v>
      </c>
      <c r="C47" s="10">
        <f>(B46-B47)*$J$15*$J$16</f>
        <v>180.00000000000682</v>
      </c>
      <c r="D47" s="10">
        <f t="shared" si="0"/>
        <v>-3619.9999999999923</v>
      </c>
      <c r="E47" s="10">
        <f t="shared" si="1"/>
        <v>25652.000000000007</v>
      </c>
      <c r="F47" s="10" t="str">
        <f>IF(A47=$J$22,"",IF(E47&lt;$J$20,$J$19-E47,""))</f>
        <v/>
      </c>
    </row>
    <row r="48" spans="1:6" hidden="1">
      <c r="A48" s="11">
        <v>45609</v>
      </c>
      <c r="B48" s="10">
        <v>64.87</v>
      </c>
      <c r="C48" s="10">
        <f>(B47-B48)*$J$15*$J$16</f>
        <v>79.999999999984084</v>
      </c>
      <c r="D48" s="10">
        <f t="shared" si="0"/>
        <v>-3540.0000000000082</v>
      </c>
      <c r="E48" s="10">
        <f t="shared" si="1"/>
        <v>25731.999999999993</v>
      </c>
      <c r="F48" s="10" t="str">
        <f>IF(A48=$J$22,"",IF(E48&lt;$J$20,$J$19-E48,""))</f>
        <v/>
      </c>
    </row>
    <row r="49" spans="1:6" hidden="1">
      <c r="A49" s="11">
        <v>45610</v>
      </c>
      <c r="B49" s="10">
        <v>64.7</v>
      </c>
      <c r="C49" s="10">
        <f>(B48-B49)*$J$15*$J$16</f>
        <v>340.00000000000341</v>
      </c>
      <c r="D49" s="10">
        <f t="shared" si="0"/>
        <v>-3200.0000000000045</v>
      </c>
      <c r="E49" s="10">
        <f t="shared" si="1"/>
        <v>26071.999999999996</v>
      </c>
      <c r="F49" s="10" t="str">
        <f>IF(A49=$J$22,"",IF(E49&lt;$J$20,$J$19-E49,""))</f>
        <v/>
      </c>
    </row>
    <row r="50" spans="1:6" hidden="1">
      <c r="A50" s="11">
        <v>45611</v>
      </c>
      <c r="B50" s="10">
        <v>63.82</v>
      </c>
      <c r="C50" s="10">
        <f>(B49-B50)*$J$15*$J$16</f>
        <v>1760.000000000005</v>
      </c>
      <c r="D50" s="10">
        <f t="shared" si="0"/>
        <v>-1439.9999999999995</v>
      </c>
      <c r="E50" s="10">
        <f t="shared" si="1"/>
        <v>27832</v>
      </c>
      <c r="F50" s="10" t="str">
        <f>IF(A50=$J$22,"",IF(E50&lt;$J$20,$J$19-E50,""))</f>
        <v/>
      </c>
    </row>
    <row r="51" spans="1:6" hidden="1">
      <c r="A51" s="11">
        <v>45614</v>
      </c>
      <c r="B51" s="10">
        <v>65.430000000000007</v>
      </c>
      <c r="C51" s="10">
        <f>(B50-B51)*$J$15*$J$16</f>
        <v>-3220.0000000000132</v>
      </c>
      <c r="D51" s="10">
        <f t="shared" si="0"/>
        <v>-4660.0000000000127</v>
      </c>
      <c r="E51" s="10">
        <f t="shared" si="1"/>
        <v>24611.999999999985</v>
      </c>
      <c r="F51" s="10" t="str">
        <f>IF(A51=$J$22,"",IF(E51&lt;$J$20,$J$19-E51,""))</f>
        <v/>
      </c>
    </row>
    <row r="52" spans="1:6" hidden="1">
      <c r="A52" s="11">
        <v>45615</v>
      </c>
      <c r="B52" s="10">
        <v>65.78</v>
      </c>
      <c r="C52" s="10">
        <f>(B51-B52)*$J$15*$J$16</f>
        <v>-699.99999999998863</v>
      </c>
      <c r="D52" s="10">
        <f t="shared" si="0"/>
        <v>-5360.0000000000018</v>
      </c>
      <c r="E52" s="10">
        <f t="shared" si="1"/>
        <v>23911.999999999996</v>
      </c>
      <c r="F52" s="10" t="str">
        <f>IF(A52=$J$22,"",IF(E52&lt;$J$20,$J$19-E52,""))</f>
        <v/>
      </c>
    </row>
    <row r="53" spans="1:6" hidden="1">
      <c r="A53" s="11">
        <v>45616</v>
      </c>
      <c r="B53" s="10">
        <v>65.430000000000007</v>
      </c>
      <c r="C53" s="10">
        <f>(B52-B53)*$J$15*$J$16</f>
        <v>699.99999999998863</v>
      </c>
      <c r="D53" s="10">
        <f t="shared" si="0"/>
        <v>-4660.0000000000127</v>
      </c>
      <c r="E53" s="10">
        <f t="shared" si="1"/>
        <v>24611.999999999985</v>
      </c>
      <c r="F53" s="10" t="str">
        <f>IF(A53=$J$22,"",IF(E53&lt;$J$20,$J$19-E53,""))</f>
        <v/>
      </c>
    </row>
    <row r="54" spans="1:6" hidden="1">
      <c r="A54" s="11">
        <v>45617</v>
      </c>
      <c r="B54" s="10">
        <v>65.7</v>
      </c>
      <c r="C54" s="10">
        <f>(B53-B54)*$J$15*$J$16</f>
        <v>-539.99999999999204</v>
      </c>
      <c r="D54" s="10">
        <f t="shared" si="0"/>
        <v>-5200.0000000000045</v>
      </c>
      <c r="E54" s="10">
        <f t="shared" si="1"/>
        <v>24071.999999999993</v>
      </c>
      <c r="F54" s="10" t="str">
        <f>IF(A54=$J$22,"",IF(E54&lt;$J$20,$J$19-E54,""))</f>
        <v/>
      </c>
    </row>
    <row r="55" spans="1:6" hidden="1">
      <c r="A55" s="11">
        <v>45618</v>
      </c>
      <c r="B55" s="10">
        <v>66.209999999999994</v>
      </c>
      <c r="C55" s="10">
        <f>(B54-B55)*$J$15*$J$16</f>
        <v>-1019.9999999999818</v>
      </c>
      <c r="D55" s="10">
        <f t="shared" si="0"/>
        <v>-6219.9999999999864</v>
      </c>
      <c r="E55" s="10">
        <f t="shared" si="1"/>
        <v>23052.000000000011</v>
      </c>
      <c r="F55" s="10" t="str">
        <f>IF(A55=$J$22,"",IF(E55&lt;$J$20,$J$19-E55,""))</f>
        <v/>
      </c>
    </row>
    <row r="56" spans="1:6" hidden="1">
      <c r="A56" s="11">
        <v>45621</v>
      </c>
      <c r="B56" s="10">
        <v>64.849999999999994</v>
      </c>
      <c r="C56" s="10">
        <f>(B55-B56)*$J$15*$J$16</f>
        <v>2719.9999999999991</v>
      </c>
      <c r="D56" s="10">
        <f t="shared" si="0"/>
        <v>-3499.9999999999873</v>
      </c>
      <c r="E56" s="10">
        <f t="shared" si="1"/>
        <v>25772.000000000011</v>
      </c>
      <c r="F56" s="10" t="str">
        <f>IF(A56=$J$22,"",IF(E56&lt;$J$20,$J$19-E56,""))</f>
        <v/>
      </c>
    </row>
    <row r="57" spans="1:6" hidden="1">
      <c r="A57" s="11">
        <v>45622</v>
      </c>
      <c r="B57" s="10">
        <v>65.08</v>
      </c>
      <c r="C57" s="10">
        <f>(B56-B57)*$J$15*$J$16</f>
        <v>-460.00000000000796</v>
      </c>
      <c r="D57" s="10">
        <f t="shared" si="0"/>
        <v>-3959.9999999999955</v>
      </c>
      <c r="E57" s="10">
        <f t="shared" si="1"/>
        <v>25312.000000000004</v>
      </c>
      <c r="F57" s="10" t="str">
        <f>IF(A57=$J$22,"",IF(E57&lt;$J$20,$J$19-E57,""))</f>
        <v/>
      </c>
    </row>
    <row r="58" spans="1:6" hidden="1">
      <c r="A58" s="11">
        <v>45623</v>
      </c>
      <c r="B58" s="10">
        <v>64.84</v>
      </c>
      <c r="C58" s="10">
        <f>(B57-B58)*$J$15*$J$16</f>
        <v>479.99999999998977</v>
      </c>
      <c r="D58" s="10">
        <f t="shared" si="0"/>
        <v>-3480.0000000000055</v>
      </c>
      <c r="E58" s="10">
        <f t="shared" si="1"/>
        <v>25791.999999999993</v>
      </c>
      <c r="F58" s="10" t="str">
        <f>IF(A58=$J$22,"",IF(E58&lt;$J$20,$J$19-E58,""))</f>
        <v/>
      </c>
    </row>
    <row r="59" spans="1:6" hidden="1">
      <c r="A59" s="11">
        <v>45625</v>
      </c>
      <c r="B59" s="10">
        <v>64.34</v>
      </c>
      <c r="C59" s="10">
        <f>(B58-B59)*$J$15*$J$16</f>
        <v>1000</v>
      </c>
      <c r="D59" s="10">
        <f t="shared" si="0"/>
        <v>-2480.0000000000055</v>
      </c>
      <c r="E59" s="10">
        <f t="shared" si="1"/>
        <v>26791.999999999993</v>
      </c>
      <c r="F59" s="10" t="str">
        <f>IF(A59=$J$22,"",IF(E59&lt;$J$20,$J$19-E59,""))</f>
        <v/>
      </c>
    </row>
    <row r="60" spans="1:6" hidden="1">
      <c r="A60" s="11">
        <v>45628</v>
      </c>
      <c r="B60" s="10">
        <v>64.42</v>
      </c>
      <c r="C60" s="10">
        <f>(B59-B60)*$J$15*$J$16</f>
        <v>-159.99999999999659</v>
      </c>
      <c r="D60" s="10">
        <f t="shared" si="0"/>
        <v>-2640.0000000000018</v>
      </c>
      <c r="E60" s="10">
        <f t="shared" si="1"/>
        <v>26631.999999999996</v>
      </c>
      <c r="F60" s="10" t="str">
        <f>IF(A60=$J$22,"",IF(E60&lt;$J$20,$J$19-E60,""))</f>
        <v/>
      </c>
    </row>
    <row r="61" spans="1:6" hidden="1">
      <c r="A61" s="11">
        <v>45629</v>
      </c>
      <c r="B61" s="10">
        <v>65.41</v>
      </c>
      <c r="C61" s="10">
        <f>(B60-B61)*$J$15*$J$16</f>
        <v>-1979.9999999999898</v>
      </c>
      <c r="D61" s="10">
        <f t="shared" si="0"/>
        <v>-4619.9999999999918</v>
      </c>
      <c r="E61" s="10">
        <f t="shared" si="1"/>
        <v>24652.000000000007</v>
      </c>
      <c r="F61" s="10" t="str">
        <f>IF(A61=$J$22,"",IF(E61&lt;$J$20,$J$19-E61,""))</f>
        <v/>
      </c>
    </row>
    <row r="62" spans="1:6" hidden="1">
      <c r="A62" s="11">
        <v>45630</v>
      </c>
      <c r="B62" s="10">
        <v>64.38</v>
      </c>
      <c r="C62" s="10">
        <f>(B61-B62)*$J$15*$J$16</f>
        <v>2060.0000000000023</v>
      </c>
      <c r="D62" s="10">
        <f t="shared" si="0"/>
        <v>-2559.9999999999895</v>
      </c>
      <c r="E62" s="10">
        <f t="shared" si="1"/>
        <v>26712.000000000011</v>
      </c>
      <c r="F62" s="10" t="str">
        <f>IF(A62=$J$22,"",IF(E62&lt;$J$20,$J$19-E62,""))</f>
        <v/>
      </c>
    </row>
    <row r="63" spans="1:6" hidden="1">
      <c r="A63" s="11">
        <v>45631</v>
      </c>
      <c r="B63" s="10">
        <v>64.239999999999995</v>
      </c>
      <c r="C63" s="10">
        <f>(B62-B63)*$J$15*$J$16</f>
        <v>280.00000000000114</v>
      </c>
      <c r="D63" s="10">
        <f t="shared" si="0"/>
        <v>-2279.9999999999882</v>
      </c>
      <c r="E63" s="10">
        <f t="shared" si="1"/>
        <v>26992.000000000011</v>
      </c>
      <c r="F63" s="10" t="str">
        <f>IF(A63=$J$22,"",IF(E63&lt;$J$20,$J$19-E63,""))</f>
        <v/>
      </c>
    </row>
    <row r="64" spans="1:6" hidden="1">
      <c r="A64" s="11">
        <v>45632</v>
      </c>
      <c r="B64" s="10">
        <v>63.96</v>
      </c>
      <c r="C64" s="10">
        <f>(B63-B64)*$J$15*$J$16</f>
        <v>559.99999999998806</v>
      </c>
      <c r="D64" s="10">
        <f t="shared" si="0"/>
        <v>-1720</v>
      </c>
      <c r="E64" s="10">
        <f t="shared" si="1"/>
        <v>27552</v>
      </c>
      <c r="F64" s="10" t="str">
        <f>IF(A64=$J$22,"",IF(E64&lt;$J$20,$J$19-E64,""))</f>
        <v/>
      </c>
    </row>
    <row r="65" spans="1:6" hidden="1">
      <c r="A65" s="11">
        <v>45635</v>
      </c>
      <c r="B65" s="10">
        <v>64.849999999999994</v>
      </c>
      <c r="C65" s="10">
        <f>(B64-B65)*$J$15*$J$16</f>
        <v>-1779.9999999999868</v>
      </c>
      <c r="D65" s="10">
        <f t="shared" si="0"/>
        <v>-3499.9999999999868</v>
      </c>
      <c r="E65" s="10">
        <f t="shared" si="1"/>
        <v>25772.000000000015</v>
      </c>
      <c r="F65" s="10" t="str">
        <f>IF(A65=$J$22,"",IF(E65&lt;$J$20,$J$19-E65,""))</f>
        <v/>
      </c>
    </row>
    <row r="66" spans="1:6" hidden="1">
      <c r="A66" s="11">
        <v>45636</v>
      </c>
      <c r="B66" s="10">
        <v>64.83</v>
      </c>
      <c r="C66" s="10">
        <f>(B65-B66)*$J$15*$J$16</f>
        <v>39.999999999992042</v>
      </c>
      <c r="D66" s="10">
        <f t="shared" si="0"/>
        <v>-3459.9999999999945</v>
      </c>
      <c r="E66" s="10">
        <f t="shared" si="1"/>
        <v>25812.000000000007</v>
      </c>
      <c r="F66" s="10" t="str">
        <f>IF(A66=$J$22,"",IF(E66&lt;$J$20,$J$19-E66,""))</f>
        <v/>
      </c>
    </row>
    <row r="67" spans="1:6" hidden="1">
      <c r="A67" s="11">
        <v>45637</v>
      </c>
      <c r="B67" s="10">
        <v>65.37</v>
      </c>
      <c r="C67" s="10">
        <f>(B66-B67)*$J$15*$J$16</f>
        <v>-1080.0000000000125</v>
      </c>
      <c r="D67" s="10">
        <f t="shared" ref="D67:D130" si="2">D66+C67</f>
        <v>-4540.0000000000073</v>
      </c>
      <c r="E67" s="10">
        <f t="shared" ref="E67:E130" si="3">E66+IF(F66="",0,F66)+C67</f>
        <v>24731.999999999996</v>
      </c>
      <c r="F67" s="10" t="str">
        <f>IF(A67=$J$22,"",IF(E67&lt;$J$20,$J$19-E67,""))</f>
        <v/>
      </c>
    </row>
    <row r="68" spans="1:6" hidden="1">
      <c r="A68" s="11">
        <v>45638</v>
      </c>
      <c r="B68" s="10">
        <v>65.430000000000007</v>
      </c>
      <c r="C68" s="10">
        <f>(B67-B68)*$J$15*$J$16</f>
        <v>-120.00000000000455</v>
      </c>
      <c r="D68" s="10">
        <f t="shared" si="2"/>
        <v>-4660.0000000000118</v>
      </c>
      <c r="E68" s="10">
        <f t="shared" si="3"/>
        <v>24611.999999999993</v>
      </c>
      <c r="F68" s="10" t="str">
        <f>IF(A68=$J$22,"",IF(E68&lt;$J$20,$J$19-E68,""))</f>
        <v/>
      </c>
    </row>
    <row r="69" spans="1:6" hidden="1">
      <c r="A69" s="11">
        <v>45639</v>
      </c>
      <c r="B69" s="10">
        <v>65.930000000000007</v>
      </c>
      <c r="C69" s="10">
        <f>(B68-B69)*$J$15*$J$16</f>
        <v>-1000</v>
      </c>
      <c r="D69" s="10">
        <f t="shared" si="2"/>
        <v>-5660.0000000000118</v>
      </c>
      <c r="E69" s="10">
        <f t="shared" si="3"/>
        <v>23611.999999999993</v>
      </c>
      <c r="F69" s="10" t="str">
        <f>IF(A69=$J$22,"",IF(E69&lt;$J$20,$J$19-E69,""))</f>
        <v/>
      </c>
    </row>
    <row r="70" spans="1:6" hidden="1">
      <c r="A70" s="11">
        <v>45642</v>
      </c>
      <c r="B70" s="10">
        <v>65.680000000000007</v>
      </c>
      <c r="C70" s="10">
        <f>(B69-B70)*$J$15*$J$16</f>
        <v>500</v>
      </c>
      <c r="D70" s="10">
        <f t="shared" si="2"/>
        <v>-5160.0000000000118</v>
      </c>
      <c r="E70" s="10">
        <f t="shared" si="3"/>
        <v>24111.999999999993</v>
      </c>
      <c r="F70" s="10" t="str">
        <f>IF(A70=$J$22,"",IF(E70&lt;$J$20,$J$19-E70,""))</f>
        <v/>
      </c>
    </row>
    <row r="71" spans="1:6" hidden="1">
      <c r="A71" s="11">
        <v>45643</v>
      </c>
      <c r="B71" s="10">
        <v>65.17</v>
      </c>
      <c r="C71" s="10">
        <f>(B70-B71)*$J$15*$J$16</f>
        <v>1020.0000000000102</v>
      </c>
      <c r="D71" s="10">
        <f t="shared" si="2"/>
        <v>-4140.0000000000018</v>
      </c>
      <c r="E71" s="10">
        <f t="shared" si="3"/>
        <v>25132.000000000004</v>
      </c>
      <c r="F71" s="10" t="str">
        <f>IF(A71=$J$22,"",IF(E71&lt;$J$20,$J$19-E71,""))</f>
        <v/>
      </c>
    </row>
    <row r="72" spans="1:6" hidden="1">
      <c r="A72" s="11">
        <v>45644</v>
      </c>
      <c r="B72" s="10">
        <v>65.040000000000006</v>
      </c>
      <c r="C72" s="10">
        <f>(B71-B72)*$J$15*$J$16</f>
        <v>259.99999999999091</v>
      </c>
      <c r="D72" s="10">
        <f t="shared" si="2"/>
        <v>-3880.0000000000109</v>
      </c>
      <c r="E72" s="10">
        <f t="shared" si="3"/>
        <v>25391.999999999993</v>
      </c>
      <c r="F72" s="10" t="str">
        <f>IF(A72=$J$22,"",IF(E72&lt;$J$20,$J$19-E72,""))</f>
        <v/>
      </c>
    </row>
    <row r="73" spans="1:6" hidden="1">
      <c r="A73" s="11">
        <v>45645</v>
      </c>
      <c r="B73" s="10">
        <v>64.48</v>
      </c>
      <c r="C73" s="10">
        <f>(B72-B73)*$J$15*$J$16</f>
        <v>1120.0000000000045</v>
      </c>
      <c r="D73" s="10">
        <f t="shared" si="2"/>
        <v>-2760.0000000000064</v>
      </c>
      <c r="E73" s="10">
        <f t="shared" si="3"/>
        <v>26511.999999999996</v>
      </c>
      <c r="F73" s="10" t="str">
        <f>IF(A73=$J$22,"",IF(E73&lt;$J$20,$J$19-E73,""))</f>
        <v/>
      </c>
    </row>
    <row r="74" spans="1:6" hidden="1">
      <c r="A74" s="11">
        <v>45646</v>
      </c>
      <c r="B74" s="10">
        <v>64.58</v>
      </c>
      <c r="C74" s="10">
        <f>(B73-B74)*$J$15*$J$16</f>
        <v>-199.99999999998863</v>
      </c>
      <c r="D74" s="10">
        <f t="shared" si="2"/>
        <v>-2959.999999999995</v>
      </c>
      <c r="E74" s="10">
        <f t="shared" si="3"/>
        <v>26312.000000000007</v>
      </c>
      <c r="F74" s="10" t="str">
        <f>IF(A74=$J$22,"",IF(E74&lt;$J$20,$J$19-E74,""))</f>
        <v/>
      </c>
    </row>
    <row r="75" spans="1:6" hidden="1">
      <c r="A75" s="11">
        <v>45649</v>
      </c>
      <c r="B75" s="10">
        <v>64.56</v>
      </c>
      <c r="C75" s="10">
        <f>(B74-B75)*$J$15*$J$16</f>
        <v>39.999999999992042</v>
      </c>
      <c r="D75" s="10">
        <f t="shared" si="2"/>
        <v>-2920.0000000000027</v>
      </c>
      <c r="E75" s="10">
        <f t="shared" si="3"/>
        <v>26352</v>
      </c>
      <c r="F75" s="10" t="str">
        <f>IF(A75=$J$22,"",IF(E75&lt;$J$20,$J$19-E75,""))</f>
        <v/>
      </c>
    </row>
    <row r="76" spans="1:6" hidden="1">
      <c r="A76" s="11">
        <v>45650</v>
      </c>
      <c r="B76" s="10">
        <v>65.03</v>
      </c>
      <c r="C76" s="10">
        <f>(B75-B76)*$J$15*$J$16</f>
        <v>-939.99999999999773</v>
      </c>
      <c r="D76" s="10">
        <f t="shared" si="2"/>
        <v>-3860.0000000000005</v>
      </c>
      <c r="E76" s="10">
        <f t="shared" si="3"/>
        <v>25412.000000000004</v>
      </c>
      <c r="F76" s="10" t="str">
        <f>IF(A76=$J$22,"",IF(E76&lt;$J$20,$J$19-E76,""))</f>
        <v/>
      </c>
    </row>
    <row r="77" spans="1:6" hidden="1">
      <c r="A77" s="11">
        <v>45652</v>
      </c>
      <c r="B77" s="10">
        <v>64.739999999999995</v>
      </c>
      <c r="C77" s="10">
        <f>(B76-B77)*$J$15*$J$16</f>
        <v>580.00000000001251</v>
      </c>
      <c r="D77" s="10">
        <f t="shared" si="2"/>
        <v>-3279.9999999999882</v>
      </c>
      <c r="E77" s="10">
        <f t="shared" si="3"/>
        <v>25992.000000000015</v>
      </c>
      <c r="F77" s="10" t="str">
        <f>IF(A77=$J$22,"",IF(E77&lt;$J$20,$J$19-E77,""))</f>
        <v/>
      </c>
    </row>
    <row r="78" spans="1:6" hidden="1">
      <c r="A78" s="11">
        <v>45653</v>
      </c>
      <c r="B78" s="10">
        <v>65.010000000000005</v>
      </c>
      <c r="C78" s="10">
        <f>(B77-B78)*$J$15*$J$16</f>
        <v>-540.00000000002046</v>
      </c>
      <c r="D78" s="10">
        <f t="shared" si="2"/>
        <v>-3820.0000000000086</v>
      </c>
      <c r="E78" s="10">
        <f t="shared" si="3"/>
        <v>25451.999999999993</v>
      </c>
      <c r="F78" s="10" t="str">
        <f>IF(A78=$J$22,"",IF(E78&lt;$J$20,$J$19-E78,""))</f>
        <v/>
      </c>
    </row>
    <row r="79" spans="1:6" hidden="1">
      <c r="A79" s="11">
        <v>45656</v>
      </c>
      <c r="B79" s="10">
        <v>65.319999999999993</v>
      </c>
      <c r="C79" s="10">
        <f>(B78-B79)*$J$15*$J$16</f>
        <v>-619.99999999997613</v>
      </c>
      <c r="D79" s="10">
        <f t="shared" si="2"/>
        <v>-4439.9999999999845</v>
      </c>
      <c r="E79" s="10">
        <f t="shared" si="3"/>
        <v>24832.000000000018</v>
      </c>
      <c r="F79" s="10" t="str">
        <f>IF(A79=$J$22,"",IF(E79&lt;$J$20,$J$19-E79,""))</f>
        <v/>
      </c>
    </row>
    <row r="80" spans="1:6" hidden="1">
      <c r="A80" s="11">
        <v>45657</v>
      </c>
      <c r="B80" s="10">
        <v>65.739999999999995</v>
      </c>
      <c r="C80" s="10">
        <f>(B79-B80)*$J$15*$J$16</f>
        <v>-840.00000000000341</v>
      </c>
      <c r="D80" s="10">
        <f t="shared" si="2"/>
        <v>-5279.9999999999882</v>
      </c>
      <c r="E80" s="10">
        <f t="shared" si="3"/>
        <v>23992.000000000015</v>
      </c>
      <c r="F80" s="10" t="str">
        <f>IF(A80=$J$22,"",IF(E80&lt;$J$20,$J$19-E80,""))</f>
        <v/>
      </c>
    </row>
    <row r="81" spans="1:6" hidden="1">
      <c r="A81" s="11">
        <v>45659</v>
      </c>
      <c r="B81" s="10">
        <v>66.260000000000005</v>
      </c>
      <c r="C81" s="10">
        <f>(B80-B81)*$J$15*$J$16</f>
        <v>-1040.0000000000205</v>
      </c>
      <c r="D81" s="10">
        <f t="shared" si="2"/>
        <v>-6320.0000000000091</v>
      </c>
      <c r="E81" s="10">
        <f t="shared" si="3"/>
        <v>22951.999999999993</v>
      </c>
      <c r="F81" s="10" t="str">
        <f>IF(A81=$J$22,"",IF(E81&lt;$J$20,$J$19-E81,""))</f>
        <v/>
      </c>
    </row>
    <row r="82" spans="1:6" hidden="1">
      <c r="A82" s="11">
        <v>45660</v>
      </c>
      <c r="B82" s="10">
        <v>66.44</v>
      </c>
      <c r="C82" s="10">
        <f>(B81-B82)*$J$15*$J$16</f>
        <v>-359.99999999998522</v>
      </c>
      <c r="D82" s="10">
        <f t="shared" si="2"/>
        <v>-6679.9999999999945</v>
      </c>
      <c r="E82" s="10">
        <f t="shared" si="3"/>
        <v>22592.000000000007</v>
      </c>
      <c r="F82" s="10" t="str">
        <f>IF(A82=$J$22,"",IF(E82&lt;$J$20,$J$19-E82,""))</f>
        <v/>
      </c>
    </row>
    <row r="83" spans="1:6" hidden="1">
      <c r="A83" s="11">
        <v>45663</v>
      </c>
      <c r="B83" s="10">
        <v>66.7</v>
      </c>
      <c r="C83" s="10">
        <f>(B82-B83)*$J$15*$J$16</f>
        <v>-520.00000000001023</v>
      </c>
      <c r="D83" s="10">
        <f t="shared" si="2"/>
        <v>-7200.0000000000045</v>
      </c>
      <c r="E83" s="10">
        <f t="shared" si="3"/>
        <v>22071.999999999996</v>
      </c>
      <c r="F83" s="10" t="str">
        <f>IF(A83=$J$22,"",IF(E83&lt;$J$20,$J$19-E83,""))</f>
        <v/>
      </c>
    </row>
    <row r="84" spans="1:6" hidden="1">
      <c r="A84" s="11">
        <v>45664</v>
      </c>
      <c r="B84" s="10">
        <v>66.83</v>
      </c>
      <c r="C84" s="10">
        <f>(B83-B84)*$J$15*$J$16</f>
        <v>-259.99999999999091</v>
      </c>
      <c r="D84" s="10">
        <f t="shared" si="2"/>
        <v>-7459.9999999999955</v>
      </c>
      <c r="E84" s="10">
        <f t="shared" si="3"/>
        <v>21812.000000000007</v>
      </c>
      <c r="F84" s="10" t="str">
        <f>IF(A84=$J$22,"",IF(E84&lt;$J$20,$J$19-E84,""))</f>
        <v/>
      </c>
    </row>
    <row r="85" spans="1:6" hidden="1">
      <c r="A85" s="11">
        <v>45665</v>
      </c>
      <c r="B85" s="10">
        <v>66.37</v>
      </c>
      <c r="C85" s="10">
        <f>(B84-B85)*$J$15*$J$16</f>
        <v>919.99999999998749</v>
      </c>
      <c r="D85" s="10">
        <f t="shared" si="2"/>
        <v>-6540.0000000000082</v>
      </c>
      <c r="E85" s="10">
        <f t="shared" si="3"/>
        <v>22731.999999999996</v>
      </c>
      <c r="F85" s="10" t="str">
        <f>IF(A85=$J$22,"",IF(E85&lt;$J$20,$J$19-E85,""))</f>
        <v/>
      </c>
    </row>
    <row r="86" spans="1:6" hidden="1">
      <c r="A86" s="11">
        <v>45666</v>
      </c>
      <c r="B86" s="10">
        <v>66.44</v>
      </c>
      <c r="C86" s="10">
        <f>(B85-B86)*$J$15*$J$16</f>
        <v>-139.99999999998636</v>
      </c>
      <c r="D86" s="10">
        <f t="shared" si="2"/>
        <v>-6679.9999999999945</v>
      </c>
      <c r="E86" s="10">
        <f t="shared" si="3"/>
        <v>22592.000000000011</v>
      </c>
      <c r="F86" s="10" t="str">
        <f>IF(A86=$J$22,"",IF(E86&lt;$J$20,$J$19-E86,""))</f>
        <v/>
      </c>
    </row>
    <row r="87" spans="1:6" hidden="1">
      <c r="A87" s="11">
        <v>45667</v>
      </c>
      <c r="B87" s="10">
        <v>66.89</v>
      </c>
      <c r="C87" s="10">
        <f>(B86-B87)*$J$15*$J$16</f>
        <v>-900.00000000000568</v>
      </c>
      <c r="D87" s="10">
        <f t="shared" si="2"/>
        <v>-7580</v>
      </c>
      <c r="E87" s="10">
        <f t="shared" si="3"/>
        <v>21692.000000000004</v>
      </c>
      <c r="F87" s="10" t="str">
        <f>IF(A87=$J$22,"",IF(E87&lt;$J$20,$J$19-E87,""))</f>
        <v/>
      </c>
    </row>
    <row r="88" spans="1:6" hidden="1">
      <c r="A88" s="11">
        <v>45670</v>
      </c>
      <c r="B88" s="10">
        <v>66.599999999999994</v>
      </c>
      <c r="C88" s="10">
        <f>(B87-B88)*$J$15*$J$16</f>
        <v>580.00000000001251</v>
      </c>
      <c r="D88" s="10">
        <f t="shared" si="2"/>
        <v>-6999.9999999999873</v>
      </c>
      <c r="E88" s="10">
        <f t="shared" si="3"/>
        <v>22272.000000000015</v>
      </c>
      <c r="F88" s="10" t="str">
        <f>IF(A88=$J$22,"",IF(E88&lt;$J$20,$J$19-E88,""))</f>
        <v/>
      </c>
    </row>
    <row r="89" spans="1:6" hidden="1">
      <c r="A89" s="11">
        <v>45671</v>
      </c>
      <c r="B89" s="10">
        <v>67.11</v>
      </c>
      <c r="C89" s="10">
        <f>(B88-B89)*$J$15*$J$16</f>
        <v>-1020.0000000000102</v>
      </c>
      <c r="D89" s="10">
        <f t="shared" si="2"/>
        <v>-8019.9999999999973</v>
      </c>
      <c r="E89" s="10">
        <f t="shared" si="3"/>
        <v>21252.000000000004</v>
      </c>
      <c r="F89" s="10" t="str">
        <f>IF(A89=$J$22,"",IF(E89&lt;$J$20,$J$19-E89,""))</f>
        <v/>
      </c>
    </row>
    <row r="90" spans="1:6" hidden="1">
      <c r="A90" s="11">
        <v>45672</v>
      </c>
      <c r="B90" s="10">
        <v>67.540000000000006</v>
      </c>
      <c r="C90" s="10">
        <f>(B89-B90)*$J$15*$J$16</f>
        <v>-860.00000000001364</v>
      </c>
      <c r="D90" s="10">
        <f t="shared" si="2"/>
        <v>-8880.0000000000109</v>
      </c>
      <c r="E90" s="10">
        <f t="shared" si="3"/>
        <v>20391.999999999989</v>
      </c>
      <c r="F90" s="10" t="str">
        <f>IF(A90=$J$22,"",IF(E90&lt;$J$20,$J$19-E90,""))</f>
        <v/>
      </c>
    </row>
    <row r="91" spans="1:6" hidden="1">
      <c r="A91" s="11">
        <v>45673</v>
      </c>
      <c r="B91" s="10">
        <v>67.010000000000005</v>
      </c>
      <c r="C91" s="10">
        <f>(B90-B91)*$J$15*$J$16</f>
        <v>1060.0000000000023</v>
      </c>
      <c r="D91" s="10">
        <f t="shared" si="2"/>
        <v>-7820.0000000000091</v>
      </c>
      <c r="E91" s="10">
        <f t="shared" si="3"/>
        <v>21451.999999999993</v>
      </c>
      <c r="F91" s="10" t="str">
        <f>IF(A91=$J$22,"",IF(E91&lt;$J$20,$J$19-E91,""))</f>
        <v/>
      </c>
    </row>
    <row r="92" spans="1:6" hidden="1">
      <c r="A92" s="11">
        <v>45674</v>
      </c>
      <c r="B92" s="10">
        <v>66.900000000000006</v>
      </c>
      <c r="C92" s="10">
        <f>(B91-B92)*$J$15*$J$16</f>
        <v>219.99999999999886</v>
      </c>
      <c r="D92" s="10">
        <f t="shared" si="2"/>
        <v>-7600.00000000001</v>
      </c>
      <c r="E92" s="10">
        <f t="shared" si="3"/>
        <v>21671.999999999993</v>
      </c>
      <c r="F92" s="10" t="str">
        <f>IF(A92=$J$22,"",IF(E92&lt;$J$20,$J$19-E92,""))</f>
        <v/>
      </c>
    </row>
    <row r="93" spans="1:6" hidden="1">
      <c r="A93" s="11">
        <v>45678</v>
      </c>
      <c r="B93" s="10">
        <v>66.89</v>
      </c>
      <c r="C93" s="10">
        <f>(B92-B93)*$J$15*$J$16</f>
        <v>20.000000000010232</v>
      </c>
      <c r="D93" s="10">
        <f t="shared" si="2"/>
        <v>-7580</v>
      </c>
      <c r="E93" s="10">
        <f t="shared" si="3"/>
        <v>21692.000000000004</v>
      </c>
      <c r="F93" s="10" t="str">
        <f>IF(A93=$J$22,"",IF(E93&lt;$J$20,$J$19-E93,""))</f>
        <v/>
      </c>
    </row>
    <row r="94" spans="1:6" hidden="1">
      <c r="A94" s="11">
        <v>45679</v>
      </c>
      <c r="B94" s="10">
        <v>66.91</v>
      </c>
      <c r="C94" s="10">
        <f>(B93-B94)*$J$15*$J$16</f>
        <v>-39.999999999992042</v>
      </c>
      <c r="D94" s="10">
        <f t="shared" si="2"/>
        <v>-7619.9999999999918</v>
      </c>
      <c r="E94" s="10">
        <f t="shared" si="3"/>
        <v>21652.000000000011</v>
      </c>
      <c r="F94" s="10" t="str">
        <f>IF(A94=$J$22,"",IF(E94&lt;$J$20,$J$19-E94,""))</f>
        <v/>
      </c>
    </row>
    <row r="95" spans="1:6" hidden="1">
      <c r="A95" s="11">
        <v>45680</v>
      </c>
      <c r="B95" s="10">
        <v>66.84</v>
      </c>
      <c r="C95" s="10">
        <f>(B94-B95)*$J$15*$J$16</f>
        <v>139.99999999998636</v>
      </c>
      <c r="D95" s="10">
        <f t="shared" si="2"/>
        <v>-7480.0000000000055</v>
      </c>
      <c r="E95" s="10">
        <f t="shared" si="3"/>
        <v>21791.999999999996</v>
      </c>
      <c r="F95" s="10" t="str">
        <f>IF(A95=$J$22,"",IF(E95&lt;$J$20,$J$19-E95,""))</f>
        <v/>
      </c>
    </row>
    <row r="96" spans="1:6" hidden="1">
      <c r="A96" s="11">
        <v>45681</v>
      </c>
      <c r="B96" s="10">
        <v>66.569999999999993</v>
      </c>
      <c r="C96" s="10">
        <f>(B95-B96)*$J$15*$J$16</f>
        <v>540.00000000002046</v>
      </c>
      <c r="D96" s="10">
        <f t="shared" si="2"/>
        <v>-6939.9999999999854</v>
      </c>
      <c r="E96" s="10">
        <f t="shared" si="3"/>
        <v>22332.000000000018</v>
      </c>
      <c r="F96" s="10" t="str">
        <f>IF(A96=$J$22,"",IF(E96&lt;$J$20,$J$19-E96,""))</f>
        <v/>
      </c>
    </row>
    <row r="97" spans="1:6" hidden="1">
      <c r="A97" s="11">
        <v>45684</v>
      </c>
      <c r="B97" s="10">
        <v>65.73</v>
      </c>
      <c r="C97" s="10">
        <f>(B96-B97)*$J$15*$J$16</f>
        <v>1679.9999999999784</v>
      </c>
      <c r="D97" s="10">
        <f t="shared" si="2"/>
        <v>-5260.0000000000073</v>
      </c>
      <c r="E97" s="10">
        <f t="shared" si="3"/>
        <v>24011.999999999996</v>
      </c>
      <c r="F97" s="10" t="str">
        <f>IF(A97=$J$22,"",IF(E97&lt;$J$20,$J$19-E97,""))</f>
        <v/>
      </c>
    </row>
    <row r="98" spans="1:6" hidden="1">
      <c r="A98" s="11">
        <v>45685</v>
      </c>
      <c r="B98" s="10">
        <v>65.53</v>
      </c>
      <c r="C98" s="10">
        <f>(B97-B98)*$J$15*$J$16</f>
        <v>400.00000000000568</v>
      </c>
      <c r="D98" s="10">
        <f t="shared" si="2"/>
        <v>-4860.0000000000018</v>
      </c>
      <c r="E98" s="10">
        <f t="shared" si="3"/>
        <v>24412.000000000004</v>
      </c>
      <c r="F98" s="10" t="str">
        <f>IF(A98=$J$22,"",IF(E98&lt;$J$20,$J$19-E98,""))</f>
        <v/>
      </c>
    </row>
    <row r="99" spans="1:6" hidden="1">
      <c r="A99" s="11">
        <v>45686</v>
      </c>
      <c r="B99" s="10">
        <v>65.16</v>
      </c>
      <c r="C99" s="10">
        <f>(B98-B99)*$J$15*$J$16</f>
        <v>740.00000000000909</v>
      </c>
      <c r="D99" s="10">
        <f t="shared" si="2"/>
        <v>-4119.9999999999927</v>
      </c>
      <c r="E99" s="10">
        <f t="shared" si="3"/>
        <v>25152.000000000015</v>
      </c>
      <c r="F99" s="10" t="str">
        <f>IF(A99=$J$22,"",IF(E99&lt;$J$20,$J$19-E99,""))</f>
        <v/>
      </c>
    </row>
    <row r="100" spans="1:6" hidden="1">
      <c r="A100" s="11">
        <v>45687</v>
      </c>
      <c r="B100" s="10">
        <v>65.25</v>
      </c>
      <c r="C100" s="10">
        <f>(B99-B100)*$J$15*$J$16</f>
        <v>-180.00000000000682</v>
      </c>
      <c r="D100" s="10">
        <f t="shared" si="2"/>
        <v>-4300</v>
      </c>
      <c r="E100" s="10">
        <f t="shared" si="3"/>
        <v>24972.000000000007</v>
      </c>
      <c r="F100" s="10" t="str">
        <f>IF(A100=$J$22,"",IF(E100&lt;$J$20,$J$19-E100,""))</f>
        <v/>
      </c>
    </row>
    <row r="101" spans="1:6" hidden="1">
      <c r="A101" s="11">
        <v>45688</v>
      </c>
      <c r="B101" s="10">
        <v>65.12</v>
      </c>
      <c r="C101" s="10">
        <f>(B100-B101)*$J$15*$J$16</f>
        <v>259.99999999999091</v>
      </c>
      <c r="D101" s="10">
        <f t="shared" si="2"/>
        <v>-4040.0000000000091</v>
      </c>
      <c r="E101" s="10">
        <f t="shared" si="3"/>
        <v>25232</v>
      </c>
      <c r="F101" s="10" t="str">
        <f>IF(A101=$J$22,"",IF(E101&lt;$J$20,$J$19-E101,""))</f>
        <v/>
      </c>
    </row>
    <row r="102" spans="1:6" hidden="1">
      <c r="A102" s="11">
        <v>45691</v>
      </c>
      <c r="B102" s="10">
        <v>65.11</v>
      </c>
      <c r="C102" s="10">
        <f>(B101-B102)*$J$15*$J$16</f>
        <v>20.000000000010232</v>
      </c>
      <c r="D102" s="10">
        <f t="shared" si="2"/>
        <v>-4019.9999999999991</v>
      </c>
      <c r="E102" s="10">
        <f t="shared" si="3"/>
        <v>25252.000000000011</v>
      </c>
      <c r="F102" s="10" t="str">
        <f>IF(A102=$J$22,"",IF(E102&lt;$J$20,$J$19-E102,""))</f>
        <v/>
      </c>
    </row>
    <row r="103" spans="1:6" hidden="1">
      <c r="A103" s="11">
        <v>45692</v>
      </c>
      <c r="B103" s="10">
        <v>65.59</v>
      </c>
      <c r="C103" s="10">
        <f>(B102-B103)*$J$15*$J$16</f>
        <v>-960.00000000000796</v>
      </c>
      <c r="D103" s="10">
        <f t="shared" si="2"/>
        <v>-4980.0000000000073</v>
      </c>
      <c r="E103" s="10">
        <f t="shared" si="3"/>
        <v>24292.000000000004</v>
      </c>
      <c r="F103" s="10" t="str">
        <f>IF(A103=$J$22,"",IF(E103&lt;$J$20,$J$19-E103,""))</f>
        <v/>
      </c>
    </row>
    <row r="104" spans="1:6" hidden="1">
      <c r="A104" s="11">
        <v>45693</v>
      </c>
      <c r="B104" s="10">
        <v>64.92</v>
      </c>
      <c r="C104" s="10">
        <f>(B103-B104)*$J$15*$J$16</f>
        <v>1340.0000000000034</v>
      </c>
      <c r="D104" s="10">
        <f t="shared" si="2"/>
        <v>-3640.0000000000036</v>
      </c>
      <c r="E104" s="10">
        <f t="shared" si="3"/>
        <v>25632.000000000007</v>
      </c>
      <c r="F104" s="10" t="str">
        <f>IF(A104=$J$22,"",IF(E104&lt;$J$20,$J$19-E104,""))</f>
        <v/>
      </c>
    </row>
    <row r="105" spans="1:6" hidden="1">
      <c r="A105" s="11">
        <v>45694</v>
      </c>
      <c r="B105" s="10">
        <v>65.12</v>
      </c>
      <c r="C105" s="10">
        <f>(B104-B105)*$J$15*$J$16</f>
        <v>-400.00000000000568</v>
      </c>
      <c r="D105" s="10">
        <f t="shared" si="2"/>
        <v>-4040.0000000000091</v>
      </c>
      <c r="E105" s="10">
        <f t="shared" si="3"/>
        <v>25232</v>
      </c>
      <c r="F105" s="10" t="str">
        <f>IF(A105=$J$22,"",IF(E105&lt;$J$20,$J$19-E105,""))</f>
        <v/>
      </c>
    </row>
    <row r="106" spans="1:6" hidden="1">
      <c r="A106" s="11">
        <v>45695</v>
      </c>
      <c r="B106" s="10">
        <v>65.34</v>
      </c>
      <c r="C106" s="10">
        <f>(B105-B106)*$J$15*$J$16</f>
        <v>-439.99999999999773</v>
      </c>
      <c r="D106" s="10">
        <f t="shared" si="2"/>
        <v>-4480.0000000000073</v>
      </c>
      <c r="E106" s="10">
        <f t="shared" si="3"/>
        <v>24792.000000000004</v>
      </c>
      <c r="F106" s="10" t="str">
        <f>IF(A106=$J$22,"",IF(E106&lt;$J$20,$J$19-E106,""))</f>
        <v/>
      </c>
    </row>
    <row r="107" spans="1:6" hidden="1">
      <c r="A107" s="11">
        <v>45698</v>
      </c>
      <c r="B107" s="10">
        <v>65.89</v>
      </c>
      <c r="C107" s="10">
        <f>(B106-B107)*$J$15*$J$16</f>
        <v>-1099.9999999999943</v>
      </c>
      <c r="D107" s="10">
        <f t="shared" si="2"/>
        <v>-5580.0000000000018</v>
      </c>
      <c r="E107" s="10">
        <f t="shared" si="3"/>
        <v>23692.000000000011</v>
      </c>
      <c r="F107" s="10" t="str">
        <f>IF(A107=$J$22,"",IF(E107&lt;$J$20,$J$19-E107,""))</f>
        <v/>
      </c>
    </row>
    <row r="108" spans="1:6" hidden="1">
      <c r="A108" s="11">
        <v>45699</v>
      </c>
      <c r="B108" s="10">
        <v>66.819999999999993</v>
      </c>
      <c r="C108" s="10">
        <f>(B107-B108)*$J$15*$J$16</f>
        <v>-1859.9999999999852</v>
      </c>
      <c r="D108" s="10">
        <f t="shared" si="2"/>
        <v>-7439.9999999999873</v>
      </c>
      <c r="E108" s="10">
        <f t="shared" si="3"/>
        <v>21832.000000000025</v>
      </c>
      <c r="F108" s="10" t="str">
        <f>IF(A108=$J$22,"",IF(E108&lt;$J$20,$J$19-E108,""))</f>
        <v/>
      </c>
    </row>
    <row r="109" spans="1:6" hidden="1">
      <c r="A109" s="11">
        <v>45700</v>
      </c>
      <c r="B109" s="10">
        <v>65.86</v>
      </c>
      <c r="C109" s="10">
        <f>(B108-B109)*$J$15*$J$16</f>
        <v>1919.9999999999875</v>
      </c>
      <c r="D109" s="10">
        <f t="shared" si="2"/>
        <v>-5520</v>
      </c>
      <c r="E109" s="10">
        <f t="shared" si="3"/>
        <v>23752.000000000015</v>
      </c>
      <c r="F109" s="10" t="str">
        <f>IF(A109=$J$22,"",IF(E109&lt;$J$20,$J$19-E109,""))</f>
        <v/>
      </c>
    </row>
    <row r="110" spans="1:6" hidden="1">
      <c r="A110" s="11">
        <v>45701</v>
      </c>
      <c r="B110" s="10">
        <v>65.680000000000007</v>
      </c>
      <c r="C110" s="10">
        <f>(B109-B110)*$J$15*$J$16</f>
        <v>359.99999999998522</v>
      </c>
      <c r="D110" s="10">
        <f t="shared" si="2"/>
        <v>-5160.0000000000146</v>
      </c>
      <c r="E110" s="10">
        <f t="shared" si="3"/>
        <v>24112</v>
      </c>
      <c r="F110" s="10" t="str">
        <f>IF(A110=$J$22,"",IF(E110&lt;$J$20,$J$19-E110,""))</f>
        <v/>
      </c>
    </row>
    <row r="111" spans="1:6" hidden="1">
      <c r="A111" s="11">
        <v>45702</v>
      </c>
      <c r="B111" s="10">
        <v>65.73</v>
      </c>
      <c r="C111" s="10">
        <f>(B110-B111)*$J$15*$J$16</f>
        <v>-99.999999999994316</v>
      </c>
      <c r="D111" s="10">
        <f t="shared" si="2"/>
        <v>-5260.0000000000091</v>
      </c>
      <c r="E111" s="10">
        <f t="shared" si="3"/>
        <v>24012.000000000007</v>
      </c>
      <c r="F111" s="10" t="str">
        <f>IF(A111=$J$22,"",IF(E111&lt;$J$20,$J$19-E111,""))</f>
        <v/>
      </c>
    </row>
    <row r="112" spans="1:6" hidden="1">
      <c r="A112" s="11">
        <v>45706</v>
      </c>
      <c r="B112" s="10">
        <v>66.05</v>
      </c>
      <c r="C112" s="10">
        <f>(B111-B112)*$J$15*$J$16</f>
        <v>-639.99999999998636</v>
      </c>
      <c r="D112" s="10">
        <f t="shared" si="2"/>
        <v>-5899.9999999999955</v>
      </c>
      <c r="E112" s="10">
        <f t="shared" si="3"/>
        <v>23372.000000000022</v>
      </c>
      <c r="F112" s="10" t="str">
        <f>IF(A112=$J$22,"",IF(E112&lt;$J$20,$J$19-E112,""))</f>
        <v/>
      </c>
    </row>
    <row r="113" spans="1:6" hidden="1">
      <c r="A113" s="11">
        <v>45707</v>
      </c>
      <c r="B113" s="10">
        <v>66.23</v>
      </c>
      <c r="C113" s="10">
        <f>(B112-B113)*$J$15*$J$16</f>
        <v>-360.00000000001364</v>
      </c>
      <c r="D113" s="10">
        <f t="shared" si="2"/>
        <v>-6260.0000000000091</v>
      </c>
      <c r="E113" s="10">
        <f t="shared" si="3"/>
        <v>23012.000000000007</v>
      </c>
      <c r="F113" s="10" t="str">
        <f>IF(A113=$J$22,"",IF(E113&lt;$J$20,$J$19-E113,""))</f>
        <v/>
      </c>
    </row>
    <row r="114" spans="1:6" hidden="1">
      <c r="A114" s="11">
        <v>45708</v>
      </c>
      <c r="B114" s="10">
        <v>66.59</v>
      </c>
      <c r="C114" s="10">
        <f>(B113-B114)*$J$15*$J$16</f>
        <v>-719.99999999999886</v>
      </c>
      <c r="D114" s="10">
        <f t="shared" si="2"/>
        <v>-6980.0000000000082</v>
      </c>
      <c r="E114" s="10">
        <f t="shared" si="3"/>
        <v>22292.000000000007</v>
      </c>
      <c r="F114" s="10" t="str">
        <f>IF(A114=$J$22,"",IF(E114&lt;$J$20,$J$19-E114,""))</f>
        <v/>
      </c>
    </row>
    <row r="115" spans="1:6" hidden="1">
      <c r="A115" s="11">
        <v>45709</v>
      </c>
      <c r="B115" s="10">
        <v>65.36</v>
      </c>
      <c r="C115" s="10">
        <f>(B114-B115)*$J$15*$J$16</f>
        <v>2460.0000000000082</v>
      </c>
      <c r="D115" s="10">
        <f t="shared" si="2"/>
        <v>-4520</v>
      </c>
      <c r="E115" s="10">
        <f t="shared" si="3"/>
        <v>24752.000000000015</v>
      </c>
      <c r="F115" s="10" t="str">
        <f>IF(A115=$J$22,"",IF(E115&lt;$J$20,$J$19-E115,""))</f>
        <v/>
      </c>
    </row>
    <row r="116" spans="1:6" hidden="1">
      <c r="A116" s="11">
        <v>45712</v>
      </c>
      <c r="B116" s="10">
        <v>65.41</v>
      </c>
      <c r="C116" s="10">
        <f>(B115-B116)*$J$15*$J$16</f>
        <v>-99.999999999994316</v>
      </c>
      <c r="D116" s="10">
        <f t="shared" si="2"/>
        <v>-4619.9999999999945</v>
      </c>
      <c r="E116" s="10">
        <f t="shared" si="3"/>
        <v>24652.000000000022</v>
      </c>
      <c r="F116" s="10" t="str">
        <f>IF(A116=$J$22,"",IF(E116&lt;$J$20,$J$19-E116,""))</f>
        <v/>
      </c>
    </row>
    <row r="117" spans="1:6" hidden="1">
      <c r="A117" s="11">
        <v>45713</v>
      </c>
      <c r="B117" s="10">
        <v>64.23</v>
      </c>
      <c r="C117" s="10">
        <f>(B116-B117)*$J$15*$J$16</f>
        <v>2359.9999999999854</v>
      </c>
      <c r="D117" s="10">
        <f t="shared" si="2"/>
        <v>-2260.0000000000091</v>
      </c>
      <c r="E117" s="10">
        <f t="shared" si="3"/>
        <v>27012.000000000007</v>
      </c>
      <c r="F117" s="10" t="str">
        <f>IF(A117=$J$22,"",IF(E117&lt;$J$20,$J$19-E117,""))</f>
        <v/>
      </c>
    </row>
    <row r="118" spans="1:6" hidden="1">
      <c r="A118" s="11">
        <v>45714</v>
      </c>
      <c r="B118" s="10">
        <v>63.76</v>
      </c>
      <c r="C118" s="10">
        <f>(B117-B118)*$J$15*$J$16</f>
        <v>940.00000000001194</v>
      </c>
      <c r="D118" s="10">
        <f t="shared" si="2"/>
        <v>-1319.9999999999973</v>
      </c>
      <c r="E118" s="10">
        <f t="shared" si="3"/>
        <v>27952.000000000018</v>
      </c>
      <c r="F118" s="10" t="str">
        <f>IF(A118=$J$22,"",IF(E118&lt;$J$20,$J$19-E118,""))</f>
        <v/>
      </c>
    </row>
    <row r="119" spans="1:6" hidden="1">
      <c r="A119" s="11">
        <v>45715</v>
      </c>
      <c r="B119" s="10">
        <v>64.45</v>
      </c>
      <c r="C119" s="10">
        <f>(B118-B119)*$J$15*$J$16</f>
        <v>-1380.0000000000095</v>
      </c>
      <c r="D119" s="10">
        <f t="shared" si="2"/>
        <v>-2700.0000000000068</v>
      </c>
      <c r="E119" s="10">
        <f t="shared" si="3"/>
        <v>26572.000000000007</v>
      </c>
      <c r="F119" s="10" t="str">
        <f>IF(A119=$J$22,"",IF(E119&lt;$J$20,$J$19-E119,""))</f>
        <v/>
      </c>
    </row>
    <row r="120" spans="1:6" hidden="1">
      <c r="A120" s="11">
        <v>45716</v>
      </c>
      <c r="B120" s="10">
        <v>63.92</v>
      </c>
      <c r="C120" s="10">
        <f>(B119-B120)*$J$15*$J$16</f>
        <v>1060.0000000000023</v>
      </c>
      <c r="D120" s="10">
        <f t="shared" si="2"/>
        <v>-1640.0000000000045</v>
      </c>
      <c r="E120" s="10">
        <f t="shared" si="3"/>
        <v>27632.000000000011</v>
      </c>
      <c r="F120" s="10" t="str">
        <f>IF(A120=$J$22,"",IF(E120&lt;$J$20,$J$19-E120,""))</f>
        <v/>
      </c>
    </row>
    <row r="121" spans="1:6" hidden="1">
      <c r="A121" s="11">
        <v>45719</v>
      </c>
      <c r="B121" s="10">
        <v>63.46</v>
      </c>
      <c r="C121" s="10">
        <f>(B120-B121)*$J$15*$J$16</f>
        <v>920.00000000000171</v>
      </c>
      <c r="D121" s="10">
        <f t="shared" si="2"/>
        <v>-720.00000000000284</v>
      </c>
      <c r="E121" s="10">
        <f t="shared" si="3"/>
        <v>28552.000000000011</v>
      </c>
      <c r="F121" s="10" t="str">
        <f>IF(A121=$J$22,"",IF(E121&lt;$J$20,$J$19-E121,""))</f>
        <v/>
      </c>
    </row>
    <row r="122" spans="1:6" hidden="1">
      <c r="A122" s="11">
        <v>45720</v>
      </c>
      <c r="B122" s="10">
        <v>63.38</v>
      </c>
      <c r="C122" s="10">
        <f>(B121-B122)*$J$15*$J$16</f>
        <v>159.99999999999659</v>
      </c>
      <c r="D122" s="10">
        <f t="shared" si="2"/>
        <v>-560.00000000000625</v>
      </c>
      <c r="E122" s="10">
        <f t="shared" si="3"/>
        <v>28712.000000000007</v>
      </c>
      <c r="F122" s="10" t="str">
        <f>IF(A122=$J$22,"",IF(E122&lt;$J$20,$J$19-E122,""))</f>
        <v/>
      </c>
    </row>
    <row r="123" spans="1:6" hidden="1">
      <c r="A123" s="11">
        <v>45721</v>
      </c>
      <c r="B123" s="10">
        <v>62.3</v>
      </c>
      <c r="C123" s="10">
        <f>(B122-B123)*$J$15*$J$16</f>
        <v>2160.0000000000109</v>
      </c>
      <c r="D123" s="10">
        <f t="shared" si="2"/>
        <v>1600.0000000000045</v>
      </c>
      <c r="E123" s="10">
        <f t="shared" si="3"/>
        <v>30872.000000000018</v>
      </c>
      <c r="F123" s="10" t="str">
        <f>IF(A123=$J$22,"",IF(E123&lt;$J$20,$J$19-E123,""))</f>
        <v/>
      </c>
    </row>
    <row r="124" spans="1:6" hidden="1">
      <c r="A124" s="11">
        <v>45722</v>
      </c>
      <c r="B124" s="10">
        <v>62.17</v>
      </c>
      <c r="C124" s="10">
        <f>(B123-B124)*$J$15*$J$16</f>
        <v>259.99999999999091</v>
      </c>
      <c r="D124" s="10">
        <f t="shared" si="2"/>
        <v>1859.9999999999955</v>
      </c>
      <c r="E124" s="10">
        <f t="shared" si="3"/>
        <v>31132.000000000007</v>
      </c>
      <c r="F124" s="10" t="str">
        <f>IF(A124=$J$22,"",IF(E124&lt;$J$20,$J$19-E124,""))</f>
        <v/>
      </c>
    </row>
    <row r="125" spans="1:6" hidden="1">
      <c r="A125" s="11">
        <v>45723</v>
      </c>
      <c r="B125" s="10">
        <v>62.8</v>
      </c>
      <c r="C125" s="10">
        <f>(B124-B125)*$J$15*$J$16</f>
        <v>-1259.9999999999909</v>
      </c>
      <c r="D125" s="10">
        <f t="shared" si="2"/>
        <v>600.00000000000455</v>
      </c>
      <c r="E125" s="10">
        <f t="shared" si="3"/>
        <v>29872.000000000015</v>
      </c>
      <c r="F125" s="10" t="str">
        <f>IF(A125=$J$22,"",IF(E125&lt;$J$20,$J$19-E125,""))</f>
        <v/>
      </c>
    </row>
    <row r="126" spans="1:6" hidden="1">
      <c r="A126" s="11">
        <v>45726</v>
      </c>
      <c r="B126" s="10">
        <v>61.79</v>
      </c>
      <c r="C126" s="10">
        <f>(B125-B126)*$J$15*$J$16</f>
        <v>2019.9999999999959</v>
      </c>
      <c r="D126" s="10">
        <f t="shared" si="2"/>
        <v>2620.0000000000005</v>
      </c>
      <c r="E126" s="10">
        <f t="shared" si="3"/>
        <v>31892.000000000011</v>
      </c>
      <c r="F126" s="10" t="str">
        <f>IF(A126=$J$22,"",IF(E126&lt;$J$20,$J$19-E126,""))</f>
        <v/>
      </c>
    </row>
    <row r="127" spans="1:6" hidden="1">
      <c r="A127" s="11">
        <v>45727</v>
      </c>
      <c r="B127" s="10">
        <v>61.9</v>
      </c>
      <c r="C127" s="10">
        <f>(B126-B127)*$J$15*$J$16</f>
        <v>-219.99999999999886</v>
      </c>
      <c r="D127" s="10">
        <f t="shared" si="2"/>
        <v>2400.0000000000018</v>
      </c>
      <c r="E127" s="10">
        <f t="shared" si="3"/>
        <v>31672.000000000011</v>
      </c>
      <c r="F127" s="10" t="str">
        <f>IF(A127=$J$22,"",IF(E127&lt;$J$20,$J$19-E127,""))</f>
        <v/>
      </c>
    </row>
    <row r="128" spans="1:6" hidden="1">
      <c r="A128" s="11">
        <v>45728</v>
      </c>
      <c r="B128" s="10">
        <v>62.94</v>
      </c>
      <c r="C128" s="10">
        <f>(B127-B128)*$J$15*$J$16</f>
        <v>-2079.9999999999982</v>
      </c>
      <c r="D128" s="10">
        <f t="shared" si="2"/>
        <v>320.00000000000364</v>
      </c>
      <c r="E128" s="10">
        <f t="shared" si="3"/>
        <v>29592.000000000015</v>
      </c>
      <c r="F128" s="10" t="str">
        <f>IF(A128=$J$22,"",IF(E128&lt;$J$20,$J$19-E128,""))</f>
        <v/>
      </c>
    </row>
    <row r="129" spans="1:6" hidden="1">
      <c r="A129" s="11">
        <v>45729</v>
      </c>
      <c r="B129" s="10">
        <v>62.33</v>
      </c>
      <c r="C129" s="10">
        <f>(B128-B129)*$J$15*$J$16</f>
        <v>1219.9999999999989</v>
      </c>
      <c r="D129" s="10">
        <f t="shared" si="2"/>
        <v>1540.0000000000025</v>
      </c>
      <c r="E129" s="10">
        <f t="shared" si="3"/>
        <v>30812.000000000015</v>
      </c>
      <c r="F129" s="10" t="str">
        <f>IF(A129=$J$22,"",IF(E129&lt;$J$20,$J$19-E129,""))</f>
        <v/>
      </c>
    </row>
    <row r="130" spans="1:6" hidden="1">
      <c r="A130" s="11">
        <v>45730</v>
      </c>
      <c r="B130" s="10">
        <v>62.81</v>
      </c>
      <c r="C130" s="10">
        <f>(B129-B130)*$J$15*$J$16</f>
        <v>-960.00000000000796</v>
      </c>
      <c r="D130" s="10">
        <f t="shared" si="2"/>
        <v>579.99999999999454</v>
      </c>
      <c r="E130" s="10">
        <f t="shared" si="3"/>
        <v>29852.000000000007</v>
      </c>
      <c r="F130" s="10" t="str">
        <f>IF(A130=$J$22,"",IF(E130&lt;$J$20,$J$19-E130,""))</f>
        <v/>
      </c>
    </row>
    <row r="131" spans="1:6" hidden="1">
      <c r="A131" s="11">
        <v>45733</v>
      </c>
      <c r="B131" s="10">
        <v>63.18</v>
      </c>
      <c r="C131" s="10">
        <f>(B130-B131)*$J$15*$J$16</f>
        <v>-739.99999999999488</v>
      </c>
      <c r="D131" s="10">
        <f t="shared" ref="D131:D194" si="4">D130+C131</f>
        <v>-160.00000000000034</v>
      </c>
      <c r="E131" s="10">
        <f t="shared" ref="E131:E194" si="5">E130+IF(F130="",0,F130)+C131</f>
        <v>29112.000000000011</v>
      </c>
      <c r="F131" s="10" t="str">
        <f>IF(A131=$J$22,"",IF(E131&lt;$J$20,$J$19-E131,""))</f>
        <v/>
      </c>
    </row>
    <row r="132" spans="1:6" hidden="1">
      <c r="A132" s="11">
        <v>45734</v>
      </c>
      <c r="B132" s="10">
        <v>63.07</v>
      </c>
      <c r="C132" s="10">
        <f>(B131-B132)*$J$15*$J$16</f>
        <v>219.99999999999886</v>
      </c>
      <c r="D132" s="10">
        <f t="shared" si="4"/>
        <v>59.999999999998522</v>
      </c>
      <c r="E132" s="10">
        <f t="shared" si="5"/>
        <v>29332.000000000011</v>
      </c>
      <c r="F132" s="10" t="str">
        <f>IF(A132=$J$22,"",IF(E132&lt;$J$20,$J$19-E132,""))</f>
        <v/>
      </c>
    </row>
    <row r="133" spans="1:6" hidden="1">
      <c r="A133" s="11">
        <v>45735</v>
      </c>
      <c r="B133" s="10">
        <v>63.08</v>
      </c>
      <c r="C133" s="10">
        <f>(B132-B133)*$J$15*$J$16</f>
        <v>-19.999999999996021</v>
      </c>
      <c r="D133" s="10">
        <f t="shared" si="4"/>
        <v>40.000000000002501</v>
      </c>
      <c r="E133" s="10">
        <f t="shared" si="5"/>
        <v>29312.000000000015</v>
      </c>
      <c r="F133" s="10" t="str">
        <f>IF(A133=$J$22,"",IF(E133&lt;$J$20,$J$19-E133,""))</f>
        <v/>
      </c>
    </row>
    <row r="134" spans="1:6" hidden="1">
      <c r="A134" s="11">
        <v>45736</v>
      </c>
      <c r="B134" s="10">
        <v>63.69</v>
      </c>
      <c r="C134" s="10">
        <f>(B133-B134)*$J$15*$J$16</f>
        <v>-1219.9999999999989</v>
      </c>
      <c r="D134" s="10">
        <f t="shared" si="4"/>
        <v>-1179.9999999999964</v>
      </c>
      <c r="E134" s="10">
        <f t="shared" si="5"/>
        <v>28092.000000000015</v>
      </c>
      <c r="F134" s="10" t="str">
        <f>IF(A134=$J$22,"",IF(E134&lt;$J$20,$J$19-E134,""))</f>
        <v/>
      </c>
    </row>
    <row r="135" spans="1:6" hidden="1">
      <c r="A135" s="11">
        <v>45737</v>
      </c>
      <c r="B135" s="10">
        <v>63.6</v>
      </c>
      <c r="C135" s="10">
        <f>(B134-B135)*$J$15*$J$16</f>
        <v>179.99999999999261</v>
      </c>
      <c r="D135" s="10">
        <f t="shared" si="4"/>
        <v>-1000.0000000000038</v>
      </c>
      <c r="E135" s="10">
        <f t="shared" si="5"/>
        <v>28272.000000000007</v>
      </c>
      <c r="F135" s="10" t="str">
        <f>IF(A135=$J$22,"",IF(E135&lt;$J$20,$J$19-E135,""))</f>
        <v/>
      </c>
    </row>
    <row r="136" spans="1:6" hidden="1">
      <c r="A136" s="11">
        <v>45740</v>
      </c>
      <c r="B136" s="10">
        <v>63.95</v>
      </c>
      <c r="C136" s="10">
        <f>(B135-B136)*$J$15*$J$16</f>
        <v>-700.00000000000284</v>
      </c>
      <c r="D136" s="10">
        <f t="shared" si="4"/>
        <v>-1700.0000000000066</v>
      </c>
      <c r="E136" s="10">
        <f t="shared" si="5"/>
        <v>27572.000000000004</v>
      </c>
      <c r="F136" s="10" t="str">
        <f>IF(A136=$J$22,"",IF(E136&lt;$J$20,$J$19-E136,""))</f>
        <v/>
      </c>
    </row>
    <row r="137" spans="1:6" hidden="1">
      <c r="A137" s="11">
        <v>45741</v>
      </c>
      <c r="B137" s="10">
        <v>63.99</v>
      </c>
      <c r="C137" s="10">
        <f>(B136-B137)*$J$15*$J$16</f>
        <v>-79.999999999998295</v>
      </c>
      <c r="D137" s="10">
        <f t="shared" si="4"/>
        <v>-1780.000000000005</v>
      </c>
      <c r="E137" s="10">
        <f t="shared" si="5"/>
        <v>27492.000000000004</v>
      </c>
      <c r="F137" s="10" t="str">
        <f>IF(A137=$J$22,"",IF(E137&lt;$J$20,$J$19-E137,""))</f>
        <v/>
      </c>
    </row>
    <row r="138" spans="1:6" hidden="1">
      <c r="A138" s="11">
        <v>45742</v>
      </c>
      <c r="B138" s="10">
        <v>64.349999999999994</v>
      </c>
      <c r="C138" s="10">
        <f>(B137-B138)*$J$15*$J$16</f>
        <v>-719.99999999998465</v>
      </c>
      <c r="D138" s="10">
        <f t="shared" si="4"/>
        <v>-2499.9999999999895</v>
      </c>
      <c r="E138" s="10">
        <f t="shared" si="5"/>
        <v>26772.000000000018</v>
      </c>
      <c r="F138" s="10" t="str">
        <f>IF(A138=$J$22,"",IF(E138&lt;$J$20,$J$19-E138,""))</f>
        <v/>
      </c>
    </row>
    <row r="139" spans="1:6" hidden="1">
      <c r="A139" s="11">
        <v>45743</v>
      </c>
      <c r="B139" s="10">
        <v>64.650000000000006</v>
      </c>
      <c r="C139" s="10">
        <f>(B138-B139)*$J$15*$J$16</f>
        <v>-600.00000000002274</v>
      </c>
      <c r="D139" s="10">
        <f t="shared" si="4"/>
        <v>-3100.0000000000123</v>
      </c>
      <c r="E139" s="10">
        <f t="shared" si="5"/>
        <v>26171.999999999996</v>
      </c>
      <c r="F139" s="10" t="str">
        <f>IF(A139=$J$22,"",IF(E139&lt;$J$20,$J$19-E139,""))</f>
        <v/>
      </c>
    </row>
    <row r="140" spans="1:6" hidden="1">
      <c r="A140" s="11">
        <v>45744</v>
      </c>
      <c r="B140" s="10">
        <v>63.95</v>
      </c>
      <c r="C140" s="10">
        <f>(B139-B140)*$J$15*$J$16</f>
        <v>1400.0000000000057</v>
      </c>
      <c r="D140" s="10">
        <f t="shared" si="4"/>
        <v>-1700.0000000000066</v>
      </c>
      <c r="E140" s="10">
        <f t="shared" si="5"/>
        <v>27572.000000000004</v>
      </c>
      <c r="F140" s="10" t="str">
        <f>IF(A140=$J$22,"",IF(E140&lt;$J$20,$J$19-E140,""))</f>
        <v/>
      </c>
    </row>
    <row r="141" spans="1:6" hidden="1">
      <c r="A141" s="11">
        <v>45747</v>
      </c>
      <c r="B141" s="10">
        <v>64.91</v>
      </c>
      <c r="C141" s="10">
        <f>(B140-B141)*$J$15*$J$16</f>
        <v>-1919.9999999999875</v>
      </c>
      <c r="D141" s="10">
        <f t="shared" si="4"/>
        <v>-3619.9999999999941</v>
      </c>
      <c r="E141" s="10">
        <f t="shared" si="5"/>
        <v>25652.000000000015</v>
      </c>
      <c r="F141" s="10" t="str">
        <f>IF(A141=$J$22,"",IF(E141&lt;$J$20,$J$19-E141,""))</f>
        <v/>
      </c>
    </row>
    <row r="142" spans="1:6" hidden="1">
      <c r="A142" s="11">
        <v>45748</v>
      </c>
      <c r="B142" s="10">
        <v>65.09</v>
      </c>
      <c r="C142" s="10">
        <f>(B141-B142)*$J$15*$J$16</f>
        <v>-360.00000000001364</v>
      </c>
      <c r="D142" s="10">
        <f t="shared" si="4"/>
        <v>-3980.0000000000077</v>
      </c>
      <c r="E142" s="10">
        <f t="shared" si="5"/>
        <v>25292</v>
      </c>
      <c r="F142" s="10" t="str">
        <f>IF(A142=$J$22,"",IF(E142&lt;$J$20,$J$19-E142,""))</f>
        <v/>
      </c>
    </row>
    <row r="143" spans="1:6" hidden="1">
      <c r="A143" s="11">
        <v>45749</v>
      </c>
      <c r="B143" s="10">
        <v>65.2</v>
      </c>
      <c r="C143" s="10">
        <f>(B142-B143)*$J$15*$J$16</f>
        <v>-219.99999999999886</v>
      </c>
      <c r="D143" s="10">
        <f t="shared" si="4"/>
        <v>-4200.0000000000064</v>
      </c>
      <c r="E143" s="10">
        <f t="shared" si="5"/>
        <v>25072</v>
      </c>
      <c r="F143" s="10" t="str">
        <f>IF(A143=$J$22,"",IF(E143&lt;$J$20,$J$19-E143,""))</f>
        <v/>
      </c>
    </row>
    <row r="144" spans="1:6" hidden="1">
      <c r="A144" s="11">
        <v>45750</v>
      </c>
      <c r="B144" s="10">
        <v>62.34</v>
      </c>
      <c r="C144" s="10">
        <f>(B143-B144)*$J$15*$J$16</f>
        <v>5719.9999999999991</v>
      </c>
      <c r="D144" s="10">
        <f t="shared" si="4"/>
        <v>1519.9999999999927</v>
      </c>
      <c r="E144" s="10">
        <f t="shared" si="5"/>
        <v>30792</v>
      </c>
      <c r="F144" s="10" t="str">
        <f>IF(A144=$J$22,"",IF(E144&lt;$J$20,$J$19-E144,""))</f>
        <v/>
      </c>
    </row>
    <row r="145" spans="1:6" hidden="1">
      <c r="A145" s="11">
        <v>45751</v>
      </c>
      <c r="B145" s="10">
        <v>59.48</v>
      </c>
      <c r="C145" s="10">
        <f>(B144-B145)*$J$15*$J$16</f>
        <v>5720.0000000000127</v>
      </c>
      <c r="D145" s="10">
        <f t="shared" si="4"/>
        <v>7240.0000000000055</v>
      </c>
      <c r="E145" s="10">
        <f t="shared" si="5"/>
        <v>36512.000000000015</v>
      </c>
      <c r="F145" s="10" t="str">
        <f>IF(A145=$J$22,"",IF(E145&lt;$J$20,$J$19-E145,""))</f>
        <v/>
      </c>
    </row>
    <row r="146" spans="1:6" hidden="1">
      <c r="A146" s="11">
        <v>45754</v>
      </c>
      <c r="B146" s="10">
        <v>59.37</v>
      </c>
      <c r="C146" s="10">
        <f>(B145-B146)*$J$15*$J$16</f>
        <v>219.99999999999886</v>
      </c>
      <c r="D146" s="10">
        <f t="shared" si="4"/>
        <v>7460.0000000000045</v>
      </c>
      <c r="E146" s="10">
        <f t="shared" si="5"/>
        <v>36732.000000000015</v>
      </c>
      <c r="F146" s="10" t="str">
        <f>IF(A146=$J$22,"",IF(E146&lt;$J$20,$J$19-E146,""))</f>
        <v/>
      </c>
    </row>
    <row r="147" spans="1:6" hidden="1">
      <c r="A147" s="11">
        <v>45755</v>
      </c>
      <c r="B147" s="10">
        <v>58.02</v>
      </c>
      <c r="C147" s="10">
        <f>(B146-B147)*$J$15*$J$16</f>
        <v>2699.9999999999886</v>
      </c>
      <c r="D147" s="10">
        <f t="shared" si="4"/>
        <v>10159.999999999993</v>
      </c>
      <c r="E147" s="10">
        <f t="shared" si="5"/>
        <v>39432</v>
      </c>
      <c r="F147" s="10" t="str">
        <f>IF(A147=$J$22,"",IF(E147&lt;$J$20,$J$19-E147,""))</f>
        <v/>
      </c>
    </row>
    <row r="148" spans="1:6" hidden="1">
      <c r="A148" s="11">
        <v>45756</v>
      </c>
      <c r="B148" s="10">
        <v>59.83</v>
      </c>
      <c r="C148" s="10">
        <f>(B147-B148)*$J$15*$J$16</f>
        <v>-3619.9999999999905</v>
      </c>
      <c r="D148" s="10">
        <f t="shared" si="4"/>
        <v>6540.0000000000018</v>
      </c>
      <c r="E148" s="10">
        <f t="shared" si="5"/>
        <v>35812.000000000007</v>
      </c>
      <c r="F148" s="10" t="str">
        <f>IF(A148=$J$22,"",IF(E148&lt;$J$20,$J$19-E148,""))</f>
        <v/>
      </c>
    </row>
    <row r="149" spans="1:6" hidden="1">
      <c r="A149" s="11">
        <v>45757</v>
      </c>
      <c r="B149" s="10">
        <v>58.82</v>
      </c>
      <c r="C149" s="10">
        <f>(B148-B149)*$J$15*$J$16</f>
        <v>2019.9999999999959</v>
      </c>
      <c r="D149" s="10">
        <f t="shared" si="4"/>
        <v>8559.9999999999982</v>
      </c>
      <c r="E149" s="10">
        <f t="shared" si="5"/>
        <v>37832</v>
      </c>
      <c r="F149" s="10" t="str">
        <f>IF(A149=$J$22,"",IF(E149&lt;$J$20,$J$19-E149,""))</f>
        <v/>
      </c>
    </row>
    <row r="150" spans="1:6" hidden="1">
      <c r="A150" s="11">
        <v>45758</v>
      </c>
      <c r="B150" s="10">
        <v>59.18</v>
      </c>
      <c r="C150" s="10">
        <f>(B149-B150)*$J$15*$J$16</f>
        <v>-719.99999999999886</v>
      </c>
      <c r="D150" s="10">
        <f t="shared" si="4"/>
        <v>7839.9999999999991</v>
      </c>
      <c r="E150" s="10">
        <f t="shared" si="5"/>
        <v>37112</v>
      </c>
      <c r="F150" s="10" t="str">
        <f>IF(A150=$J$22,"",IF(E150&lt;$J$20,$J$19-E150,""))</f>
        <v/>
      </c>
    </row>
    <row r="151" spans="1:6" hidden="1">
      <c r="A151" s="11">
        <v>45761</v>
      </c>
      <c r="B151" s="10">
        <v>59.75</v>
      </c>
      <c r="C151" s="10">
        <f>(B150-B151)*$J$15*$J$16</f>
        <v>-1140.0000000000005</v>
      </c>
      <c r="D151" s="10">
        <f t="shared" si="4"/>
        <v>6699.9999999999982</v>
      </c>
      <c r="E151" s="10">
        <f t="shared" si="5"/>
        <v>35972</v>
      </c>
      <c r="F151" s="10" t="str">
        <f>IF(A151=$J$22,"",IF(E151&lt;$J$20,$J$19-E151,""))</f>
        <v/>
      </c>
    </row>
    <row r="152" spans="1:6" hidden="1">
      <c r="A152" s="11">
        <v>45762</v>
      </c>
      <c r="B152" s="10">
        <v>59.32</v>
      </c>
      <c r="C152" s="10">
        <f>(B151-B152)*$J$15*$J$16</f>
        <v>859.99999999999943</v>
      </c>
      <c r="D152" s="10">
        <f t="shared" si="4"/>
        <v>7559.9999999999973</v>
      </c>
      <c r="E152" s="10">
        <f t="shared" si="5"/>
        <v>36832</v>
      </c>
      <c r="F152" s="10" t="str">
        <f>IF(A152=$J$22,"",IF(E152&lt;$J$20,$J$19-E152,""))</f>
        <v/>
      </c>
    </row>
    <row r="153" spans="1:6" hidden="1">
      <c r="A153" s="11">
        <v>45763</v>
      </c>
      <c r="B153" s="10">
        <v>59.74</v>
      </c>
      <c r="C153" s="10">
        <f>(B152-B153)*$J$15*$J$16</f>
        <v>-840.00000000000341</v>
      </c>
      <c r="D153" s="10">
        <f t="shared" si="4"/>
        <v>6719.9999999999936</v>
      </c>
      <c r="E153" s="10">
        <f t="shared" si="5"/>
        <v>35992</v>
      </c>
      <c r="F153" s="10" t="str">
        <f>IF(A153=$J$22,"",IF(E153&lt;$J$20,$J$19-E153,""))</f>
        <v/>
      </c>
    </row>
    <row r="154" spans="1:6" hidden="1">
      <c r="A154" s="11">
        <v>45764</v>
      </c>
      <c r="B154" s="10">
        <v>61.18</v>
      </c>
      <c r="C154" s="10">
        <f>(B153-B154)*$J$15*$J$16</f>
        <v>-2879.9999999999955</v>
      </c>
      <c r="D154" s="10">
        <f t="shared" si="4"/>
        <v>3839.9999999999982</v>
      </c>
      <c r="E154" s="10">
        <f t="shared" si="5"/>
        <v>33112.000000000007</v>
      </c>
      <c r="F154" s="10" t="str">
        <f>IF(A154=$J$22,"",IF(E154&lt;$J$20,$J$19-E154,""))</f>
        <v/>
      </c>
    </row>
    <row r="155" spans="1:6" hidden="1">
      <c r="A155" s="11">
        <v>45768</v>
      </c>
      <c r="B155" s="10">
        <v>59.88</v>
      </c>
      <c r="C155" s="10">
        <f>(B154-B155)*$J$15*$J$16</f>
        <v>2599.9999999999945</v>
      </c>
      <c r="D155" s="10">
        <f t="shared" si="4"/>
        <v>6439.9999999999927</v>
      </c>
      <c r="E155" s="10">
        <f t="shared" si="5"/>
        <v>35712</v>
      </c>
      <c r="F155" s="10" t="str">
        <f>IF(A155=$J$22,"",IF(E155&lt;$J$20,$J$19-E155,""))</f>
        <v/>
      </c>
    </row>
    <row r="156" spans="1:6" hidden="1">
      <c r="A156" s="11">
        <v>45769</v>
      </c>
      <c r="B156" s="10">
        <v>60.87</v>
      </c>
      <c r="C156" s="10">
        <f>(B155-B156)*$J$15*$J$16</f>
        <v>-1979.9999999999898</v>
      </c>
      <c r="D156" s="10">
        <f t="shared" si="4"/>
        <v>4460.0000000000027</v>
      </c>
      <c r="E156" s="10">
        <f t="shared" si="5"/>
        <v>33732.000000000007</v>
      </c>
      <c r="F156" s="10" t="str">
        <f>IF(A156=$J$22,"",IF(E156&lt;$J$20,$J$19-E156,""))</f>
        <v/>
      </c>
    </row>
    <row r="157" spans="1:6" hidden="1">
      <c r="A157" s="11">
        <v>45770</v>
      </c>
      <c r="B157" s="10">
        <v>60.38</v>
      </c>
      <c r="C157" s="10">
        <f>(B156-B157)*$J$15*$J$16</f>
        <v>979.99999999998977</v>
      </c>
      <c r="D157" s="10">
        <f t="shared" si="4"/>
        <v>5439.9999999999927</v>
      </c>
      <c r="E157" s="10">
        <f t="shared" si="5"/>
        <v>34712</v>
      </c>
      <c r="F157" s="10" t="str">
        <f>IF(A157=$J$22,"",IF(E157&lt;$J$20,$J$19-E157,""))</f>
        <v/>
      </c>
    </row>
    <row r="158" spans="1:6" hidden="1">
      <c r="A158" s="11">
        <v>45771</v>
      </c>
      <c r="B158" s="10">
        <v>60.95</v>
      </c>
      <c r="C158" s="10">
        <f>(B157-B158)*$J$15*$J$16</f>
        <v>-1140.0000000000005</v>
      </c>
      <c r="D158" s="10">
        <f t="shared" si="4"/>
        <v>4299.9999999999927</v>
      </c>
      <c r="E158" s="10">
        <f t="shared" si="5"/>
        <v>33572</v>
      </c>
      <c r="F158" s="10" t="str">
        <f>IF(A158=$J$22,"",IF(E158&lt;$J$20,$J$19-E158,""))</f>
        <v/>
      </c>
    </row>
    <row r="159" spans="1:6" hidden="1">
      <c r="A159" s="11">
        <v>45772</v>
      </c>
      <c r="B159" s="10">
        <v>61.15</v>
      </c>
      <c r="C159" s="10">
        <f>(B158-B159)*$J$15*$J$16</f>
        <v>-399.99999999999147</v>
      </c>
      <c r="D159" s="10">
        <f t="shared" si="4"/>
        <v>3900.0000000000014</v>
      </c>
      <c r="E159" s="10">
        <f t="shared" si="5"/>
        <v>33172.000000000007</v>
      </c>
      <c r="F159" s="10" t="str">
        <f>IF(A159=$J$22,"",IF(E159&lt;$J$20,$J$19-E159,""))</f>
        <v/>
      </c>
    </row>
    <row r="160" spans="1:6" hidden="1">
      <c r="A160" s="11">
        <v>45775</v>
      </c>
      <c r="B160" s="10">
        <v>60.68</v>
      </c>
      <c r="C160" s="10">
        <f>(B159-B160)*$J$15*$J$16</f>
        <v>939.99999999999773</v>
      </c>
      <c r="D160" s="10">
        <f t="shared" si="4"/>
        <v>4839.9999999999991</v>
      </c>
      <c r="E160" s="10">
        <f t="shared" si="5"/>
        <v>34112.000000000007</v>
      </c>
      <c r="F160" s="10" t="str">
        <f>IF(A160=$J$22,"",IF(E160&lt;$J$20,$J$19-E160,""))</f>
        <v/>
      </c>
    </row>
    <row r="161" spans="1:6" hidden="1">
      <c r="A161" s="11">
        <v>45776</v>
      </c>
      <c r="B161" s="10">
        <v>59.95</v>
      </c>
      <c r="C161" s="10">
        <f>(B160-B161)*$J$15*$J$16</f>
        <v>1459.9999999999936</v>
      </c>
      <c r="D161" s="10">
        <f t="shared" si="4"/>
        <v>6299.9999999999927</v>
      </c>
      <c r="E161" s="10">
        <f t="shared" si="5"/>
        <v>35572</v>
      </c>
      <c r="F161" s="10" t="str">
        <f>IF(A161=$J$22,"",IF(E161&lt;$J$20,$J$19-E161,""))</f>
        <v/>
      </c>
    </row>
    <row r="162" spans="1:6" hidden="1">
      <c r="A162" s="11">
        <v>45777</v>
      </c>
      <c r="B162" s="10">
        <v>58.05</v>
      </c>
      <c r="C162" s="10">
        <f>(B161-B162)*$J$15*$J$16</f>
        <v>3800.0000000000114</v>
      </c>
      <c r="D162" s="10">
        <f t="shared" si="4"/>
        <v>10100.000000000004</v>
      </c>
      <c r="E162" s="10">
        <f t="shared" si="5"/>
        <v>39372.000000000015</v>
      </c>
      <c r="F162" s="10" t="str">
        <f>IF(A162=$J$22,"",IF(E162&lt;$J$20,$J$19-E162,""))</f>
        <v/>
      </c>
    </row>
    <row r="163" spans="1:6" hidden="1">
      <c r="A163" s="11">
        <v>45778</v>
      </c>
      <c r="B163" s="10">
        <v>58.78</v>
      </c>
      <c r="C163" s="10">
        <f>(B162-B163)*$J$15*$J$16</f>
        <v>-1460.000000000008</v>
      </c>
      <c r="D163" s="10">
        <f t="shared" si="4"/>
        <v>8639.9999999999964</v>
      </c>
      <c r="E163" s="10">
        <f t="shared" si="5"/>
        <v>37912.000000000007</v>
      </c>
      <c r="F163" s="10" t="str">
        <f>IF(A163=$J$22,"",IF(E163&lt;$J$20,$J$19-E163,""))</f>
        <v/>
      </c>
    </row>
    <row r="164" spans="1:6" hidden="1">
      <c r="A164" s="11">
        <v>45779</v>
      </c>
      <c r="B164" s="10">
        <v>58.61</v>
      </c>
      <c r="C164" s="10">
        <f>(B163-B164)*$J$15*$J$16</f>
        <v>340.00000000000341</v>
      </c>
      <c r="D164" s="10">
        <f t="shared" si="4"/>
        <v>8980</v>
      </c>
      <c r="E164" s="10">
        <f t="shared" si="5"/>
        <v>38252.000000000007</v>
      </c>
      <c r="F164" s="10" t="str">
        <f>IF(A164=$J$22,"",IF(E164&lt;$J$20,$J$19-E164,""))</f>
        <v/>
      </c>
    </row>
    <row r="165" spans="1:6" hidden="1">
      <c r="A165" s="11">
        <v>45782</v>
      </c>
      <c r="B165" s="10">
        <v>58.03</v>
      </c>
      <c r="C165" s="10">
        <f>(B164-B165)*$J$15*$J$16</f>
        <v>1159.9999999999966</v>
      </c>
      <c r="D165" s="10">
        <f t="shared" si="4"/>
        <v>10139.999999999996</v>
      </c>
      <c r="E165" s="10">
        <f t="shared" si="5"/>
        <v>39412.000000000007</v>
      </c>
      <c r="F165" s="10" t="str">
        <f>IF(A165=$J$22,"",IF(E165&lt;$J$20,$J$19-E165,""))</f>
        <v/>
      </c>
    </row>
    <row r="166" spans="1:6" hidden="1">
      <c r="A166" s="11">
        <v>45783</v>
      </c>
      <c r="B166" s="10">
        <v>59.54</v>
      </c>
      <c r="C166" s="10">
        <f>(B165-B166)*$J$15*$J$16</f>
        <v>-3019.9999999999959</v>
      </c>
      <c r="D166" s="10">
        <f t="shared" si="4"/>
        <v>7120</v>
      </c>
      <c r="E166" s="10">
        <f t="shared" si="5"/>
        <v>36392.000000000015</v>
      </c>
      <c r="F166" s="10" t="str">
        <f>IF(A166=$J$22,"",IF(E166&lt;$J$20,$J$19-E166,""))</f>
        <v/>
      </c>
    </row>
    <row r="167" spans="1:6" hidden="1">
      <c r="A167" s="11">
        <v>45784</v>
      </c>
      <c r="B167" s="10">
        <v>58.67</v>
      </c>
      <c r="C167" s="10">
        <f>(B166-B167)*$J$15*$J$16</f>
        <v>1739.999999999995</v>
      </c>
      <c r="D167" s="10">
        <f t="shared" si="4"/>
        <v>8859.9999999999945</v>
      </c>
      <c r="E167" s="10">
        <f t="shared" si="5"/>
        <v>38132.000000000007</v>
      </c>
      <c r="F167" s="10" t="str">
        <f>IF(A167=$J$22,"",IF(E167&lt;$J$20,$J$19-E167,""))</f>
        <v/>
      </c>
    </row>
    <row r="168" spans="1:6" hidden="1">
      <c r="A168" s="11">
        <v>45785</v>
      </c>
      <c r="B168" s="10">
        <v>59.78</v>
      </c>
      <c r="C168" s="10">
        <f>(B167-B168)*$J$15*$J$16</f>
        <v>-2219.9999999999991</v>
      </c>
      <c r="D168" s="10">
        <f t="shared" si="4"/>
        <v>6639.9999999999955</v>
      </c>
      <c r="E168" s="10">
        <f t="shared" si="5"/>
        <v>35912.000000000007</v>
      </c>
      <c r="F168" s="10" t="str">
        <f>IF(A168=$J$22,"",IF(E168&lt;$J$20,$J$19-E168,""))</f>
        <v/>
      </c>
    </row>
    <row r="169" spans="1:6" hidden="1">
      <c r="A169" s="11">
        <v>45786</v>
      </c>
      <c r="B169" s="10">
        <v>60.21</v>
      </c>
      <c r="C169" s="10">
        <f>(B168-B169)*$J$15*$J$16</f>
        <v>-859.99999999999943</v>
      </c>
      <c r="D169" s="10">
        <f t="shared" si="4"/>
        <v>5779.9999999999964</v>
      </c>
      <c r="E169" s="10">
        <f t="shared" si="5"/>
        <v>35052.000000000007</v>
      </c>
      <c r="F169" s="10" t="str">
        <f>IF(A169=$J$22,"",IF(E169&lt;$J$20,$J$19-E169,""))</f>
        <v/>
      </c>
    </row>
    <row r="170" spans="1:6" hidden="1">
      <c r="A170" s="11">
        <v>45789</v>
      </c>
      <c r="B170" s="10">
        <v>61.2</v>
      </c>
      <c r="C170" s="10">
        <f>(B169-B170)*$J$15*$J$16</f>
        <v>-1980.0000000000041</v>
      </c>
      <c r="D170" s="10">
        <f t="shared" si="4"/>
        <v>3799.9999999999923</v>
      </c>
      <c r="E170" s="10">
        <f t="shared" si="5"/>
        <v>33072</v>
      </c>
      <c r="F170" s="10" t="str">
        <f>IF(A170=$J$22,"",IF(E170&lt;$J$20,$J$19-E170,""))</f>
        <v/>
      </c>
    </row>
    <row r="171" spans="1:6" hidden="1">
      <c r="A171" s="11">
        <v>45790</v>
      </c>
      <c r="B171" s="10">
        <v>62.1</v>
      </c>
      <c r="C171" s="10">
        <f>(B170-B171)*$J$15*$J$16</f>
        <v>-1799.9999999999973</v>
      </c>
      <c r="D171" s="10">
        <f t="shared" si="4"/>
        <v>1999.999999999995</v>
      </c>
      <c r="E171" s="10">
        <f t="shared" si="5"/>
        <v>31272.000000000004</v>
      </c>
      <c r="F171" s="10" t="str">
        <f>IF(A171=$J$22,"",IF(E171&lt;$J$20,$J$19-E171,""))</f>
        <v/>
      </c>
    </row>
    <row r="172" spans="1:6" hidden="1">
      <c r="A172" s="11">
        <v>45791</v>
      </c>
      <c r="B172" s="10">
        <v>61.57</v>
      </c>
      <c r="C172" s="10">
        <f>(B171-B172)*$J$15*$J$16</f>
        <v>1060.0000000000023</v>
      </c>
      <c r="D172" s="10">
        <f t="shared" si="4"/>
        <v>3059.9999999999973</v>
      </c>
      <c r="E172" s="10">
        <f t="shared" si="5"/>
        <v>32332.000000000007</v>
      </c>
      <c r="F172" s="10" t="str">
        <f>IF(A172=$J$22,"",IF(E172&lt;$J$20,$J$19-E172,""))</f>
        <v/>
      </c>
    </row>
    <row r="173" spans="1:6" hidden="1">
      <c r="A173" s="11">
        <v>45792</v>
      </c>
      <c r="B173" s="10">
        <v>60.8</v>
      </c>
      <c r="C173" s="10">
        <f>(B172-B173)*$J$15*$J$16</f>
        <v>1540.0000000000064</v>
      </c>
      <c r="D173" s="10">
        <f t="shared" si="4"/>
        <v>4600.0000000000036</v>
      </c>
      <c r="E173" s="10">
        <f t="shared" si="5"/>
        <v>33872.000000000015</v>
      </c>
      <c r="F173" s="10" t="str">
        <f>IF(A173=$J$22,"",IF(E173&lt;$J$20,$J$19-E173,""))</f>
        <v/>
      </c>
    </row>
    <row r="174" spans="1:6" hidden="1">
      <c r="A174" s="11">
        <v>45793</v>
      </c>
      <c r="B174" s="10">
        <v>60.96</v>
      </c>
      <c r="C174" s="10">
        <f>(B173-B174)*$J$15*$J$16</f>
        <v>-320.00000000000739</v>
      </c>
      <c r="D174" s="10">
        <f t="shared" si="4"/>
        <v>4279.9999999999964</v>
      </c>
      <c r="E174" s="10">
        <f t="shared" si="5"/>
        <v>33552.000000000007</v>
      </c>
      <c r="F174" s="10" t="str">
        <f>IF(A174=$J$22,"",IF(E174&lt;$J$20,$J$19-E174,""))</f>
        <v/>
      </c>
    </row>
    <row r="175" spans="1:6" hidden="1">
      <c r="A175" s="11">
        <v>45796</v>
      </c>
      <c r="B175" s="10">
        <v>60.71</v>
      </c>
      <c r="C175" s="10">
        <f>(B174-B175)*$J$15*$J$16</f>
        <v>500</v>
      </c>
      <c r="D175" s="10">
        <f t="shared" si="4"/>
        <v>4779.9999999999964</v>
      </c>
      <c r="E175" s="10">
        <f t="shared" si="5"/>
        <v>34052.000000000007</v>
      </c>
      <c r="F175" s="10" t="str">
        <f>IF(A175=$J$22,"",IF(E175&lt;$J$20,$J$19-E175,""))</f>
        <v/>
      </c>
    </row>
    <row r="176" spans="1:6" hidden="1">
      <c r="A176" s="11">
        <v>45797</v>
      </c>
      <c r="B176" s="10">
        <v>60.99</v>
      </c>
      <c r="C176" s="10">
        <f>(B175-B176)*$J$15*$J$16</f>
        <v>-560.00000000000227</v>
      </c>
      <c r="D176" s="10">
        <f t="shared" si="4"/>
        <v>4219.9999999999945</v>
      </c>
      <c r="E176" s="10">
        <f t="shared" si="5"/>
        <v>33492.000000000007</v>
      </c>
      <c r="F176" s="10" t="str">
        <f>IF(A176=$J$22,"",IF(E176&lt;$J$20,$J$19-E176,""))</f>
        <v/>
      </c>
    </row>
    <row r="177" spans="1:6" hidden="1">
      <c r="A177" s="11">
        <v>45798</v>
      </c>
      <c r="B177" s="10">
        <v>60.77</v>
      </c>
      <c r="C177" s="10">
        <f>(B176-B177)*$J$15*$J$16</f>
        <v>439.99999999999773</v>
      </c>
      <c r="D177" s="10">
        <f t="shared" si="4"/>
        <v>4659.9999999999927</v>
      </c>
      <c r="E177" s="10">
        <f t="shared" si="5"/>
        <v>33932.000000000007</v>
      </c>
      <c r="F177" s="10" t="str">
        <f>IF(A177=$J$22,"",IF(E177&lt;$J$20,$J$19-E177,""))</f>
        <v/>
      </c>
    </row>
    <row r="178" spans="1:6" hidden="1">
      <c r="A178" s="11">
        <v>45799</v>
      </c>
      <c r="B178" s="10">
        <v>60.48</v>
      </c>
      <c r="C178" s="10">
        <f>(B177-B178)*$J$15*$J$16</f>
        <v>580.00000000001251</v>
      </c>
      <c r="D178" s="10">
        <f t="shared" si="4"/>
        <v>5240.0000000000055</v>
      </c>
      <c r="E178" s="10">
        <f t="shared" si="5"/>
        <v>34512.000000000022</v>
      </c>
      <c r="F178" s="10" t="str">
        <f>IF(A178=$J$22,"",IF(E178&lt;$J$20,$J$19-E178,""))</f>
        <v/>
      </c>
    </row>
    <row r="179" spans="1:6" hidden="1">
      <c r="A179" s="11">
        <v>45800</v>
      </c>
      <c r="B179" s="10">
        <v>60.62</v>
      </c>
      <c r="C179" s="10">
        <f>(B178-B179)*$J$15*$J$16</f>
        <v>-280.00000000000114</v>
      </c>
      <c r="D179" s="10">
        <f t="shared" si="4"/>
        <v>4960.0000000000045</v>
      </c>
      <c r="E179" s="10">
        <f t="shared" si="5"/>
        <v>34232.000000000022</v>
      </c>
      <c r="F179" s="10" t="str">
        <f>IF(A179=$J$22,"",IF(E179&lt;$J$20,$J$19-E179,""))</f>
        <v/>
      </c>
    </row>
    <row r="180" spans="1:6" hidden="1">
      <c r="A180" s="11">
        <v>45804</v>
      </c>
      <c r="B180" s="10">
        <v>60.18</v>
      </c>
      <c r="C180" s="10">
        <f>(B179-B180)*$J$15*$J$16</f>
        <v>879.99999999999545</v>
      </c>
      <c r="D180" s="10">
        <f t="shared" si="4"/>
        <v>5840</v>
      </c>
      <c r="E180" s="10">
        <f t="shared" si="5"/>
        <v>35112.000000000015</v>
      </c>
      <c r="F180" s="10" t="str">
        <f>IF(A180=$J$22,"",IF(E180&lt;$J$20,$J$19-E180,""))</f>
        <v/>
      </c>
    </row>
    <row r="181" spans="1:6" hidden="1">
      <c r="A181" s="11">
        <v>45805</v>
      </c>
      <c r="B181" s="10">
        <v>60.62</v>
      </c>
      <c r="C181" s="10">
        <f>(B180-B181)*$J$15*$J$16</f>
        <v>-879.99999999999545</v>
      </c>
      <c r="D181" s="10">
        <f t="shared" si="4"/>
        <v>4960.0000000000045</v>
      </c>
      <c r="E181" s="10">
        <f t="shared" si="5"/>
        <v>34232.000000000022</v>
      </c>
      <c r="F181" s="10" t="str">
        <f>IF(A181=$J$22,"",IF(E181&lt;$J$20,$J$19-E181,""))</f>
        <v/>
      </c>
    </row>
    <row r="182" spans="1:6" hidden="1">
      <c r="A182" s="11">
        <v>45806</v>
      </c>
      <c r="B182" s="10">
        <v>59.64</v>
      </c>
      <c r="C182" s="10">
        <f>(B181-B182)*$J$15*$J$16</f>
        <v>1959.9999999999936</v>
      </c>
      <c r="D182" s="10">
        <f t="shared" si="4"/>
        <v>6919.9999999999982</v>
      </c>
      <c r="E182" s="10">
        <f t="shared" si="5"/>
        <v>36192.000000000015</v>
      </c>
      <c r="F182" s="10" t="str">
        <f>IF(A182=$J$22,"",IF(E182&lt;$J$20,$J$19-E182,""))</f>
        <v/>
      </c>
    </row>
    <row r="183" spans="1:6" hidden="1">
      <c r="A183" s="11">
        <v>45807</v>
      </c>
      <c r="B183" s="10">
        <v>59.3</v>
      </c>
      <c r="C183" s="10">
        <f>(B182-B183)*$J$15*$J$16</f>
        <v>680.00000000000682</v>
      </c>
      <c r="D183" s="10">
        <f t="shared" si="4"/>
        <v>7600.0000000000055</v>
      </c>
      <c r="E183" s="10">
        <f t="shared" si="5"/>
        <v>36872.000000000022</v>
      </c>
      <c r="F183" s="10" t="str">
        <f>IF(A183=$J$22,"",IF(E183&lt;$J$20,$J$19-E183,""))</f>
        <v/>
      </c>
    </row>
    <row r="184" spans="1:6" hidden="1">
      <c r="A184" s="11">
        <v>45810</v>
      </c>
      <c r="B184" s="10">
        <v>60.33</v>
      </c>
      <c r="C184" s="10">
        <f>(B183-B184)*$J$15*$J$16</f>
        <v>-2060.0000000000023</v>
      </c>
      <c r="D184" s="10">
        <f t="shared" si="4"/>
        <v>5540.0000000000036</v>
      </c>
      <c r="E184" s="10">
        <f t="shared" si="5"/>
        <v>34812.000000000022</v>
      </c>
      <c r="F184" s="10" t="str">
        <f>IF(A184=$J$22,"",IF(E184&lt;$J$20,$J$19-E184,""))</f>
        <v/>
      </c>
    </row>
    <row r="185" spans="1:6" hidden="1">
      <c r="A185" s="11">
        <v>45811</v>
      </c>
      <c r="B185" s="10">
        <v>61.21</v>
      </c>
      <c r="C185" s="10">
        <f>(B184-B185)*$J$15*$J$16</f>
        <v>-1760.000000000005</v>
      </c>
      <c r="D185" s="10">
        <f t="shared" si="4"/>
        <v>3779.9999999999986</v>
      </c>
      <c r="E185" s="10">
        <f t="shared" si="5"/>
        <v>33052.000000000015</v>
      </c>
      <c r="F185" s="10" t="str">
        <f>IF(A185=$J$22,"",IF(E185&lt;$J$20,$J$19-E185,""))</f>
        <v/>
      </c>
    </row>
    <row r="186" spans="1:6" hidden="1">
      <c r="A186" s="11">
        <v>45812</v>
      </c>
      <c r="B186" s="10">
        <v>60.65</v>
      </c>
      <c r="C186" s="10">
        <f>(B185-B186)*$J$15*$J$16</f>
        <v>1120.0000000000045</v>
      </c>
      <c r="D186" s="10">
        <f t="shared" si="4"/>
        <v>4900.0000000000036</v>
      </c>
      <c r="E186" s="10">
        <f t="shared" si="5"/>
        <v>34172.000000000022</v>
      </c>
      <c r="F186" s="10" t="str">
        <f>IF(A186=$J$22,"",IF(E186&lt;$J$20,$J$19-E186,""))</f>
        <v/>
      </c>
    </row>
    <row r="187" spans="1:6" hidden="1">
      <c r="A187" s="11">
        <v>45813</v>
      </c>
      <c r="B187" s="10">
        <v>60.99</v>
      </c>
      <c r="C187" s="10">
        <f>(B186-B187)*$J$15*$J$16</f>
        <v>-680.00000000000682</v>
      </c>
      <c r="D187" s="10">
        <f t="shared" si="4"/>
        <v>4219.9999999999964</v>
      </c>
      <c r="E187" s="10">
        <f t="shared" si="5"/>
        <v>33492.000000000015</v>
      </c>
      <c r="F187" s="10" t="str">
        <f>IF(A187=$J$22,"",IF(E187&lt;$J$20,$J$19-E187,""))</f>
        <v/>
      </c>
    </row>
    <row r="188" spans="1:6" hidden="1">
      <c r="A188" s="11">
        <v>45814</v>
      </c>
      <c r="B188" s="10">
        <v>61.58</v>
      </c>
      <c r="C188" s="10">
        <f>(B187-B188)*$J$15*$J$16</f>
        <v>-1179.9999999999927</v>
      </c>
      <c r="D188" s="10">
        <f t="shared" si="4"/>
        <v>3040.0000000000036</v>
      </c>
      <c r="E188" s="10">
        <f t="shared" si="5"/>
        <v>32312.000000000022</v>
      </c>
      <c r="F188" s="10" t="str">
        <f>IF(A188=$J$22,"",IF(E188&lt;$J$20,$J$19-E188,""))</f>
        <v/>
      </c>
    </row>
    <row r="189" spans="1:6" hidden="1">
      <c r="A189" s="11">
        <v>45817</v>
      </c>
      <c r="B189" s="10">
        <v>61.84</v>
      </c>
      <c r="C189" s="10">
        <f>(B188-B189)*$J$15*$J$16</f>
        <v>-520.00000000001023</v>
      </c>
      <c r="D189" s="10">
        <f t="shared" si="4"/>
        <v>2519.9999999999936</v>
      </c>
      <c r="E189" s="10">
        <f t="shared" si="5"/>
        <v>31792.000000000011</v>
      </c>
      <c r="F189" s="10" t="str">
        <f>IF(A189=$J$22,"",IF(E189&lt;$J$20,$J$19-E189,""))</f>
        <v/>
      </c>
    </row>
    <row r="190" spans="1:6" hidden="1">
      <c r="A190" s="11">
        <v>45818</v>
      </c>
      <c r="B190" s="10">
        <v>61.67</v>
      </c>
      <c r="C190" s="10">
        <f>(B189-B190)*$J$15*$J$16</f>
        <v>340.00000000000341</v>
      </c>
      <c r="D190" s="10">
        <f t="shared" si="4"/>
        <v>2859.9999999999973</v>
      </c>
      <c r="E190" s="10">
        <f t="shared" si="5"/>
        <v>32132.000000000015</v>
      </c>
      <c r="F190" s="10" t="str">
        <f>IF(A190=$J$22,"",IF(E190&lt;$J$20,$J$19-E190,""))</f>
        <v/>
      </c>
    </row>
    <row r="191" spans="1:6" hidden="1">
      <c r="A191" s="11">
        <v>45819</v>
      </c>
      <c r="B191" s="10">
        <v>63.05</v>
      </c>
      <c r="C191" s="10">
        <f>(B190-B191)*$J$15*$J$16</f>
        <v>-2759.9999999999909</v>
      </c>
      <c r="D191" s="10">
        <f t="shared" si="4"/>
        <v>100.00000000000637</v>
      </c>
      <c r="E191" s="10">
        <f t="shared" si="5"/>
        <v>29372.000000000022</v>
      </c>
      <c r="F191" s="10" t="str">
        <f>IF(A191=$J$22,"",IF(E191&lt;$J$20,$J$19-E191,""))</f>
        <v/>
      </c>
    </row>
    <row r="192" spans="1:6" hidden="1">
      <c r="A192" s="11">
        <v>45820</v>
      </c>
      <c r="B192" s="10">
        <v>62.72</v>
      </c>
      <c r="C192" s="10">
        <f>(B191-B192)*$J$15*$J$16</f>
        <v>659.99999999999659</v>
      </c>
      <c r="D192" s="10">
        <f t="shared" si="4"/>
        <v>760.00000000000296</v>
      </c>
      <c r="E192" s="10">
        <f t="shared" si="5"/>
        <v>30032.000000000018</v>
      </c>
      <c r="F192" s="10" t="str">
        <f>IF(A192=$J$22,"",IF(E192&lt;$J$20,$J$19-E192,""))</f>
        <v/>
      </c>
    </row>
    <row r="193" spans="1:6" hidden="1">
      <c r="A193" s="11">
        <v>45821</v>
      </c>
      <c r="B193" s="10">
        <v>64.14</v>
      </c>
      <c r="C193" s="10">
        <f>(B192-B193)*$J$15*$J$16</f>
        <v>-2840.0000000000036</v>
      </c>
      <c r="D193" s="10">
        <f t="shared" si="4"/>
        <v>-2080.0000000000009</v>
      </c>
      <c r="E193" s="10">
        <f t="shared" si="5"/>
        <v>27192.000000000015</v>
      </c>
      <c r="F193" s="10" t="str">
        <f>IF(A193=$J$22,"",IF(E193&lt;$J$20,$J$19-E193,""))</f>
        <v/>
      </c>
    </row>
    <row r="194" spans="1:6" hidden="1">
      <c r="A194" s="11">
        <v>45824</v>
      </c>
      <c r="B194" s="10">
        <v>64.52</v>
      </c>
      <c r="C194" s="10">
        <f>(B193-B194)*$J$15*$J$16</f>
        <v>-759.99999999999091</v>
      </c>
      <c r="D194" s="10">
        <f t="shared" si="4"/>
        <v>-2839.9999999999918</v>
      </c>
      <c r="E194" s="10">
        <f t="shared" si="5"/>
        <v>26432.000000000022</v>
      </c>
      <c r="F194" s="10" t="str">
        <f>IF(A194=$J$22,"",IF(E194&lt;$J$20,$J$19-E194,""))</f>
        <v/>
      </c>
    </row>
    <row r="195" spans="1:6" hidden="1">
      <c r="A195" s="11">
        <v>45825</v>
      </c>
      <c r="B195" s="10">
        <v>65.83</v>
      </c>
      <c r="C195" s="10">
        <f>(B194-B195)*$J$15*$J$16</f>
        <v>-2620.0000000000045</v>
      </c>
      <c r="D195" s="10">
        <f t="shared" ref="D195:D258" si="6">D194+C195</f>
        <v>-5459.9999999999964</v>
      </c>
      <c r="E195" s="10">
        <f t="shared" ref="E195:E258" si="7">E194+IF(F194="",0,F194)+C195</f>
        <v>23812.000000000018</v>
      </c>
      <c r="F195" s="10" t="str">
        <f>IF(A195=$J$22,"",IF(E195&lt;$J$20,$J$19-E195,""))</f>
        <v/>
      </c>
    </row>
    <row r="196" spans="1:6" hidden="1">
      <c r="A196" s="11">
        <v>45826</v>
      </c>
      <c r="B196" s="10">
        <v>65.62</v>
      </c>
      <c r="C196" s="10">
        <f>(B195-B196)*$J$15*$J$16</f>
        <v>419.99999999998749</v>
      </c>
      <c r="D196" s="10">
        <f t="shared" si="6"/>
        <v>-5040.0000000000091</v>
      </c>
      <c r="E196" s="10">
        <f t="shared" si="7"/>
        <v>24232.000000000007</v>
      </c>
      <c r="F196" s="10" t="str">
        <f>IF(A196=$J$22,"",IF(E196&lt;$J$20,$J$19-E196,""))</f>
        <v/>
      </c>
    </row>
    <row r="197" spans="1:6" hidden="1">
      <c r="A197" s="11">
        <v>45828</v>
      </c>
      <c r="B197" s="10">
        <v>65.83</v>
      </c>
      <c r="C197" s="10">
        <f>(B196-B197)*$J$15*$J$16</f>
        <v>-419.99999999998749</v>
      </c>
      <c r="D197" s="10">
        <f t="shared" si="6"/>
        <v>-5459.9999999999964</v>
      </c>
      <c r="E197" s="10">
        <f t="shared" si="7"/>
        <v>23812.000000000018</v>
      </c>
      <c r="F197" s="10" t="str">
        <f>IF(A197=$J$22,"",IF(E197&lt;$J$20,$J$19-E197,""))</f>
        <v/>
      </c>
    </row>
    <row r="198" spans="1:6" hidden="1">
      <c r="A198" s="11">
        <v>45831</v>
      </c>
      <c r="B198" s="10">
        <v>63.9</v>
      </c>
      <c r="C198" s="10">
        <f>(B197-B198)*$J$15*$J$16</f>
        <v>3859.9999999999995</v>
      </c>
      <c r="D198" s="10">
        <f t="shared" si="6"/>
        <v>-1599.9999999999968</v>
      </c>
      <c r="E198" s="10">
        <f t="shared" si="7"/>
        <v>27672.000000000018</v>
      </c>
      <c r="F198" s="10" t="str">
        <f>IF(A198=$J$22,"",IF(E198&lt;$J$20,$J$19-E198,""))</f>
        <v/>
      </c>
    </row>
    <row r="199" spans="1:6" hidden="1">
      <c r="A199" s="11">
        <v>45832</v>
      </c>
      <c r="B199" s="10">
        <v>61.75</v>
      </c>
      <c r="C199" s="10">
        <f>(B198-B199)*$J$15*$J$16</f>
        <v>4299.9999999999973</v>
      </c>
      <c r="D199" s="10">
        <f t="shared" si="6"/>
        <v>2700.0000000000005</v>
      </c>
      <c r="E199" s="10">
        <f t="shared" si="7"/>
        <v>31972.000000000015</v>
      </c>
      <c r="F199" s="10" t="str">
        <f>IF(A199=$J$22,"",IF(E199&lt;$J$20,$J$19-E199,""))</f>
        <v/>
      </c>
    </row>
    <row r="200" spans="1:6" hidden="1">
      <c r="A200" s="11">
        <v>45833</v>
      </c>
      <c r="B200" s="10">
        <v>61.37</v>
      </c>
      <c r="C200" s="10">
        <f>(B199-B200)*$J$15*$J$16</f>
        <v>760.00000000000512</v>
      </c>
      <c r="D200" s="10">
        <f t="shared" si="6"/>
        <v>3460.0000000000055</v>
      </c>
      <c r="E200" s="10">
        <f t="shared" si="7"/>
        <v>32732.000000000018</v>
      </c>
      <c r="F200" s="10" t="str">
        <f>IF(A200=$J$22,"",IF(E200&lt;$J$20,$J$19-E200,""))</f>
        <v/>
      </c>
    </row>
    <row r="201" spans="1:6" hidden="1">
      <c r="A201" s="11">
        <v>45834</v>
      </c>
      <c r="B201" s="10">
        <v>61.7</v>
      </c>
      <c r="C201" s="10">
        <f>(B200-B201)*$J$15*$J$16</f>
        <v>-660.0000000000108</v>
      </c>
      <c r="D201" s="10">
        <f t="shared" si="6"/>
        <v>2799.9999999999945</v>
      </c>
      <c r="E201" s="10">
        <f t="shared" si="7"/>
        <v>32072.000000000007</v>
      </c>
      <c r="F201" s="10" t="str">
        <f>IF(A201=$J$22,"",IF(E201&lt;$J$20,$J$19-E201,""))</f>
        <v/>
      </c>
    </row>
    <row r="202" spans="1:6" hidden="1">
      <c r="A202" s="11">
        <v>45835</v>
      </c>
      <c r="B202" s="10">
        <v>61.57</v>
      </c>
      <c r="C202" s="10">
        <f>(B201-B202)*$J$15*$J$16</f>
        <v>260.00000000000512</v>
      </c>
      <c r="D202" s="10">
        <f t="shared" si="6"/>
        <v>3059.9999999999995</v>
      </c>
      <c r="E202" s="10">
        <f t="shared" si="7"/>
        <v>32332.000000000011</v>
      </c>
      <c r="F202" s="10" t="str">
        <f>IF(A202=$J$22,"",IF(E202&lt;$J$20,$J$19-E202,""))</f>
        <v/>
      </c>
    </row>
    <row r="203" spans="1:6" hidden="1">
      <c r="A203" s="11">
        <v>45838</v>
      </c>
      <c r="B203" s="10">
        <v>61.44</v>
      </c>
      <c r="C203" s="10">
        <f>(B202-B203)*$J$15*$J$16</f>
        <v>260.00000000000512</v>
      </c>
      <c r="D203" s="10">
        <f t="shared" si="6"/>
        <v>3320.0000000000045</v>
      </c>
      <c r="E203" s="10">
        <f t="shared" si="7"/>
        <v>32592.000000000015</v>
      </c>
      <c r="F203" s="10" t="str">
        <f>IF(A203=$J$22,"",IF(E203&lt;$J$20,$J$19-E203,""))</f>
        <v/>
      </c>
    </row>
    <row r="204" spans="1:6" hidden="1">
      <c r="A204" s="11">
        <v>45839</v>
      </c>
      <c r="B204" s="10">
        <v>61.65</v>
      </c>
      <c r="C204" s="10">
        <f>(B203-B204)*$J$15*$J$16</f>
        <v>-420.00000000000171</v>
      </c>
      <c r="D204" s="10">
        <f t="shared" si="6"/>
        <v>2900.0000000000027</v>
      </c>
      <c r="E204" s="10">
        <f t="shared" si="7"/>
        <v>32172.000000000015</v>
      </c>
      <c r="F204" s="10" t="str">
        <f>IF(A204=$J$22,"",IF(E204&lt;$J$20,$J$19-E204,""))</f>
        <v/>
      </c>
    </row>
    <row r="205" spans="1:6" hidden="1">
      <c r="A205" s="11">
        <v>45840</v>
      </c>
      <c r="B205" s="10">
        <v>62.21</v>
      </c>
      <c r="C205" s="10">
        <f>(B204-B205)*$J$15*$J$16</f>
        <v>-1120.0000000000045</v>
      </c>
      <c r="D205" s="10">
        <f t="shared" si="6"/>
        <v>1779.9999999999982</v>
      </c>
      <c r="E205" s="10">
        <f t="shared" si="7"/>
        <v>31052.000000000011</v>
      </c>
      <c r="F205" s="10" t="str">
        <f>IF(A205=$J$22,"",IF(E205&lt;$J$20,$J$19-E205,""))</f>
        <v/>
      </c>
    </row>
    <row r="206" spans="1:6" hidden="1">
      <c r="A206" s="11">
        <v>45841</v>
      </c>
      <c r="B206" s="10">
        <v>62.09</v>
      </c>
      <c r="C206" s="10">
        <f>(B205-B206)*$J$15*$J$16</f>
        <v>239.99999999999488</v>
      </c>
      <c r="D206" s="10">
        <f t="shared" si="6"/>
        <v>2019.9999999999932</v>
      </c>
      <c r="E206" s="10">
        <f t="shared" si="7"/>
        <v>31292.000000000007</v>
      </c>
      <c r="F206" s="10" t="str">
        <f>IF(A206=$J$22,"",IF(E206&lt;$J$20,$J$19-E206,""))</f>
        <v/>
      </c>
    </row>
    <row r="207" spans="1:6" hidden="1">
      <c r="A207" s="11">
        <v>45842</v>
      </c>
      <c r="B207" s="10">
        <v>61.9</v>
      </c>
      <c r="C207" s="10">
        <f>(B206-B207)*$J$15*$J$16</f>
        <v>380.00000000000966</v>
      </c>
      <c r="D207" s="10">
        <f t="shared" si="6"/>
        <v>2400.0000000000027</v>
      </c>
      <c r="E207" s="10">
        <f t="shared" si="7"/>
        <v>31672.000000000018</v>
      </c>
      <c r="F207" s="10" t="str">
        <f>IF(A207=$J$22,"",IF(E207&lt;$J$20,$J$19-E207,""))</f>
        <v/>
      </c>
    </row>
    <row r="208" spans="1:6" hidden="1">
      <c r="A208" s="11">
        <v>45845</v>
      </c>
      <c r="B208" s="10">
        <v>62.73</v>
      </c>
      <c r="C208" s="10">
        <f>(B207-B208)*$J$15*$J$16</f>
        <v>-1659.9999999999966</v>
      </c>
      <c r="D208" s="10">
        <f t="shared" si="6"/>
        <v>740.00000000000614</v>
      </c>
      <c r="E208" s="10">
        <f t="shared" si="7"/>
        <v>30012.000000000022</v>
      </c>
      <c r="F208" s="10" t="str">
        <f>IF(A208=$J$22,"",IF(E208&lt;$J$20,$J$19-E208,""))</f>
        <v/>
      </c>
    </row>
    <row r="209" spans="1:6" hidden="1">
      <c r="A209" s="11">
        <v>45846</v>
      </c>
      <c r="B209" s="10">
        <v>63.28</v>
      </c>
      <c r="C209" s="10">
        <f>(B208-B209)*$J$15*$J$16</f>
        <v>-1100.0000000000086</v>
      </c>
      <c r="D209" s="10">
        <f t="shared" si="6"/>
        <v>-360.0000000000025</v>
      </c>
      <c r="E209" s="10">
        <f t="shared" si="7"/>
        <v>28912.000000000015</v>
      </c>
      <c r="F209" s="10" t="str">
        <f>IF(A209=$J$22,"",IF(E209&lt;$J$20,$J$19-E209,""))</f>
        <v/>
      </c>
    </row>
    <row r="210" spans="1:6" hidden="1">
      <c r="A210" s="11">
        <v>45847</v>
      </c>
      <c r="B210" s="10">
        <v>63.03</v>
      </c>
      <c r="C210" s="10">
        <f>(B209-B210)*$J$15*$J$16</f>
        <v>500</v>
      </c>
      <c r="D210" s="10">
        <f t="shared" si="6"/>
        <v>139.9999999999975</v>
      </c>
      <c r="E210" s="10">
        <f t="shared" si="7"/>
        <v>29412.000000000015</v>
      </c>
      <c r="F210" s="10" t="str">
        <f>IF(A210=$J$22,"",IF(E210&lt;$J$20,$J$19-E210,""))</f>
        <v/>
      </c>
    </row>
    <row r="211" spans="1:6" hidden="1">
      <c r="A211" s="11">
        <v>45848</v>
      </c>
      <c r="B211" s="10">
        <v>62.33</v>
      </c>
      <c r="C211" s="10">
        <f>(B210-B211)*$J$15*$J$16</f>
        <v>1400.0000000000057</v>
      </c>
      <c r="D211" s="10">
        <f t="shared" si="6"/>
        <v>1540.0000000000032</v>
      </c>
      <c r="E211" s="10">
        <f t="shared" si="7"/>
        <v>30812.000000000022</v>
      </c>
      <c r="F211" s="10" t="str">
        <f>IF(A211=$J$22,"",IF(E211&lt;$J$20,$J$19-E211,""))</f>
        <v/>
      </c>
    </row>
    <row r="212" spans="1:6" hidden="1">
      <c r="A212" s="11">
        <v>45849</v>
      </c>
      <c r="B212" s="10">
        <v>63.34</v>
      </c>
      <c r="C212" s="10">
        <f>(B211-B212)*$J$15*$J$16</f>
        <v>-2020.0000000000102</v>
      </c>
      <c r="D212" s="10">
        <f t="shared" si="6"/>
        <v>-480.00000000000705</v>
      </c>
      <c r="E212" s="10">
        <f t="shared" si="7"/>
        <v>28792.000000000011</v>
      </c>
      <c r="F212" s="10" t="str">
        <f>IF(A212=$J$22,"",IF(E212&lt;$J$20,$J$19-E212,""))</f>
        <v/>
      </c>
    </row>
    <row r="213" spans="1:6" hidden="1">
      <c r="A213" s="11">
        <v>45852</v>
      </c>
      <c r="B213" s="10">
        <v>63</v>
      </c>
      <c r="C213" s="10">
        <f>(B212-B213)*$J$15*$J$16</f>
        <v>680.00000000000682</v>
      </c>
      <c r="D213" s="10">
        <f t="shared" si="6"/>
        <v>199.99999999999977</v>
      </c>
      <c r="E213" s="10">
        <f t="shared" si="7"/>
        <v>29472.000000000018</v>
      </c>
      <c r="F213" s="10" t="str">
        <f>IF(A213=$J$22,"",IF(E213&lt;$J$20,$J$19-E213,""))</f>
        <v/>
      </c>
    </row>
    <row r="214" spans="1:6" hidden="1">
      <c r="A214" s="11">
        <v>45853</v>
      </c>
      <c r="B214" s="10">
        <v>62.62</v>
      </c>
      <c r="C214" s="10">
        <f>(B213-B214)*$J$15*$J$16</f>
        <v>760.00000000000512</v>
      </c>
      <c r="D214" s="10">
        <f t="shared" si="6"/>
        <v>960.00000000000489</v>
      </c>
      <c r="E214" s="10">
        <f t="shared" si="7"/>
        <v>30232.000000000022</v>
      </c>
      <c r="F214" s="10" t="str">
        <f>IF(A214=$J$22,"",IF(E214&lt;$J$20,$J$19-E214,""))</f>
        <v/>
      </c>
    </row>
    <row r="215" spans="1:6" hidden="1">
      <c r="A215" s="11">
        <v>45854</v>
      </c>
      <c r="B215" s="10">
        <v>62.45</v>
      </c>
      <c r="C215" s="10">
        <f>(B214-B215)*$J$15*$J$16</f>
        <v>339.9999999999892</v>
      </c>
      <c r="D215" s="10">
        <f t="shared" si="6"/>
        <v>1299.9999999999941</v>
      </c>
      <c r="E215" s="10">
        <f t="shared" si="7"/>
        <v>30572.000000000011</v>
      </c>
      <c r="F215" s="10" t="str">
        <f>IF(A215=$J$22,"",IF(E215&lt;$J$20,$J$19-E215,""))</f>
        <v/>
      </c>
    </row>
    <row r="216" spans="1:6" hidden="1">
      <c r="A216" s="11">
        <v>45855</v>
      </c>
      <c r="B216" s="10">
        <v>63.03</v>
      </c>
      <c r="C216" s="10">
        <f>(B215-B216)*$J$15*$J$16</f>
        <v>-1159.9999999999966</v>
      </c>
      <c r="D216" s="10">
        <f t="shared" si="6"/>
        <v>139.9999999999975</v>
      </c>
      <c r="E216" s="10">
        <f t="shared" si="7"/>
        <v>29412.000000000015</v>
      </c>
      <c r="F216" s="10" t="str">
        <f>IF(A216=$J$22,"",IF(E216&lt;$J$20,$J$19-E216,""))</f>
        <v/>
      </c>
    </row>
    <row r="217" spans="1:6" hidden="1">
      <c r="A217" s="11">
        <v>45856</v>
      </c>
      <c r="B217" s="10">
        <v>63.06</v>
      </c>
      <c r="C217" s="10">
        <f>(B216-B217)*$J$15*$J$16</f>
        <v>-60.000000000002274</v>
      </c>
      <c r="D217" s="10">
        <f t="shared" si="6"/>
        <v>79.999999999995225</v>
      </c>
      <c r="E217" s="10">
        <f t="shared" si="7"/>
        <v>29352.000000000011</v>
      </c>
      <c r="F217" s="10" t="str">
        <f>IF(A217=$J$22,"",IF(E217&lt;$J$20,$J$19-E217,""))</f>
        <v/>
      </c>
    </row>
    <row r="218" spans="1:6" hidden="1">
      <c r="A218" s="11">
        <v>45859</v>
      </c>
      <c r="B218" s="10">
        <v>63.04</v>
      </c>
      <c r="C218" s="10">
        <f>(B217-B218)*$J$15*$J$16</f>
        <v>40.000000000006253</v>
      </c>
      <c r="D218" s="10">
        <f t="shared" si="6"/>
        <v>120.00000000000148</v>
      </c>
      <c r="E218" s="10">
        <f t="shared" si="7"/>
        <v>29392.000000000018</v>
      </c>
      <c r="F218" s="10" t="str">
        <f>IF(A218=$J$22,"",IF(E218&lt;$J$20,$J$19-E218,""))</f>
        <v/>
      </c>
    </row>
    <row r="219" spans="1:6" hidden="1">
      <c r="A219" s="11">
        <v>45860</v>
      </c>
      <c r="B219" s="10">
        <v>62.7</v>
      </c>
      <c r="C219" s="10">
        <f>(B218-B219)*$J$15*$J$16</f>
        <v>679.99999999999261</v>
      </c>
      <c r="D219" s="10">
        <f t="shared" si="6"/>
        <v>799.99999999999409</v>
      </c>
      <c r="E219" s="10">
        <f t="shared" si="7"/>
        <v>30072.000000000011</v>
      </c>
      <c r="F219" s="10" t="str">
        <f>IF(A219=$J$22,"",IF(E219&lt;$J$20,$J$19-E219,""))</f>
        <v/>
      </c>
    </row>
    <row r="220" spans="1:6" hidden="1">
      <c r="A220" s="11">
        <v>45861</v>
      </c>
      <c r="B220" s="10">
        <v>62.74</v>
      </c>
      <c r="C220" s="10">
        <f>(B219-B220)*$J$15*$J$16</f>
        <v>-79.999999999998295</v>
      </c>
      <c r="D220" s="10">
        <f t="shared" si="6"/>
        <v>719.99999999999579</v>
      </c>
      <c r="E220" s="10">
        <f t="shared" si="7"/>
        <v>29992.000000000011</v>
      </c>
      <c r="F220" s="10" t="str">
        <f>IF(A220=$J$22,"",IF(E220&lt;$J$20,$J$19-E220,""))</f>
        <v/>
      </c>
    </row>
    <row r="221" spans="1:6" hidden="1">
      <c r="A221" s="11">
        <v>45862</v>
      </c>
      <c r="B221" s="10">
        <v>63.07</v>
      </c>
      <c r="C221" s="10">
        <f>(B220-B221)*$J$15*$J$16</f>
        <v>-659.99999999999659</v>
      </c>
      <c r="D221" s="10">
        <f t="shared" si="6"/>
        <v>59.999999999999204</v>
      </c>
      <c r="E221" s="10">
        <f t="shared" si="7"/>
        <v>29332.000000000015</v>
      </c>
      <c r="F221" s="10" t="str">
        <f>IF(A221=$J$22,"",IF(E221&lt;$J$20,$J$19-E221,""))</f>
        <v/>
      </c>
    </row>
    <row r="222" spans="1:6" hidden="1">
      <c r="A222" s="11">
        <v>45863</v>
      </c>
      <c r="B222" s="10">
        <v>62.52</v>
      </c>
      <c r="C222" s="10">
        <f>(B221-B222)*$J$15*$J$16</f>
        <v>1099.9999999999943</v>
      </c>
      <c r="D222" s="10">
        <f t="shared" si="6"/>
        <v>1159.9999999999936</v>
      </c>
      <c r="E222" s="10">
        <f t="shared" si="7"/>
        <v>30432.000000000007</v>
      </c>
      <c r="F222" s="10" t="str">
        <f>IF(A222=$J$22,"",IF(E222&lt;$J$20,$J$19-E222,""))</f>
        <v/>
      </c>
    </row>
    <row r="223" spans="1:6" hidden="1">
      <c r="A223" s="11">
        <v>45866</v>
      </c>
      <c r="B223" s="10">
        <v>63.62</v>
      </c>
      <c r="C223" s="10">
        <f>(B222-B223)*$J$15*$J$16</f>
        <v>-2199.9999999999886</v>
      </c>
      <c r="D223" s="10">
        <f t="shared" si="6"/>
        <v>-1039.999999999995</v>
      </c>
      <c r="E223" s="10">
        <f t="shared" si="7"/>
        <v>28232.000000000018</v>
      </c>
      <c r="F223" s="10" t="str">
        <f>IF(A223=$J$22,"",IF(E223&lt;$J$20,$J$19-E223,""))</f>
        <v/>
      </c>
    </row>
    <row r="224" spans="1:6" hidden="1">
      <c r="A224" s="11">
        <v>45867</v>
      </c>
      <c r="B224" s="10">
        <v>64.72</v>
      </c>
      <c r="C224" s="10">
        <f>(B223-B224)*$J$15*$J$16</f>
        <v>-2200.0000000000027</v>
      </c>
      <c r="D224" s="10">
        <f t="shared" si="6"/>
        <v>-3239.9999999999977</v>
      </c>
      <c r="E224" s="10">
        <f t="shared" si="7"/>
        <v>26032.000000000015</v>
      </c>
      <c r="F224" s="10" t="str">
        <f>IF(A224=$J$22,"",IF(E224&lt;$J$20,$J$19-E224,""))</f>
        <v/>
      </c>
    </row>
    <row r="225" spans="1:6" hidden="1">
      <c r="A225" s="11">
        <v>45868</v>
      </c>
      <c r="B225" s="10">
        <v>64.75</v>
      </c>
      <c r="C225" s="10">
        <f>(B224-B225)*$J$15*$J$16</f>
        <v>-60.000000000002274</v>
      </c>
      <c r="D225" s="10">
        <f t="shared" si="6"/>
        <v>-3300</v>
      </c>
      <c r="E225" s="10">
        <f t="shared" si="7"/>
        <v>25972.000000000011</v>
      </c>
      <c r="F225" s="10" t="str">
        <f>IF(A225=$J$22,"",IF(E225&lt;$J$20,$J$19-E225,""))</f>
        <v/>
      </c>
    </row>
    <row r="226" spans="1:6" hidden="1">
      <c r="A226" s="11">
        <v>45869</v>
      </c>
      <c r="B226" s="10">
        <v>64.16</v>
      </c>
      <c r="C226" s="10">
        <f>(B225-B226)*$J$15*$J$16</f>
        <v>1180.0000000000068</v>
      </c>
      <c r="D226" s="10">
        <f t="shared" si="6"/>
        <v>-2119.9999999999932</v>
      </c>
      <c r="E226" s="10">
        <f t="shared" si="7"/>
        <v>27152.000000000018</v>
      </c>
      <c r="F226" s="10" t="str">
        <f>IF(A226=$J$22,"",IF(E226&lt;$J$20,$J$19-E226,""))</f>
        <v/>
      </c>
    </row>
    <row r="227" spans="1:6" hidden="1">
      <c r="A227" s="11">
        <v>45870</v>
      </c>
      <c r="B227" s="10">
        <v>62.59</v>
      </c>
      <c r="C227" s="10">
        <f>(B226-B227)*$J$15*$J$16</f>
        <v>3139.9999999999864</v>
      </c>
      <c r="D227" s="10">
        <f t="shared" si="6"/>
        <v>1019.9999999999932</v>
      </c>
      <c r="E227" s="10">
        <f t="shared" si="7"/>
        <v>30292.000000000004</v>
      </c>
      <c r="F227" s="10" t="str">
        <f>IF(A227=$J$22,"",IF(E227&lt;$J$20,$J$19-E227,""))</f>
        <v/>
      </c>
    </row>
    <row r="228" spans="1:6" hidden="1">
      <c r="A228" s="11">
        <v>45873</v>
      </c>
      <c r="B228" s="10">
        <v>62.38</v>
      </c>
      <c r="C228" s="10">
        <f>(B227-B228)*$J$15*$J$16</f>
        <v>420.00000000000171</v>
      </c>
      <c r="D228" s="10">
        <f t="shared" si="6"/>
        <v>1439.999999999995</v>
      </c>
      <c r="E228" s="10">
        <f t="shared" si="7"/>
        <v>30712.000000000004</v>
      </c>
      <c r="F228" s="10" t="str">
        <f>IF(A228=$J$22,"",IF(E228&lt;$J$20,$J$19-E228,""))</f>
        <v/>
      </c>
    </row>
    <row r="229" spans="1:6" hidden="1">
      <c r="A229" s="11">
        <v>45874</v>
      </c>
      <c r="B229" s="10">
        <v>61.77</v>
      </c>
      <c r="C229" s="10">
        <f>(B228-B229)*$J$15*$J$16</f>
        <v>1219.9999999999989</v>
      </c>
      <c r="D229" s="10">
        <f t="shared" si="6"/>
        <v>2659.9999999999936</v>
      </c>
      <c r="E229" s="10">
        <f t="shared" si="7"/>
        <v>31932.000000000004</v>
      </c>
      <c r="F229" s="10" t="str">
        <f>IF(A229=$J$22,"",IF(E229&lt;$J$20,$J$19-E229,""))</f>
        <v/>
      </c>
    </row>
    <row r="230" spans="1:6" hidden="1">
      <c r="A230" s="11">
        <v>45875</v>
      </c>
      <c r="B230" s="10">
        <v>61.29</v>
      </c>
      <c r="C230" s="10">
        <f>(B229-B230)*$J$15*$J$16</f>
        <v>960.00000000000796</v>
      </c>
      <c r="D230" s="10">
        <f t="shared" si="6"/>
        <v>3620.0000000000018</v>
      </c>
      <c r="E230" s="10">
        <f t="shared" si="7"/>
        <v>32892.000000000015</v>
      </c>
      <c r="F230" s="10" t="str">
        <f>IF(A230=$J$22,"",IF(E230&lt;$J$20,$J$19-E230,""))</f>
        <v/>
      </c>
    </row>
    <row r="231" spans="1:6" hidden="1">
      <c r="A231" s="11">
        <v>45876</v>
      </c>
      <c r="B231" s="10">
        <v>61.33</v>
      </c>
      <c r="C231" s="10">
        <f>(B230-B231)*$J$15*$J$16</f>
        <v>-79.999999999998295</v>
      </c>
      <c r="D231" s="10">
        <f t="shared" si="6"/>
        <v>3540.0000000000036</v>
      </c>
      <c r="E231" s="10">
        <f t="shared" si="7"/>
        <v>32812.000000000015</v>
      </c>
      <c r="F231" s="10" t="str">
        <f>IF(A231=$J$22,"",IF(E231&lt;$J$20,$J$19-E231,""))</f>
        <v/>
      </c>
    </row>
    <row r="232" spans="1:6" hidden="1">
      <c r="A232" s="11">
        <v>45877</v>
      </c>
      <c r="B232" s="10">
        <v>61.16</v>
      </c>
      <c r="C232" s="10">
        <f>(B231-B232)*$J$15*$J$16</f>
        <v>340.00000000000341</v>
      </c>
      <c r="D232" s="10">
        <f t="shared" si="6"/>
        <v>3880.0000000000073</v>
      </c>
      <c r="E232" s="10">
        <f t="shared" si="7"/>
        <v>33152.000000000015</v>
      </c>
      <c r="F232" s="10" t="str">
        <f>IF(A232=$J$22,"",IF(E232&lt;$J$20,$J$19-E232,""))</f>
        <v/>
      </c>
    </row>
    <row r="233" spans="1:6" hidden="1">
      <c r="A233" s="11">
        <v>45880</v>
      </c>
      <c r="B233" s="10">
        <v>61.39</v>
      </c>
      <c r="C233" s="10">
        <f>(B232-B233)*$J$15*$J$16</f>
        <v>-460.00000000000796</v>
      </c>
      <c r="D233" s="10">
        <f t="shared" si="6"/>
        <v>3419.9999999999991</v>
      </c>
      <c r="E233" s="10">
        <f t="shared" si="7"/>
        <v>32692.000000000007</v>
      </c>
      <c r="F233" s="10" t="str">
        <f>IF(A233=$J$22,"",IF(E233&lt;$J$20,$J$19-E233,""))</f>
        <v/>
      </c>
    </row>
    <row r="234" spans="1:6" hidden="1">
      <c r="A234" s="11">
        <v>45881</v>
      </c>
      <c r="B234" s="10">
        <v>61.21</v>
      </c>
      <c r="C234" s="10">
        <f>(B233-B234)*$J$15*$J$16</f>
        <v>359.99999999999943</v>
      </c>
      <c r="D234" s="10">
        <f t="shared" si="6"/>
        <v>3779.9999999999986</v>
      </c>
      <c r="E234" s="10">
        <f t="shared" si="7"/>
        <v>33052.000000000007</v>
      </c>
      <c r="F234" s="10" t="str">
        <f>IF(A234=$J$22,"",IF(E234&lt;$J$20,$J$19-E234,""))</f>
        <v/>
      </c>
    </row>
    <row r="235" spans="1:6" hidden="1">
      <c r="A235" s="11">
        <v>45882</v>
      </c>
      <c r="B235" s="10">
        <v>60.99</v>
      </c>
      <c r="C235" s="10">
        <f>(B234-B235)*$J$15*$J$16</f>
        <v>439.99999999999773</v>
      </c>
      <c r="D235" s="10">
        <f t="shared" si="6"/>
        <v>4219.9999999999964</v>
      </c>
      <c r="E235" s="10">
        <f t="shared" si="7"/>
        <v>33492.000000000007</v>
      </c>
      <c r="F235" s="10" t="str">
        <f>IF(A235=$J$22,"",IF(E235&lt;$J$20,$J$19-E235,""))</f>
        <v/>
      </c>
    </row>
    <row r="236" spans="1:6" hidden="1">
      <c r="A236" s="11">
        <v>45883</v>
      </c>
      <c r="B236" s="10">
        <v>61.45</v>
      </c>
      <c r="C236" s="10">
        <f>(B235-B236)*$J$15*$J$16</f>
        <v>-920.00000000000171</v>
      </c>
      <c r="D236" s="10">
        <f t="shared" si="6"/>
        <v>3299.9999999999945</v>
      </c>
      <c r="E236" s="10">
        <f t="shared" si="7"/>
        <v>32572.000000000007</v>
      </c>
      <c r="F236" s="10" t="str">
        <f>IF(A236=$J$22,"",IF(E236&lt;$J$20,$J$19-E236,""))</f>
        <v/>
      </c>
    </row>
    <row r="237" spans="1:6" hidden="1">
      <c r="A237" s="11">
        <v>45884</v>
      </c>
      <c r="B237" s="10">
        <v>61.02</v>
      </c>
      <c r="C237" s="10">
        <f>(B236-B237)*$J$15*$J$16</f>
        <v>859.99999999999943</v>
      </c>
      <c r="D237" s="10">
        <f t="shared" si="6"/>
        <v>4159.9999999999936</v>
      </c>
      <c r="E237" s="10">
        <f t="shared" si="7"/>
        <v>33432.000000000007</v>
      </c>
      <c r="F237" s="10" t="str">
        <f>IF(A237=$J$22,"",IF(E237&lt;$J$20,$J$19-E237,""))</f>
        <v/>
      </c>
    </row>
    <row r="238" spans="1:6" hidden="1">
      <c r="A238" s="11">
        <v>45887</v>
      </c>
      <c r="B238" s="10">
        <v>61.5</v>
      </c>
      <c r="C238" s="10">
        <f>(B237-B238)*$J$15*$J$16</f>
        <v>-959.99999999999375</v>
      </c>
      <c r="D238" s="10">
        <f t="shared" si="6"/>
        <v>3200</v>
      </c>
      <c r="E238" s="10">
        <f t="shared" si="7"/>
        <v>32472.000000000015</v>
      </c>
      <c r="F238" s="10" t="str">
        <f>IF(A238=$J$22,"",IF(E238&lt;$J$20,$J$19-E238,""))</f>
        <v/>
      </c>
    </row>
    <row r="239" spans="1:6" hidden="1">
      <c r="A239" s="11">
        <v>45888</v>
      </c>
      <c r="B239" s="10">
        <v>60.97</v>
      </c>
      <c r="C239" s="10">
        <f>(B238-B239)*$J$15*$J$16</f>
        <v>1060.0000000000023</v>
      </c>
      <c r="D239" s="10">
        <f t="shared" si="6"/>
        <v>4260.0000000000018</v>
      </c>
      <c r="E239" s="10">
        <f t="shared" si="7"/>
        <v>33532.000000000015</v>
      </c>
      <c r="F239" s="10" t="str">
        <f>IF(A239=$J$22,"",IF(E239&lt;$J$20,$J$19-E239,""))</f>
        <v/>
      </c>
    </row>
    <row r="240" spans="1:6" hidden="1">
      <c r="A240" s="11">
        <v>45889</v>
      </c>
      <c r="B240" s="10">
        <v>61.67</v>
      </c>
      <c r="C240" s="10">
        <f>(B239-B240)*$J$15*$J$16</f>
        <v>-1400.0000000000057</v>
      </c>
      <c r="D240" s="10">
        <f t="shared" si="6"/>
        <v>2859.9999999999964</v>
      </c>
      <c r="E240" s="10">
        <f t="shared" si="7"/>
        <v>32132.000000000007</v>
      </c>
      <c r="F240" s="10" t="str">
        <f>IF(A240=$J$22,"",IF(E240&lt;$J$20,$J$19-E240,""))</f>
        <v/>
      </c>
    </row>
    <row r="241" spans="1:6" hidden="1">
      <c r="A241" s="11">
        <v>45890</v>
      </c>
      <c r="B241" s="10">
        <v>62.24</v>
      </c>
      <c r="C241" s="10">
        <f>(B240-B241)*$J$15*$J$16</f>
        <v>-1140.0000000000005</v>
      </c>
      <c r="D241" s="10">
        <f t="shared" si="6"/>
        <v>1719.9999999999959</v>
      </c>
      <c r="E241" s="10">
        <f t="shared" si="7"/>
        <v>30992.000000000007</v>
      </c>
      <c r="F241" s="10" t="str">
        <f>IF(A241=$J$22,"",IF(E241&lt;$J$20,$J$19-E241,""))</f>
        <v/>
      </c>
    </row>
    <row r="242" spans="1:6" hidden="1">
      <c r="A242" s="11">
        <v>45891</v>
      </c>
      <c r="B242" s="10">
        <v>62.29</v>
      </c>
      <c r="C242" s="10">
        <f>(B241-B242)*$J$15*$J$16</f>
        <v>-99.999999999994316</v>
      </c>
      <c r="D242" s="10">
        <f t="shared" si="6"/>
        <v>1620.0000000000016</v>
      </c>
      <c r="E242" s="10">
        <f t="shared" si="7"/>
        <v>30892.000000000015</v>
      </c>
      <c r="F242" s="10" t="str">
        <f>IF(A242=$J$22,"",IF(E242&lt;$J$20,$J$19-E242,""))</f>
        <v/>
      </c>
    </row>
    <row r="243" spans="1:6" hidden="1">
      <c r="A243" s="11">
        <v>45894</v>
      </c>
      <c r="B243" s="10">
        <v>62.96</v>
      </c>
      <c r="C243" s="10">
        <f>(B242-B243)*$J$15*$J$16</f>
        <v>-1340.0000000000034</v>
      </c>
      <c r="D243" s="10">
        <f t="shared" si="6"/>
        <v>279.99999999999818</v>
      </c>
      <c r="E243" s="10">
        <f t="shared" si="7"/>
        <v>29552.000000000011</v>
      </c>
      <c r="F243" s="10" t="str">
        <f>IF(A243=$J$22,"",IF(E243&lt;$J$20,$J$19-E243,""))</f>
        <v/>
      </c>
    </row>
    <row r="244" spans="1:6" hidden="1">
      <c r="A244" s="11">
        <v>45895</v>
      </c>
      <c r="B244" s="10">
        <v>61.83</v>
      </c>
      <c r="C244" s="10">
        <f>(B243-B244)*$J$15*$J$16</f>
        <v>2260.000000000005</v>
      </c>
      <c r="D244" s="10">
        <f t="shared" si="6"/>
        <v>2540.0000000000032</v>
      </c>
      <c r="E244" s="10">
        <f t="shared" si="7"/>
        <v>31812.000000000015</v>
      </c>
      <c r="F244" s="10" t="str">
        <f>IF(A244=$J$22,"",IF(E244&lt;$J$20,$J$19-E244,""))</f>
        <v/>
      </c>
    </row>
    <row r="245" spans="1:6" hidden="1">
      <c r="A245" s="11">
        <v>45896</v>
      </c>
      <c r="B245" s="10">
        <v>62.13</v>
      </c>
      <c r="C245" s="10">
        <f>(B244-B245)*$J$15*$J$16</f>
        <v>-600.00000000000853</v>
      </c>
      <c r="D245" s="10">
        <f t="shared" si="6"/>
        <v>1939.9999999999945</v>
      </c>
      <c r="E245" s="10">
        <f t="shared" si="7"/>
        <v>31212.000000000007</v>
      </c>
      <c r="F245" s="10" t="str">
        <f>IF(A245=$J$22,"",IF(E245&lt;$J$20,$J$19-E245,""))</f>
        <v/>
      </c>
    </row>
    <row r="246" spans="1:6" hidden="1">
      <c r="A246" s="11">
        <v>45897</v>
      </c>
      <c r="B246" s="10">
        <v>62.52</v>
      </c>
      <c r="C246" s="10">
        <f>(B245-B246)*$J$15*$J$16</f>
        <v>-780.00000000000114</v>
      </c>
      <c r="D246" s="10">
        <f t="shared" si="6"/>
        <v>1159.9999999999934</v>
      </c>
      <c r="E246" s="10">
        <f t="shared" si="7"/>
        <v>30432.000000000007</v>
      </c>
      <c r="F246" s="10" t="str">
        <f>IF(A246=$J$22,"",IF(E246&lt;$J$20,$J$19-E246,""))</f>
        <v/>
      </c>
    </row>
    <row r="247" spans="1:6" hidden="1">
      <c r="A247" s="11">
        <v>45898</v>
      </c>
      <c r="B247" s="10">
        <v>61.99</v>
      </c>
      <c r="C247" s="10">
        <f>(B246-B247)*$J$15*$J$16</f>
        <v>1060.0000000000023</v>
      </c>
      <c r="D247" s="10">
        <f t="shared" si="6"/>
        <v>2219.9999999999955</v>
      </c>
      <c r="E247" s="10">
        <f t="shared" si="7"/>
        <v>31492.000000000011</v>
      </c>
      <c r="F247" s="10" t="str">
        <f>IF(A247=$J$22,"",IF(E247&lt;$J$20,$J$19-E247,""))</f>
        <v/>
      </c>
    </row>
    <row r="248" spans="1:6" hidden="1">
      <c r="A248" s="11">
        <v>45902</v>
      </c>
      <c r="B248" s="10">
        <v>63.48</v>
      </c>
      <c r="C248" s="10">
        <f>(B247-B248)*$J$15*$J$16</f>
        <v>-2979.99999999999</v>
      </c>
      <c r="D248" s="10">
        <f t="shared" si="6"/>
        <v>-759.99999999999454</v>
      </c>
      <c r="E248" s="10">
        <f t="shared" si="7"/>
        <v>28512.000000000022</v>
      </c>
      <c r="F248" s="10" t="str">
        <f>IF(A248=$J$22,"",IF(E248&lt;$J$20,$J$19-E248,""))</f>
        <v/>
      </c>
    </row>
    <row r="249" spans="1:6" hidden="1">
      <c r="A249" s="11">
        <v>45903</v>
      </c>
      <c r="B249" s="10">
        <v>62.58</v>
      </c>
      <c r="C249" s="10">
        <f>(B248-B249)*$J$15*$J$16</f>
        <v>1799.9999999999973</v>
      </c>
      <c r="D249" s="10">
        <f t="shared" si="6"/>
        <v>1040.0000000000027</v>
      </c>
      <c r="E249" s="10">
        <f t="shared" si="7"/>
        <v>30312.000000000018</v>
      </c>
      <c r="F249" s="10" t="str">
        <f>IF(A249=$J$22,"",IF(E249&lt;$J$20,$J$19-E249,""))</f>
        <v/>
      </c>
    </row>
    <row r="250" spans="1:6" hidden="1">
      <c r="A250" s="11">
        <v>45904</v>
      </c>
      <c r="B250" s="10">
        <v>61.93</v>
      </c>
      <c r="C250" s="10">
        <f>(B249-B250)*$J$15*$J$16</f>
        <v>1299.9999999999973</v>
      </c>
      <c r="D250" s="10">
        <f t="shared" si="6"/>
        <v>2340</v>
      </c>
      <c r="E250" s="10">
        <f t="shared" si="7"/>
        <v>31612.000000000015</v>
      </c>
      <c r="F250" s="10" t="str">
        <f>IF(A250=$J$22,"",IF(E250&lt;$J$20,$J$19-E250,""))</f>
        <v/>
      </c>
    </row>
    <row r="251" spans="1:6" hidden="1">
      <c r="A251" s="11">
        <v>45905</v>
      </c>
      <c r="B251" s="10">
        <v>60.91</v>
      </c>
      <c r="C251" s="10">
        <f>(B250-B251)*$J$15*$J$16</f>
        <v>2040.0000000000064</v>
      </c>
      <c r="D251" s="10">
        <f t="shared" si="6"/>
        <v>4380.0000000000064</v>
      </c>
      <c r="E251" s="10">
        <f t="shared" si="7"/>
        <v>33652.000000000022</v>
      </c>
      <c r="F251" s="10" t="str">
        <f>IF(A251=$J$22,"",IF(E251&lt;$J$20,$J$19-E251,""))</f>
        <v/>
      </c>
    </row>
    <row r="252" spans="1:6" hidden="1">
      <c r="A252" s="11">
        <v>45908</v>
      </c>
      <c r="B252" s="10">
        <v>61.44</v>
      </c>
      <c r="C252" s="10">
        <f>(B251-B252)*$J$15*$J$16</f>
        <v>-1060.0000000000023</v>
      </c>
      <c r="D252" s="10">
        <f t="shared" si="6"/>
        <v>3320.0000000000041</v>
      </c>
      <c r="E252" s="10">
        <f t="shared" si="7"/>
        <v>32592.000000000018</v>
      </c>
      <c r="F252" s="10" t="str">
        <f>IF(A252=$J$22,"",IF(E252&lt;$J$20,$J$19-E252,""))</f>
        <v/>
      </c>
    </row>
    <row r="253" spans="1:6" hidden="1">
      <c r="A253" s="11">
        <v>45909</v>
      </c>
      <c r="B253" s="10">
        <v>61.7</v>
      </c>
      <c r="C253" s="10">
        <f>(B252-B253)*$J$15*$J$16</f>
        <v>-520.00000000001023</v>
      </c>
      <c r="D253" s="10">
        <f t="shared" si="6"/>
        <v>2799.9999999999936</v>
      </c>
      <c r="E253" s="10">
        <f t="shared" si="7"/>
        <v>32072.000000000007</v>
      </c>
      <c r="F253" s="10" t="str">
        <f>IF(A253=$J$22,"",IF(E253&lt;$J$20,$J$19-E253,""))</f>
        <v/>
      </c>
    </row>
    <row r="254" spans="1:6" hidden="1">
      <c r="A254" s="11">
        <v>45910</v>
      </c>
      <c r="B254" s="10">
        <v>62.41</v>
      </c>
      <c r="C254" s="10">
        <f>(B253-B254)*$J$15*$J$16</f>
        <v>-1419.9999999999875</v>
      </c>
      <c r="D254" s="10">
        <f t="shared" si="6"/>
        <v>1380.0000000000061</v>
      </c>
      <c r="E254" s="10">
        <f t="shared" si="7"/>
        <v>30652.000000000018</v>
      </c>
      <c r="F254" s="10" t="str">
        <f>IF(A254=$J$22,"",IF(E254&lt;$J$20,$J$19-E254,""))</f>
        <v/>
      </c>
    </row>
    <row r="255" spans="1:6" hidden="1">
      <c r="A255" s="11">
        <v>45911</v>
      </c>
      <c r="B255" s="10">
        <v>61.43</v>
      </c>
      <c r="C255" s="10">
        <f>(B254-B255)*$J$15*$J$16</f>
        <v>1959.9999999999936</v>
      </c>
      <c r="D255" s="10">
        <f t="shared" si="6"/>
        <v>3340</v>
      </c>
      <c r="E255" s="10">
        <f t="shared" si="7"/>
        <v>32612.000000000011</v>
      </c>
      <c r="F255" s="10" t="str">
        <f>IF(A255=$J$22,"",IF(E255&lt;$J$20,$J$19-E255,""))</f>
        <v/>
      </c>
    </row>
    <row r="256" spans="1:6" hidden="1">
      <c r="A256" s="11">
        <v>45912</v>
      </c>
      <c r="B256" s="10">
        <v>61.77</v>
      </c>
      <c r="C256" s="10">
        <f>(B255-B256)*$J$15*$J$16</f>
        <v>-680.00000000000682</v>
      </c>
      <c r="D256" s="10">
        <f t="shared" si="6"/>
        <v>2659.9999999999932</v>
      </c>
      <c r="E256" s="10">
        <f t="shared" si="7"/>
        <v>31932.000000000004</v>
      </c>
      <c r="F256" s="10" t="str">
        <f>IF(A256=$J$22,"",IF(E256&lt;$J$20,$J$19-E256,""))</f>
        <v/>
      </c>
    </row>
    <row r="257" spans="1:6" hidden="1">
      <c r="A257" s="11">
        <v>45915</v>
      </c>
      <c r="B257" s="10">
        <v>62.12</v>
      </c>
      <c r="C257" s="10">
        <f>(B256-B257)*$J$15*$J$16</f>
        <v>-699.99999999998863</v>
      </c>
      <c r="D257" s="10">
        <f t="shared" si="6"/>
        <v>1960.0000000000045</v>
      </c>
      <c r="E257" s="10">
        <f t="shared" si="7"/>
        <v>31232.000000000015</v>
      </c>
      <c r="F257" s="10" t="str">
        <f>IF(A257=$J$22,"",IF(E257&lt;$J$20,$J$19-E257,""))</f>
        <v/>
      </c>
    </row>
    <row r="258" spans="1:6" hidden="1">
      <c r="A258" s="11">
        <v>45916</v>
      </c>
      <c r="B258" s="10">
        <v>62.85</v>
      </c>
      <c r="C258" s="10">
        <f>(B257-B258)*$J$15*$J$16</f>
        <v>-1460.000000000008</v>
      </c>
      <c r="D258" s="10">
        <f t="shared" si="6"/>
        <v>499.99999999999659</v>
      </c>
      <c r="E258" s="10">
        <f t="shared" si="7"/>
        <v>29772.000000000007</v>
      </c>
      <c r="F258" s="10" t="str">
        <f>IF(A258=$J$22,"",IF(E258&lt;$J$20,$J$19-E258,""))</f>
        <v/>
      </c>
    </row>
    <row r="259" spans="1:6" hidden="1">
      <c r="A259" s="11">
        <v>45917</v>
      </c>
      <c r="B259" s="10">
        <v>62.21</v>
      </c>
      <c r="C259" s="10">
        <f>(B258-B259)*$J$15*$J$16</f>
        <v>1280.0000000000011</v>
      </c>
      <c r="D259" s="10">
        <f t="shared" ref="D259:D322" si="8">D258+C259</f>
        <v>1779.9999999999977</v>
      </c>
      <c r="E259" s="10">
        <f t="shared" ref="E259:E322" si="9">E258+IF(F258="",0,F258)+C259</f>
        <v>31052.000000000007</v>
      </c>
      <c r="F259" s="10" t="str">
        <f>IF(A259=$J$22,"",IF(E259&lt;$J$20,$J$19-E259,""))</f>
        <v/>
      </c>
    </row>
    <row r="260" spans="1:6" hidden="1">
      <c r="A260" s="11">
        <v>45918</v>
      </c>
      <c r="B260" s="10">
        <v>61.82</v>
      </c>
      <c r="C260" s="10">
        <f>(B259-B260)*$J$15*$J$16</f>
        <v>780.00000000000114</v>
      </c>
      <c r="D260" s="10">
        <f t="shared" si="8"/>
        <v>2559.9999999999991</v>
      </c>
      <c r="E260" s="10">
        <f t="shared" si="9"/>
        <v>31832.000000000007</v>
      </c>
      <c r="F260" s="10" t="str">
        <f>IF(A260=$J$22,"",IF(E260&lt;$J$20,$J$19-E260,""))</f>
        <v/>
      </c>
    </row>
    <row r="261" spans="1:6" hidden="1">
      <c r="A261" s="11">
        <v>45919</v>
      </c>
      <c r="B261" s="10">
        <v>61.14</v>
      </c>
      <c r="C261" s="10">
        <f>(B260-B261)*$J$15*$J$16</f>
        <v>1359.9999999999995</v>
      </c>
      <c r="D261" s="10">
        <f t="shared" si="8"/>
        <v>3919.9999999999986</v>
      </c>
      <c r="E261" s="10">
        <f t="shared" si="9"/>
        <v>33192.000000000007</v>
      </c>
      <c r="F261" s="10" t="str">
        <f>IF(A261=$J$22,"",IF(E261&lt;$J$20,$J$19-E261,""))</f>
        <v/>
      </c>
    </row>
    <row r="262" spans="1:6" hidden="1">
      <c r="A262" s="11">
        <v>45922</v>
      </c>
      <c r="B262" s="10">
        <v>61.24</v>
      </c>
      <c r="C262" s="10">
        <f>(B261-B262)*$J$15*$J$16</f>
        <v>-200.00000000000284</v>
      </c>
      <c r="D262" s="10">
        <f t="shared" si="8"/>
        <v>3719.9999999999959</v>
      </c>
      <c r="E262" s="10">
        <f t="shared" si="9"/>
        <v>32992.000000000007</v>
      </c>
      <c r="F262" s="10" t="str">
        <f>IF(A262=$J$22,"",IF(E262&lt;$J$20,$J$19-E262,""))</f>
        <v/>
      </c>
    </row>
    <row r="263" spans="1:6" hidden="1">
      <c r="A263" s="11">
        <v>45923</v>
      </c>
      <c r="B263" s="10">
        <v>61.86</v>
      </c>
      <c r="C263" s="10">
        <f>(B262-B263)*$J$15*$J$16</f>
        <v>-1239.999999999995</v>
      </c>
      <c r="D263" s="10">
        <f t="shared" si="8"/>
        <v>2480.0000000000009</v>
      </c>
      <c r="E263" s="10">
        <f t="shared" si="9"/>
        <v>31752.000000000011</v>
      </c>
      <c r="F263" s="10" t="str">
        <f>IF(A263=$J$22,"",IF(E263&lt;$J$20,$J$19-E263,""))</f>
        <v/>
      </c>
    </row>
    <row r="264" spans="1:6" hidden="1">
      <c r="A264" s="11">
        <v>45924</v>
      </c>
      <c r="B264" s="10">
        <v>62.45</v>
      </c>
      <c r="C264" s="10">
        <f>(B263-B264)*$J$15*$J$16</f>
        <v>-1180.0000000000068</v>
      </c>
      <c r="D264" s="10">
        <f t="shared" si="8"/>
        <v>1299.9999999999941</v>
      </c>
      <c r="E264" s="10">
        <f t="shared" si="9"/>
        <v>30572.000000000004</v>
      </c>
      <c r="F264" s="10" t="str">
        <f>IF(A264=$J$22,"",IF(E264&lt;$J$20,$J$19-E264,""))</f>
        <v/>
      </c>
    </row>
    <row r="265" spans="1:6" hidden="1">
      <c r="A265" s="11">
        <v>45925</v>
      </c>
      <c r="B265" s="10">
        <v>62.54</v>
      </c>
      <c r="C265" s="10">
        <f>(B264-B265)*$J$15*$J$16</f>
        <v>-179.99999999999261</v>
      </c>
      <c r="D265" s="10">
        <f t="shared" si="8"/>
        <v>1120.0000000000014</v>
      </c>
      <c r="E265" s="10">
        <f t="shared" si="9"/>
        <v>30392.000000000011</v>
      </c>
      <c r="F265" s="10" t="str">
        <f>IF(A265=$J$22,"",IF(E265&lt;$J$20,$J$19-E265,""))</f>
        <v/>
      </c>
    </row>
    <row r="266" spans="1:6" hidden="1">
      <c r="A266" s="11">
        <v>45926</v>
      </c>
      <c r="B266" s="10">
        <v>63.14</v>
      </c>
      <c r="C266" s="10">
        <f>(B265-B266)*$J$15*$J$16</f>
        <v>-1200.0000000000027</v>
      </c>
      <c r="D266" s="10">
        <f t="shared" si="8"/>
        <v>-80.000000000001364</v>
      </c>
      <c r="E266" s="10">
        <f t="shared" si="9"/>
        <v>29192.000000000007</v>
      </c>
      <c r="F266" s="10" t="str">
        <f>IF(A266=$J$22,"",IF(E266&lt;$J$20,$J$19-E266,""))</f>
        <v/>
      </c>
    </row>
    <row r="267" spans="1:6" hidden="1">
      <c r="A267" s="11">
        <v>45929</v>
      </c>
      <c r="B267" s="10">
        <v>61.76</v>
      </c>
      <c r="C267" s="10">
        <f>(B266-B267)*$J$15*$J$16</f>
        <v>2760.000000000005</v>
      </c>
      <c r="D267" s="10">
        <f t="shared" si="8"/>
        <v>2680.0000000000036</v>
      </c>
      <c r="E267" s="10">
        <f t="shared" si="9"/>
        <v>31952.000000000011</v>
      </c>
      <c r="F267" s="10" t="str">
        <f>IF(A267=$J$22,"",IF(E267&lt;$J$20,$J$19-E267,""))</f>
        <v/>
      </c>
    </row>
    <row r="268" spans="1:6" hidden="1">
      <c r="A268" s="11">
        <v>45930</v>
      </c>
      <c r="B268" s="10">
        <v>61.02</v>
      </c>
      <c r="C268" s="10">
        <f>(B267-B268)*$J$15*$J$16</f>
        <v>1479.9999999999898</v>
      </c>
      <c r="D268" s="10">
        <f t="shared" si="8"/>
        <v>4159.9999999999936</v>
      </c>
      <c r="E268" s="10">
        <f t="shared" si="9"/>
        <v>33432</v>
      </c>
      <c r="F268" s="10" t="str">
        <f>IF(A268=$J$22,"",IF(E268&lt;$J$20,$J$19-E268,""))</f>
        <v/>
      </c>
    </row>
    <row r="269" spans="1:6" hidden="1">
      <c r="A269" s="11">
        <v>45931</v>
      </c>
      <c r="B269" s="10">
        <v>60.72</v>
      </c>
      <c r="C269" s="10">
        <f>(B268-B269)*$J$15*$J$16</f>
        <v>600.00000000000853</v>
      </c>
      <c r="D269" s="10">
        <f t="shared" si="8"/>
        <v>4760.0000000000018</v>
      </c>
      <c r="E269" s="10">
        <f t="shared" si="9"/>
        <v>34032.000000000007</v>
      </c>
      <c r="F269" s="10" t="str">
        <f>IF(A269=$J$22,"",IF(E269&lt;$J$20,$J$19-E269,""))</f>
        <v/>
      </c>
    </row>
    <row r="270" spans="1:6" hidden="1">
      <c r="A270" s="11">
        <v>45932</v>
      </c>
      <c r="B270" s="10">
        <v>59.99</v>
      </c>
      <c r="C270" s="10">
        <f>(B269-B270)*$J$15*$J$16</f>
        <v>1459.9999999999936</v>
      </c>
      <c r="D270" s="10">
        <f t="shared" si="8"/>
        <v>6219.9999999999955</v>
      </c>
      <c r="E270" s="10">
        <f t="shared" si="9"/>
        <v>35492</v>
      </c>
      <c r="F270" s="10" t="str">
        <f>IF(A270=$J$22,"",IF(E270&lt;$J$20,$J$19-E270,""))</f>
        <v/>
      </c>
    </row>
    <row r="271" spans="1:6" hidden="1">
      <c r="A271" s="11">
        <v>45933</v>
      </c>
      <c r="B271" s="10">
        <v>60.2</v>
      </c>
      <c r="C271" s="10">
        <f>(B270-B271)*$J$15*$J$16</f>
        <v>-420.00000000000171</v>
      </c>
      <c r="D271" s="10">
        <f t="shared" si="8"/>
        <v>5799.9999999999936</v>
      </c>
      <c r="E271" s="10">
        <f t="shared" si="9"/>
        <v>35072</v>
      </c>
      <c r="F271" s="10" t="str">
        <f>IF(A271=$J$22,"",IF(E271&lt;$J$20,$J$19-E271,""))</f>
        <v/>
      </c>
    </row>
    <row r="272" spans="1:6" hidden="1">
      <c r="A272" s="11">
        <v>45936</v>
      </c>
      <c r="B272" s="10">
        <v>60.86</v>
      </c>
      <c r="C272" s="10">
        <f>(B271-B272)*$J$15*$J$16</f>
        <v>-1319.9999999999932</v>
      </c>
      <c r="D272" s="10">
        <f t="shared" si="8"/>
        <v>4480</v>
      </c>
      <c r="E272" s="10">
        <f t="shared" si="9"/>
        <v>33752.000000000007</v>
      </c>
      <c r="F272" s="10" t="str">
        <f>IF(A272=$J$22,"",IF(E272&lt;$J$20,$J$19-E272,""))</f>
        <v/>
      </c>
    </row>
    <row r="273" spans="1:6" hidden="1">
      <c r="A273" s="11">
        <v>45937</v>
      </c>
      <c r="B273" s="10">
        <v>60.73</v>
      </c>
      <c r="C273" s="10">
        <f>(B272-B273)*$J$15*$J$16</f>
        <v>260.00000000000512</v>
      </c>
      <c r="D273" s="10">
        <f t="shared" si="8"/>
        <v>4740.0000000000055</v>
      </c>
      <c r="E273" s="10">
        <f t="shared" si="9"/>
        <v>34012.000000000015</v>
      </c>
      <c r="F273" s="10" t="str">
        <f>IF(A273=$J$22,"",IF(E273&lt;$J$20,$J$19-E273,""))</f>
        <v/>
      </c>
    </row>
    <row r="274" spans="1:6" hidden="1">
      <c r="A274" s="11">
        <v>45938</v>
      </c>
      <c r="B274" s="10">
        <v>61.12</v>
      </c>
      <c r="C274" s="10">
        <f>(B273-B274)*$J$15*$J$16</f>
        <v>-780.00000000000114</v>
      </c>
      <c r="D274" s="10">
        <f t="shared" si="8"/>
        <v>3960.0000000000045</v>
      </c>
      <c r="E274" s="10">
        <f t="shared" si="9"/>
        <v>33232.000000000015</v>
      </c>
      <c r="F274" s="10" t="str">
        <f>IF(A274=$J$22,"",IF(E274&lt;$J$20,$J$19-E274,""))</f>
        <v/>
      </c>
    </row>
    <row r="275" spans="1:6" hidden="1">
      <c r="A275" s="11">
        <v>45939</v>
      </c>
      <c r="B275" s="10">
        <v>60.56</v>
      </c>
      <c r="C275" s="10">
        <f>(B274-B275)*$J$15*$J$16</f>
        <v>1119.9999999999905</v>
      </c>
      <c r="D275" s="10">
        <f t="shared" si="8"/>
        <v>5079.9999999999945</v>
      </c>
      <c r="E275" s="10">
        <f t="shared" si="9"/>
        <v>34352.000000000007</v>
      </c>
      <c r="F275" s="10" t="str">
        <f>IF(A275=$J$22,"",IF(E275&lt;$J$20,$J$19-E275,""))</f>
        <v/>
      </c>
    </row>
    <row r="276" spans="1:6" hidden="1">
      <c r="A276" s="11">
        <v>45940</v>
      </c>
      <c r="B276" s="10">
        <v>58.75</v>
      </c>
      <c r="C276" s="10">
        <f>(B275-B276)*$J$15*$J$16</f>
        <v>3620.0000000000045</v>
      </c>
      <c r="D276" s="10">
        <f t="shared" si="8"/>
        <v>8700</v>
      </c>
      <c r="E276" s="10">
        <f t="shared" si="9"/>
        <v>37972.000000000015</v>
      </c>
      <c r="F276" s="10" t="str">
        <f>IF(A276=$J$22,"",IF(E276&lt;$J$20,$J$19-E276,""))</f>
        <v/>
      </c>
    </row>
    <row r="277" spans="1:6" hidden="1">
      <c r="A277" s="11">
        <v>45943</v>
      </c>
      <c r="B277" s="10">
        <v>59.44</v>
      </c>
      <c r="C277" s="10">
        <f>(B276-B277)*$J$15*$J$16</f>
        <v>-1379.9999999999955</v>
      </c>
      <c r="D277" s="10">
        <f t="shared" si="8"/>
        <v>7320.0000000000045</v>
      </c>
      <c r="E277" s="10">
        <f t="shared" si="9"/>
        <v>36592.000000000022</v>
      </c>
      <c r="F277" s="10" t="str">
        <f>IF(A277=$J$22,"",IF(E277&lt;$J$20,$J$19-E277,""))</f>
        <v/>
      </c>
    </row>
    <row r="278" spans="1:6" hidden="1">
      <c r="A278" s="11">
        <v>45944</v>
      </c>
      <c r="B278" s="10">
        <v>58.86</v>
      </c>
      <c r="C278" s="10">
        <f>(B277-B278)*$J$15*$J$16</f>
        <v>1159.9999999999966</v>
      </c>
      <c r="D278" s="10">
        <f t="shared" si="8"/>
        <v>8480.0000000000018</v>
      </c>
      <c r="E278" s="10">
        <f t="shared" si="9"/>
        <v>37752.000000000022</v>
      </c>
      <c r="F278" s="10" t="str">
        <f>IF(A278=$J$22,"",IF(E278&lt;$J$20,$J$19-E278,""))</f>
        <v/>
      </c>
    </row>
    <row r="279" spans="1:6" hidden="1">
      <c r="A279" s="11">
        <v>45945</v>
      </c>
      <c r="B279" s="10">
        <v>58.65</v>
      </c>
      <c r="C279" s="10">
        <f>(B278-B279)*$J$15*$J$16</f>
        <v>420.00000000000171</v>
      </c>
      <c r="D279" s="10">
        <f t="shared" si="8"/>
        <v>8900.0000000000036</v>
      </c>
      <c r="E279" s="10">
        <f t="shared" si="9"/>
        <v>38172.000000000022</v>
      </c>
      <c r="F279" s="10" t="str">
        <f>IF(A279=$J$22,"",IF(E279&lt;$J$20,$J$19-E279,""))</f>
        <v/>
      </c>
    </row>
    <row r="280" spans="1:6" hidden="1">
      <c r="A280" s="11">
        <v>45946</v>
      </c>
      <c r="B280" s="10">
        <v>57.87</v>
      </c>
      <c r="C280" s="10">
        <f>(B279-B280)*$J$15*$J$16</f>
        <v>1560.0000000000023</v>
      </c>
      <c r="D280" s="10">
        <f t="shared" si="8"/>
        <v>10460.000000000005</v>
      </c>
      <c r="E280" s="10">
        <f t="shared" si="9"/>
        <v>39732.000000000022</v>
      </c>
      <c r="F280" s="10" t="str">
        <f>IF(A280=$J$22,"",IF(E280&lt;$J$20,$J$19-E280,""))</f>
        <v/>
      </c>
    </row>
    <row r="281" spans="1:6" hidden="1">
      <c r="A281" s="11">
        <v>45947</v>
      </c>
      <c r="B281" s="10">
        <v>58.37</v>
      </c>
      <c r="C281" s="10">
        <f>(B280-B281)*$J$15*$J$16</f>
        <v>-1000</v>
      </c>
      <c r="D281" s="10">
        <f t="shared" si="8"/>
        <v>9460.0000000000055</v>
      </c>
      <c r="E281" s="10">
        <f t="shared" si="9"/>
        <v>38732.000000000022</v>
      </c>
      <c r="F281" s="10" t="str">
        <f>IF(A281=$J$22,"",IF(E281&lt;$J$20,$J$19-E281,""))</f>
        <v/>
      </c>
    </row>
    <row r="282" spans="1:6" hidden="1">
      <c r="A282" s="11">
        <v>45950</v>
      </c>
      <c r="B282" s="10">
        <v>58.33</v>
      </c>
      <c r="C282" s="10">
        <f>(B281-B282)*$J$15*$J$16</f>
        <v>79.999999999998295</v>
      </c>
      <c r="D282" s="10">
        <f t="shared" si="8"/>
        <v>9540.0000000000036</v>
      </c>
      <c r="E282" s="10">
        <f t="shared" si="9"/>
        <v>38812.000000000022</v>
      </c>
      <c r="F282" s="10" t="str">
        <f>IF(A282=$J$22,"",IF(E282&lt;$J$20,$J$19-E282,""))</f>
        <v/>
      </c>
    </row>
    <row r="283" spans="1:6" hidden="1">
      <c r="A283" s="11">
        <v>45951</v>
      </c>
      <c r="B283" s="10">
        <v>58.22</v>
      </c>
      <c r="C283" s="10">
        <f>(B282-B283)*$J$15*$J$16</f>
        <v>219.99999999999886</v>
      </c>
      <c r="D283" s="10">
        <f t="shared" si="8"/>
        <v>9760.0000000000018</v>
      </c>
      <c r="E283" s="10">
        <f t="shared" si="9"/>
        <v>39032.000000000022</v>
      </c>
      <c r="F283" s="10" t="str">
        <f>IF(A283=$J$22,"",IF(E283&lt;$J$20,$J$19-E283,""))</f>
        <v/>
      </c>
    </row>
    <row r="284" spans="1:6" hidden="1">
      <c r="A284" s="11">
        <v>45952</v>
      </c>
      <c r="B284" s="10">
        <v>59.02</v>
      </c>
      <c r="C284" s="10">
        <f>(B283-B284)*$J$15*$J$16</f>
        <v>-1600.0000000000086</v>
      </c>
      <c r="D284" s="10">
        <f t="shared" si="8"/>
        <v>8159.9999999999927</v>
      </c>
      <c r="E284" s="10">
        <f t="shared" si="9"/>
        <v>37432.000000000015</v>
      </c>
      <c r="F284" s="10" t="str">
        <f>IF(A284=$J$22,"",IF(E284&lt;$J$20,$J$19-E284,""))</f>
        <v/>
      </c>
    </row>
    <row r="285" spans="1:6" hidden="1">
      <c r="A285" s="11">
        <v>45953</v>
      </c>
      <c r="B285" s="10">
        <v>59.76</v>
      </c>
      <c r="C285" s="10">
        <f>(B284-B285)*$J$15*$J$16</f>
        <v>-1479.9999999999898</v>
      </c>
      <c r="D285" s="10">
        <f t="shared" si="8"/>
        <v>6680.0000000000027</v>
      </c>
      <c r="E285" s="10">
        <f t="shared" si="9"/>
        <v>35952.000000000022</v>
      </c>
      <c r="F285" s="10" t="str">
        <f>IF(A285=$J$22,"",IF(E285&lt;$J$20,$J$19-E285,""))</f>
        <v/>
      </c>
    </row>
    <row r="286" spans="1:6" hidden="1">
      <c r="A286" s="11">
        <v>45954</v>
      </c>
      <c r="B286" s="10">
        <v>59.85</v>
      </c>
      <c r="C286" s="10">
        <f>(B285-B286)*$J$15*$J$16</f>
        <v>-180.00000000000682</v>
      </c>
      <c r="D286" s="10">
        <f t="shared" si="8"/>
        <v>6499.9999999999964</v>
      </c>
      <c r="E286" s="10">
        <f t="shared" si="9"/>
        <v>35772.000000000015</v>
      </c>
      <c r="F286" s="10" t="str">
        <f>IF(A286=$J$22,"",IF(E286&lt;$J$20,$J$19-E286,""))</f>
        <v/>
      </c>
    </row>
    <row r="287" spans="1:6" hidden="1">
      <c r="A287" s="11">
        <v>45957</v>
      </c>
      <c r="B287" s="10">
        <v>59.91</v>
      </c>
      <c r="C287" s="10">
        <f>(B286-B287)*$J$15*$J$16</f>
        <v>-119.99999999999034</v>
      </c>
      <c r="D287" s="10">
        <f t="shared" si="8"/>
        <v>6380.0000000000064</v>
      </c>
      <c r="E287" s="10">
        <f t="shared" si="9"/>
        <v>35652.000000000022</v>
      </c>
      <c r="F287" s="10" t="str">
        <f>IF(A287=$J$22,"",IF(E287&lt;$J$20,$J$19-E287,""))</f>
        <v/>
      </c>
    </row>
    <row r="288" spans="1:6" hidden="1">
      <c r="A288" s="11">
        <v>45958</v>
      </c>
      <c r="B288" s="10">
        <v>59.69</v>
      </c>
      <c r="C288" s="10">
        <f>(B287-B288)*$J$15*$J$16</f>
        <v>439.99999999999773</v>
      </c>
      <c r="D288" s="10">
        <f t="shared" si="8"/>
        <v>6820.0000000000036</v>
      </c>
      <c r="E288" s="10">
        <f t="shared" si="9"/>
        <v>36092.000000000022</v>
      </c>
      <c r="F288" s="10" t="str">
        <f>IF(A288=$J$22,"",IF(E288&lt;$J$20,$J$19-E288,""))</f>
        <v/>
      </c>
    </row>
    <row r="289" spans="1:6" hidden="1">
      <c r="A289" s="11">
        <v>45959</v>
      </c>
      <c r="B289" s="10">
        <v>60.01</v>
      </c>
      <c r="C289" s="10">
        <f>(B288-B289)*$J$15*$J$16</f>
        <v>-640.00000000000057</v>
      </c>
      <c r="D289" s="10">
        <f t="shared" si="8"/>
        <v>6180.0000000000027</v>
      </c>
      <c r="E289" s="10">
        <f t="shared" si="9"/>
        <v>35452.000000000022</v>
      </c>
      <c r="F289" s="10" t="str">
        <f>IF(A289=$J$22,"",IF(E289&lt;$J$20,$J$19-E289,""))</f>
        <v/>
      </c>
    </row>
    <row r="290" spans="1:6" hidden="1">
      <c r="A290" s="11">
        <v>45960</v>
      </c>
      <c r="B290" s="10">
        <v>60.03</v>
      </c>
      <c r="C290" s="10">
        <f>(B289-B290)*$J$15*$J$16</f>
        <v>-40.000000000006253</v>
      </c>
      <c r="D290" s="10">
        <f t="shared" si="8"/>
        <v>6139.9999999999964</v>
      </c>
      <c r="E290" s="10">
        <f t="shared" si="9"/>
        <v>35412.000000000015</v>
      </c>
      <c r="F290" s="10" t="str">
        <f>IF(A290=$J$22,"",IF(E290&lt;$J$20,$J$19-E290,""))</f>
        <v/>
      </c>
    </row>
    <row r="291" spans="1:6" hidden="1">
      <c r="A291" s="11">
        <v>45961</v>
      </c>
      <c r="B291" s="10">
        <v>60.05</v>
      </c>
      <c r="C291" s="10">
        <f>(B290-B291)*$J$15*$J$16</f>
        <v>-39.999999999992042</v>
      </c>
      <c r="D291" s="10">
        <f t="shared" si="8"/>
        <v>6100.0000000000045</v>
      </c>
      <c r="E291" s="10">
        <f t="shared" si="9"/>
        <v>35372.000000000022</v>
      </c>
      <c r="F291" s="10" t="str">
        <f>IF(A291=$J$22,"",IF(E291&lt;$J$20,$J$19-E291,""))</f>
        <v/>
      </c>
    </row>
    <row r="292" spans="1:6" hidden="1">
      <c r="A292" s="11">
        <v>45964</v>
      </c>
      <c r="B292" s="10">
        <v>60.32</v>
      </c>
      <c r="C292" s="10">
        <f>(B291-B292)*$J$15*$J$16</f>
        <v>-540.00000000000625</v>
      </c>
      <c r="D292" s="10">
        <f t="shared" si="8"/>
        <v>5559.9999999999982</v>
      </c>
      <c r="E292" s="10">
        <f t="shared" si="9"/>
        <v>34832.000000000015</v>
      </c>
      <c r="F292" s="10" t="str">
        <f>IF(A292=$J$22,"",IF(E292&lt;$J$20,$J$19-E292,""))</f>
        <v/>
      </c>
    </row>
    <row r="293" spans="1:6" hidden="1">
      <c r="A293" s="11">
        <v>45965</v>
      </c>
      <c r="B293" s="10">
        <v>60.15</v>
      </c>
      <c r="C293" s="10">
        <f>(B292-B293)*$J$15*$J$16</f>
        <v>340.00000000000341</v>
      </c>
      <c r="D293" s="10">
        <f t="shared" si="8"/>
        <v>5900.0000000000018</v>
      </c>
      <c r="E293" s="10">
        <f t="shared" si="9"/>
        <v>35172.000000000015</v>
      </c>
      <c r="F293" s="10" t="str">
        <f>IF(A293=$J$22,"",IF(E293&lt;$J$20,$J$19-E293,""))</f>
        <v/>
      </c>
    </row>
    <row r="294" spans="1:6" hidden="1">
      <c r="A294" s="11">
        <v>45966</v>
      </c>
      <c r="B294" s="10">
        <v>59.57</v>
      </c>
      <c r="C294" s="10">
        <f>(B293-B294)*$J$15*$J$16</f>
        <v>1159.9999999999966</v>
      </c>
      <c r="D294" s="10">
        <f t="shared" si="8"/>
        <v>7059.9999999999982</v>
      </c>
      <c r="E294" s="10">
        <f t="shared" si="9"/>
        <v>36332.000000000015</v>
      </c>
      <c r="F294" s="10" t="str">
        <f>IF(A294=$J$22,"",IF(E294&lt;$J$20,$J$19-E294,""))</f>
        <v/>
      </c>
    </row>
    <row r="295" spans="1:6" hidden="1">
      <c r="A295" s="11">
        <v>45967</v>
      </c>
      <c r="B295" s="10">
        <v>59.49</v>
      </c>
      <c r="C295" s="10">
        <f>(B294-B295)*$J$15*$J$16</f>
        <v>159.99999999999659</v>
      </c>
      <c r="D295" s="10">
        <f t="shared" si="8"/>
        <v>7219.9999999999945</v>
      </c>
      <c r="E295" s="10">
        <f t="shared" si="9"/>
        <v>36492.000000000015</v>
      </c>
      <c r="F295" s="10" t="str">
        <f>IF(A295=$J$22,"",IF(E295&lt;$J$20,$J$19-E295,""))</f>
        <v/>
      </c>
    </row>
    <row r="296" spans="1:6" hidden="1">
      <c r="A296" s="11">
        <v>45968</v>
      </c>
      <c r="B296" s="10">
        <v>59.77</v>
      </c>
      <c r="C296" s="10">
        <f>(B295-B296)*$J$15*$J$16</f>
        <v>-560.00000000000227</v>
      </c>
      <c r="D296" s="10">
        <f t="shared" si="8"/>
        <v>6659.9999999999927</v>
      </c>
      <c r="E296" s="10">
        <f t="shared" si="9"/>
        <v>35932.000000000015</v>
      </c>
      <c r="F296" s="10" t="str">
        <f>IF(A296=$J$22,"",IF(E296&lt;$J$20,$J$19-E296,""))</f>
        <v/>
      </c>
    </row>
    <row r="297" spans="1:6" hidden="1">
      <c r="A297" s="11">
        <v>45971</v>
      </c>
      <c r="B297" s="10">
        <v>59.99</v>
      </c>
      <c r="C297" s="10">
        <f>(B296-B297)*$J$15*$J$16</f>
        <v>-439.99999999999773</v>
      </c>
      <c r="D297" s="10">
        <f t="shared" si="8"/>
        <v>6219.9999999999945</v>
      </c>
      <c r="E297" s="10">
        <f t="shared" si="9"/>
        <v>35492.000000000015</v>
      </c>
      <c r="F297" s="10" t="str">
        <f>IF(A297=$J$22,"",IF(E297&lt;$J$20,$J$19-E297,""))</f>
        <v/>
      </c>
    </row>
    <row r="298" spans="1:6" hidden="1">
      <c r="A298" s="11">
        <v>45972</v>
      </c>
      <c r="B298" s="10">
        <v>60.69</v>
      </c>
      <c r="C298" s="10">
        <f>(B297-B298)*$J$15*$J$16</f>
        <v>-1399.9999999999914</v>
      </c>
      <c r="D298" s="10">
        <f t="shared" si="8"/>
        <v>4820.0000000000036</v>
      </c>
      <c r="E298" s="10">
        <f t="shared" si="9"/>
        <v>34092.000000000022</v>
      </c>
      <c r="F298" s="10" t="str">
        <f>IF(A298=$J$22,"",IF(E298&lt;$J$20,$J$19-E298,""))</f>
        <v/>
      </c>
    </row>
    <row r="299" spans="1:6" hidden="1">
      <c r="A299" s="11">
        <v>45973</v>
      </c>
      <c r="B299" s="10">
        <v>58.71</v>
      </c>
      <c r="C299" s="10">
        <f>(B298-B299)*$J$15*$J$16</f>
        <v>3959.9999999999936</v>
      </c>
      <c r="D299" s="10">
        <f t="shared" si="8"/>
        <v>8779.9999999999964</v>
      </c>
      <c r="E299" s="10">
        <f t="shared" si="9"/>
        <v>38052.000000000015</v>
      </c>
      <c r="F299" s="10" t="str">
        <f>IF(A299=$J$22,"",IF(E299&lt;$J$20,$J$19-E299,""))</f>
        <v/>
      </c>
    </row>
    <row r="300" spans="1:6" hidden="1">
      <c r="A300" s="11">
        <v>45974</v>
      </c>
      <c r="B300" s="10">
        <v>58.68</v>
      </c>
      <c r="C300" s="10">
        <f>(B299-B300)*$J$15*$J$16</f>
        <v>60.000000000002274</v>
      </c>
      <c r="D300" s="10">
        <f t="shared" si="8"/>
        <v>8839.9999999999982</v>
      </c>
      <c r="E300" s="10">
        <f t="shared" si="9"/>
        <v>38112.000000000015</v>
      </c>
      <c r="F300" s="10" t="str">
        <f>IF(A300=$J$22,"",IF(E300&lt;$J$20,$J$19-E300,""))</f>
        <v/>
      </c>
    </row>
    <row r="301" spans="1:6" hidden="1">
      <c r="A301" s="11">
        <v>45975</v>
      </c>
      <c r="B301" s="10">
        <v>59.45</v>
      </c>
      <c r="C301" s="10">
        <f>(B300-B301)*$J$15*$J$16</f>
        <v>-1540.0000000000064</v>
      </c>
      <c r="D301" s="10">
        <f t="shared" si="8"/>
        <v>7299.9999999999918</v>
      </c>
      <c r="E301" s="10">
        <f t="shared" si="9"/>
        <v>36572.000000000007</v>
      </c>
      <c r="F301" s="10" t="str">
        <f>IF(A301=$J$22,"",IF(E301&lt;$J$20,$J$19-E301,""))</f>
        <v/>
      </c>
    </row>
    <row r="302" spans="1:6" hidden="1">
      <c r="A302" s="11">
        <v>45978</v>
      </c>
      <c r="B302" s="10">
        <v>59.39</v>
      </c>
      <c r="C302" s="10">
        <f>(B301-B302)*$J$15*$J$16</f>
        <v>120.00000000000455</v>
      </c>
      <c r="D302" s="10">
        <f t="shared" si="8"/>
        <v>7419.9999999999964</v>
      </c>
      <c r="E302" s="10">
        <f t="shared" si="9"/>
        <v>36692.000000000015</v>
      </c>
      <c r="F302" s="10" t="str">
        <f>IF(A302=$J$22,"",IF(E302&lt;$J$20,$J$19-E302,""))</f>
        <v/>
      </c>
    </row>
    <row r="303" spans="1:6" hidden="1">
      <c r="A303" s="11">
        <v>45979</v>
      </c>
      <c r="B303" s="10">
        <v>59.74</v>
      </c>
      <c r="C303" s="10">
        <f>(B302-B303)*$J$15*$J$16</f>
        <v>-700.00000000000284</v>
      </c>
      <c r="D303" s="10">
        <f t="shared" si="8"/>
        <v>6719.9999999999936</v>
      </c>
      <c r="E303" s="10">
        <f t="shared" si="9"/>
        <v>35992.000000000015</v>
      </c>
      <c r="F303" s="10" t="str">
        <f>IF(A303=$J$22,"",IF(E303&lt;$J$20,$J$19-E303,""))</f>
        <v/>
      </c>
    </row>
    <row r="304" spans="1:6" hidden="1">
      <c r="A304" s="11">
        <v>45980</v>
      </c>
      <c r="B304" s="10">
        <v>58.44</v>
      </c>
      <c r="C304" s="10">
        <f>(B303-B304)*$J$15*$J$16</f>
        <v>2600.0000000000086</v>
      </c>
      <c r="D304" s="10">
        <f t="shared" si="8"/>
        <v>9320.0000000000018</v>
      </c>
      <c r="E304" s="10">
        <f t="shared" si="9"/>
        <v>38592.000000000022</v>
      </c>
      <c r="F304" s="10" t="str">
        <f>IF(A304=$J$22,"",IF(E304&lt;$J$20,$J$19-E304,""))</f>
        <v/>
      </c>
    </row>
    <row r="305" spans="1:6" hidden="1">
      <c r="A305" s="11">
        <v>45981</v>
      </c>
      <c r="B305" s="10">
        <v>58.25</v>
      </c>
      <c r="C305" s="10">
        <f>(B304-B305)*$J$15*$J$16</f>
        <v>379.99999999999545</v>
      </c>
      <c r="D305" s="10">
        <f t="shared" si="8"/>
        <v>9699.9999999999964</v>
      </c>
      <c r="E305" s="10">
        <f t="shared" si="9"/>
        <v>38972.000000000015</v>
      </c>
      <c r="F305" s="10" t="str">
        <f>IF(A305=$J$22,"",IF(E305&lt;$J$20,$J$19-E305,""))</f>
        <v/>
      </c>
    </row>
    <row r="306" spans="1:6" hidden="1">
      <c r="A306" s="11">
        <v>45982</v>
      </c>
      <c r="B306" s="10">
        <v>57.75</v>
      </c>
      <c r="C306" s="10">
        <f>(B305-B306)*$J$15*$J$16</f>
        <v>1000</v>
      </c>
      <c r="D306" s="10">
        <f t="shared" si="8"/>
        <v>10699.999999999996</v>
      </c>
      <c r="E306" s="10">
        <f t="shared" si="9"/>
        <v>39972.000000000015</v>
      </c>
      <c r="F306" s="10" t="str">
        <f>IF(A306=$J$22,"",IF(E306&lt;$J$20,$J$19-E306,""))</f>
        <v/>
      </c>
    </row>
    <row r="307" spans="1:6" hidden="1">
      <c r="A307" s="11">
        <v>45985</v>
      </c>
      <c r="B307" s="10">
        <v>58.35</v>
      </c>
      <c r="C307" s="10">
        <f>(B306-B307)*$J$15*$J$16</f>
        <v>-1200.0000000000027</v>
      </c>
      <c r="D307" s="10">
        <f t="shared" si="8"/>
        <v>9499.9999999999927</v>
      </c>
      <c r="E307" s="10">
        <f t="shared" si="9"/>
        <v>38772.000000000015</v>
      </c>
      <c r="F307" s="10" t="str">
        <f>IF(A307=$J$22,"",IF(E307&lt;$J$20,$J$19-E307,""))</f>
        <v/>
      </c>
    </row>
    <row r="308" spans="1:6" hidden="1">
      <c r="A308" s="11">
        <v>45986</v>
      </c>
      <c r="B308" s="10">
        <v>57.86</v>
      </c>
      <c r="C308" s="10">
        <f>(B307-B308)*$J$15*$J$16</f>
        <v>980.00000000000398</v>
      </c>
      <c r="D308" s="10">
        <f t="shared" si="8"/>
        <v>10479.999999999996</v>
      </c>
      <c r="E308" s="10">
        <f t="shared" si="9"/>
        <v>39752.000000000022</v>
      </c>
      <c r="F308" s="10" t="str">
        <f>IF(A308=$J$22,"",IF(E308&lt;$J$20,$J$19-E308,""))</f>
        <v/>
      </c>
    </row>
    <row r="309" spans="1:6" hidden="1">
      <c r="A309" s="11">
        <v>45987</v>
      </c>
      <c r="B309" s="10">
        <v>58.4</v>
      </c>
      <c r="C309" s="10">
        <f>(B308-B309)*$J$15*$J$16</f>
        <v>-1079.9999999999982</v>
      </c>
      <c r="D309" s="10">
        <f t="shared" si="8"/>
        <v>9399.9999999999982</v>
      </c>
      <c r="E309" s="10">
        <f t="shared" si="9"/>
        <v>38672.000000000022</v>
      </c>
      <c r="F309" s="10" t="str">
        <f>IF(A309=$J$22,"",IF(E309&lt;$J$20,$J$19-E309,""))</f>
        <v/>
      </c>
    </row>
    <row r="310" spans="1:6" hidden="1">
      <c r="A310" s="11">
        <v>45989</v>
      </c>
      <c r="B310" s="10">
        <v>58.05</v>
      </c>
      <c r="C310" s="10">
        <f>(B309-B310)*$J$15*$J$16</f>
        <v>700.00000000000284</v>
      </c>
      <c r="D310" s="10">
        <f t="shared" si="8"/>
        <v>10100.000000000002</v>
      </c>
      <c r="E310" s="10">
        <f t="shared" si="9"/>
        <v>39372.000000000022</v>
      </c>
      <c r="F310" s="10" t="str">
        <f>IF(A310=$J$22,"",IF(E310&lt;$J$20,$J$19-E310,""))</f>
        <v/>
      </c>
    </row>
    <row r="311" spans="1:6" hidden="1">
      <c r="A311" s="11">
        <v>45992</v>
      </c>
      <c r="B311" s="10">
        <v>58.79</v>
      </c>
      <c r="C311" s="10">
        <f>(B310-B311)*$J$15*$J$16</f>
        <v>-1480.0000000000041</v>
      </c>
      <c r="D311" s="10">
        <f t="shared" si="8"/>
        <v>8619.9999999999982</v>
      </c>
      <c r="E311" s="10">
        <f t="shared" si="9"/>
        <v>37892.000000000015</v>
      </c>
      <c r="F311" s="10" t="str">
        <f>IF(A311=$J$22,"",IF(E311&lt;$J$20,$J$19-E311,""))</f>
        <v/>
      </c>
    </row>
    <row r="312" spans="1:6" hidden="1">
      <c r="A312" s="11">
        <v>45993</v>
      </c>
      <c r="B312" s="10">
        <v>58.11</v>
      </c>
      <c r="C312" s="10">
        <f>(B311-B312)*$J$15*$J$16</f>
        <v>1359.9999999999995</v>
      </c>
      <c r="D312" s="10">
        <f t="shared" si="8"/>
        <v>9979.9999999999982</v>
      </c>
      <c r="E312" s="10">
        <f t="shared" si="9"/>
        <v>39252.000000000015</v>
      </c>
      <c r="F312" s="10" t="str">
        <f>IF(A312=$J$22,"",IF(E312&lt;$J$20,$J$19-E312,""))</f>
        <v/>
      </c>
    </row>
    <row r="313" spans="1:6" hidden="1">
      <c r="A313" s="11">
        <v>45994</v>
      </c>
      <c r="B313" s="10">
        <v>58.18</v>
      </c>
      <c r="C313" s="10">
        <f>(B312-B313)*$J$15*$J$16</f>
        <v>-140.00000000000057</v>
      </c>
      <c r="D313" s="10">
        <f t="shared" si="8"/>
        <v>9839.9999999999982</v>
      </c>
      <c r="E313" s="10">
        <f t="shared" si="9"/>
        <v>39112.000000000015</v>
      </c>
      <c r="F313" s="10" t="str">
        <f>IF(A313=$J$22,"",IF(E313&lt;$J$20,$J$19-E313,""))</f>
        <v/>
      </c>
    </row>
    <row r="314" spans="1:6" hidden="1">
      <c r="A314" s="11">
        <v>45995</v>
      </c>
      <c r="B314" s="10">
        <v>58.58</v>
      </c>
      <c r="C314" s="10">
        <f>(B313-B314)*$J$15*$J$16</f>
        <v>-799.99999999999716</v>
      </c>
      <c r="D314" s="10">
        <f t="shared" si="8"/>
        <v>9040.0000000000018</v>
      </c>
      <c r="E314" s="10">
        <f t="shared" si="9"/>
        <v>38312.000000000015</v>
      </c>
      <c r="F314" s="10" t="str">
        <f>IF(A314=$J$22,"",IF(E314&lt;$J$20,$J$19-E314,""))</f>
        <v/>
      </c>
    </row>
    <row r="315" spans="1:6" hidden="1">
      <c r="A315" s="11">
        <v>45996</v>
      </c>
      <c r="B315" s="10">
        <v>58.95</v>
      </c>
      <c r="C315" s="10">
        <f>(B314-B315)*$J$15*$J$16</f>
        <v>-740.00000000000909</v>
      </c>
      <c r="D315" s="10">
        <f t="shared" si="8"/>
        <v>8299.9999999999927</v>
      </c>
      <c r="E315" s="10">
        <f t="shared" si="9"/>
        <v>37572.000000000007</v>
      </c>
      <c r="F315" s="10" t="str">
        <f>IF(A315=$J$22,"",IF(E315&lt;$J$20,$J$19-E315,""))</f>
        <v/>
      </c>
    </row>
    <row r="316" spans="1:6" hidden="1">
      <c r="A316" s="11">
        <v>45999</v>
      </c>
      <c r="B316" s="10">
        <v>58.07</v>
      </c>
      <c r="C316" s="10">
        <f>(B315-B316)*$J$15*$J$16</f>
        <v>1760.000000000005</v>
      </c>
      <c r="D316" s="10">
        <f t="shared" si="8"/>
        <v>10059.999999999998</v>
      </c>
      <c r="E316" s="10">
        <f t="shared" si="9"/>
        <v>39332.000000000015</v>
      </c>
      <c r="F316" s="10" t="str">
        <f>IF(A316=$J$22,"",IF(E316&lt;$J$20,$J$19-E316,""))</f>
        <v/>
      </c>
    </row>
    <row r="317" spans="1:6" hidden="1">
      <c r="A317" s="11">
        <v>46000</v>
      </c>
      <c r="B317" s="10">
        <v>57.85</v>
      </c>
      <c r="C317" s="10">
        <f>(B316-B317)*$J$15*$J$16</f>
        <v>439.99999999999773</v>
      </c>
      <c r="D317" s="10">
        <f t="shared" si="8"/>
        <v>10499.999999999996</v>
      </c>
      <c r="E317" s="10">
        <f t="shared" si="9"/>
        <v>39772.000000000015</v>
      </c>
      <c r="F317" s="10" t="str">
        <f>IF(A317=$J$22,"",IF(E317&lt;$J$20,$J$19-E317,""))</f>
        <v/>
      </c>
    </row>
    <row r="318" spans="1:6" hidden="1">
      <c r="A318" s="11">
        <v>46001</v>
      </c>
      <c r="B318" s="10">
        <v>58.04</v>
      </c>
      <c r="C318" s="10">
        <f>(B317-B318)*$J$15*$J$16</f>
        <v>-379.99999999999545</v>
      </c>
      <c r="D318" s="10">
        <f t="shared" si="8"/>
        <v>10120</v>
      </c>
      <c r="E318" s="10">
        <f t="shared" si="9"/>
        <v>39392.000000000022</v>
      </c>
      <c r="F318" s="10" t="str">
        <f>IF(A318=$J$22,"",IF(E318&lt;$J$20,$J$19-E318,""))</f>
        <v/>
      </c>
    </row>
    <row r="319" spans="1:6" hidden="1">
      <c r="A319" s="11">
        <v>46002</v>
      </c>
      <c r="B319" s="10">
        <v>57.43</v>
      </c>
      <c r="C319" s="10">
        <f>(B318-B319)*$J$15*$J$16</f>
        <v>1219.9999999999989</v>
      </c>
      <c r="D319" s="10">
        <f t="shared" si="8"/>
        <v>11339.999999999998</v>
      </c>
      <c r="E319" s="10">
        <f t="shared" si="9"/>
        <v>40612.000000000022</v>
      </c>
      <c r="F319" s="10" t="str">
        <f>IF(A319=$J$22,"",IF(E319&lt;$J$20,$J$19-E319,""))</f>
        <v/>
      </c>
    </row>
    <row r="320" spans="1:6" hidden="1">
      <c r="A320" s="11">
        <v>46003</v>
      </c>
      <c r="B320" s="10">
        <v>57.16</v>
      </c>
      <c r="C320" s="10">
        <f>(B319-B320)*$J$15*$J$16</f>
        <v>540.00000000000625</v>
      </c>
      <c r="D320" s="10">
        <f t="shared" si="8"/>
        <v>11880.000000000004</v>
      </c>
      <c r="E320" s="10">
        <f t="shared" si="9"/>
        <v>41152.000000000029</v>
      </c>
      <c r="F320" s="10" t="str">
        <f>IF(A320=$J$22,"",IF(E320&lt;$J$20,$J$19-E320,""))</f>
        <v/>
      </c>
    </row>
    <row r="321" spans="1:6" hidden="1">
      <c r="A321" s="11">
        <v>46006</v>
      </c>
      <c r="B321" s="10">
        <v>57.09</v>
      </c>
      <c r="C321" s="10">
        <f>(B320-B321)*$J$15*$J$16</f>
        <v>139.99999999998636</v>
      </c>
      <c r="D321" s="10">
        <f t="shared" si="8"/>
        <v>12019.999999999989</v>
      </c>
      <c r="E321" s="10">
        <f t="shared" si="9"/>
        <v>41292.000000000015</v>
      </c>
      <c r="F321" s="10" t="str">
        <f>IF(A321=$J$22,"",IF(E321&lt;$J$20,$J$19-E321,""))</f>
        <v/>
      </c>
    </row>
    <row r="322" spans="1:6" hidden="1">
      <c r="A322" s="11">
        <v>46007</v>
      </c>
      <c r="B322" s="10">
        <v>55.76</v>
      </c>
      <c r="C322" s="10">
        <f>(B321-B322)*$J$15*$J$16</f>
        <v>2660.0000000000109</v>
      </c>
      <c r="D322" s="10">
        <f t="shared" si="8"/>
        <v>14680</v>
      </c>
      <c r="E322" s="10">
        <f t="shared" si="9"/>
        <v>43952.000000000029</v>
      </c>
      <c r="F322" s="10" t="str">
        <f>IF(A322=$J$22,"",IF(E322&lt;$J$20,$J$19-E322,""))</f>
        <v/>
      </c>
    </row>
    <row r="323" spans="1:6" hidden="1">
      <c r="A323" s="11">
        <v>46008</v>
      </c>
      <c r="B323" s="10">
        <v>56.15</v>
      </c>
      <c r="C323" s="10">
        <f>(B322-B323)*$J$15*$J$16</f>
        <v>-780.00000000000114</v>
      </c>
      <c r="D323" s="10">
        <f t="shared" ref="D323:D386" si="10">D322+C323</f>
        <v>13899.999999999998</v>
      </c>
      <c r="E323" s="10">
        <f t="shared" ref="E323:E386" si="11">E322+IF(F322="",0,F322)+C323</f>
        <v>43172.000000000029</v>
      </c>
      <c r="F323" s="10" t="str">
        <f>IF(A323=$J$22,"",IF(E323&lt;$J$20,$J$19-E323,""))</f>
        <v/>
      </c>
    </row>
    <row r="324" spans="1:6" hidden="1">
      <c r="A324" s="11">
        <v>46009</v>
      </c>
      <c r="B324" s="10">
        <v>56.17</v>
      </c>
      <c r="C324" s="10">
        <f>(B323-B324)*$J$15*$J$16</f>
        <v>-40.000000000006253</v>
      </c>
      <c r="D324" s="10">
        <f t="shared" si="10"/>
        <v>13859.999999999993</v>
      </c>
      <c r="E324" s="10">
        <f t="shared" si="11"/>
        <v>43132.000000000022</v>
      </c>
      <c r="F324" s="10" t="str">
        <f>IF(A324=$J$22,"",IF(E324&lt;$J$20,$J$19-E324,""))</f>
        <v/>
      </c>
    </row>
    <row r="325" spans="1:6" hidden="1">
      <c r="A325" s="11">
        <v>46010</v>
      </c>
      <c r="B325" s="10">
        <v>56.44</v>
      </c>
      <c r="C325" s="10">
        <f>(B324-B325)*$J$15*$J$16</f>
        <v>-539.99999999999204</v>
      </c>
      <c r="D325" s="10">
        <f t="shared" si="10"/>
        <v>13320</v>
      </c>
      <c r="E325" s="10">
        <f t="shared" si="11"/>
        <v>42592.000000000029</v>
      </c>
      <c r="F325" s="10" t="str">
        <f>IF(A325=$J$22,"",IF(E325&lt;$J$20,$J$19-E325,""))</f>
        <v/>
      </c>
    </row>
    <row r="326" spans="1:6" hidden="1">
      <c r="A326" s="11">
        <v>46013</v>
      </c>
      <c r="B326" s="10">
        <v>57.5</v>
      </c>
      <c r="C326" s="10">
        <f>(B325-B326)*$J$15*$J$16</f>
        <v>-2120.0000000000045</v>
      </c>
      <c r="D326" s="10">
        <f t="shared" si="10"/>
        <v>11199.999999999996</v>
      </c>
      <c r="E326" s="10">
        <f t="shared" si="11"/>
        <v>40472.000000000022</v>
      </c>
      <c r="F326" s="10" t="str">
        <f>IF(A326=$J$22,"",IF(E326&lt;$J$20,$J$19-E326,""))</f>
        <v/>
      </c>
    </row>
    <row r="327" spans="1:6" hidden="1">
      <c r="A327" s="11">
        <v>46014</v>
      </c>
      <c r="B327" s="10">
        <v>57.7</v>
      </c>
      <c r="C327" s="10">
        <f>(B326-B327)*$J$15*$J$16</f>
        <v>-400.00000000000568</v>
      </c>
      <c r="D327" s="10">
        <f t="shared" si="10"/>
        <v>10799.999999999991</v>
      </c>
      <c r="E327" s="10">
        <f t="shared" si="11"/>
        <v>40072.000000000015</v>
      </c>
      <c r="F327" s="10" t="str">
        <f>IF(A327=$J$22,"",IF(E327&lt;$J$20,$J$19-E327,""))</f>
        <v/>
      </c>
    </row>
    <row r="328" spans="1:6" hidden="1">
      <c r="A328" s="11">
        <v>46015</v>
      </c>
      <c r="B328" s="10">
        <v>57.8</v>
      </c>
      <c r="C328" s="10">
        <f>(B327-B328)*$J$15*$J$16</f>
        <v>-199.99999999998863</v>
      </c>
      <c r="D328" s="10">
        <f t="shared" si="10"/>
        <v>10600.000000000002</v>
      </c>
      <c r="E328" s="10">
        <f t="shared" si="11"/>
        <v>39872.000000000029</v>
      </c>
      <c r="F328" s="10" t="str">
        <f>IF(A328=$J$22,"",IF(E328&lt;$J$20,$J$19-E328,""))</f>
        <v/>
      </c>
    </row>
    <row r="329" spans="1:6" hidden="1">
      <c r="A329" s="11">
        <v>46017</v>
      </c>
      <c r="B329" s="10">
        <v>56.58</v>
      </c>
      <c r="C329" s="10">
        <f>(B328-B329)*$J$15*$J$16</f>
        <v>2439.9999999999977</v>
      </c>
      <c r="D329" s="10">
        <f t="shared" si="10"/>
        <v>13040</v>
      </c>
      <c r="E329" s="10">
        <f t="shared" si="11"/>
        <v>42312.000000000029</v>
      </c>
      <c r="F329" s="10" t="str">
        <f>IF(A329=$J$22,"",IF(E329&lt;$J$20,$J$19-E329,""))</f>
        <v/>
      </c>
    </row>
    <row r="330" spans="1:6" hidden="1">
      <c r="A330" s="11">
        <v>46020</v>
      </c>
      <c r="B330" s="10">
        <v>57.49</v>
      </c>
      <c r="C330" s="10">
        <f>(B329-B330)*$J$15*$J$16</f>
        <v>-1820.0000000000073</v>
      </c>
      <c r="D330" s="10">
        <f t="shared" si="10"/>
        <v>11219.999999999993</v>
      </c>
      <c r="E330" s="10">
        <f t="shared" si="11"/>
        <v>40492.000000000022</v>
      </c>
      <c r="F330" s="10" t="str">
        <f>IF(A330=$J$22,"",IF(E330&lt;$J$20,$J$19-E330,""))</f>
        <v/>
      </c>
    </row>
    <row r="331" spans="1:6" hidden="1">
      <c r="A331" s="11">
        <v>46021</v>
      </c>
      <c r="B331" s="10">
        <v>57.42</v>
      </c>
      <c r="C331" s="10">
        <f>(B330-B331)*$J$15*$J$16</f>
        <v>140.00000000000057</v>
      </c>
      <c r="D331" s="10">
        <f t="shared" si="10"/>
        <v>11359.999999999993</v>
      </c>
      <c r="E331" s="10">
        <f t="shared" si="11"/>
        <v>40632.000000000022</v>
      </c>
      <c r="F331" s="10" t="str">
        <f>IF(A331=$J$22,"",IF(E331&lt;$J$20,$J$19-E331,""))</f>
        <v/>
      </c>
    </row>
    <row r="332" spans="1:6" hidden="1">
      <c r="A332" s="11">
        <v>46022</v>
      </c>
      <c r="B332" s="10">
        <v>56.92</v>
      </c>
      <c r="C332" s="10">
        <f>(B331-B332)*$J$15*$J$16</f>
        <v>1000</v>
      </c>
      <c r="D332" s="10">
        <f t="shared" si="10"/>
        <v>12359.999999999993</v>
      </c>
      <c r="E332" s="10">
        <f t="shared" si="11"/>
        <v>41632.000000000022</v>
      </c>
      <c r="F332" s="10" t="str">
        <f>IF(A332=$J$22,"",IF(E332&lt;$J$20,$J$19-E332,""))</f>
        <v/>
      </c>
    </row>
    <row r="333" spans="1:6" hidden="1">
      <c r="A333" s="11">
        <v>46024</v>
      </c>
      <c r="B333" s="10">
        <v>57.01</v>
      </c>
      <c r="C333" s="10">
        <f>(B332-B333)*$J$15*$J$16</f>
        <v>-179.99999999999261</v>
      </c>
      <c r="D333" s="10">
        <f t="shared" si="10"/>
        <v>12180</v>
      </c>
      <c r="E333" s="10">
        <f t="shared" si="11"/>
        <v>41452.000000000029</v>
      </c>
      <c r="F333" s="10" t="str">
        <f>IF(A333=$J$22,"",IF(E333&lt;$J$20,$J$19-E333,""))</f>
        <v/>
      </c>
    </row>
    <row r="334" spans="1:6" hidden="1">
      <c r="A334" s="11">
        <v>46027</v>
      </c>
      <c r="B334" s="10">
        <v>57.51</v>
      </c>
      <c r="C334" s="10">
        <f>(B333-B334)*$J$15*$J$16</f>
        <v>-1000</v>
      </c>
      <c r="D334" s="10">
        <f t="shared" si="10"/>
        <v>11180</v>
      </c>
      <c r="E334" s="10">
        <f t="shared" si="11"/>
        <v>40452.000000000029</v>
      </c>
      <c r="F334" s="10" t="str">
        <f>IF(A334=$J$22,"",IF(E334&lt;$J$20,$J$19-E334,""))</f>
        <v/>
      </c>
    </row>
    <row r="335" spans="1:6" hidden="1">
      <c r="A335" s="11">
        <v>46028</v>
      </c>
      <c r="B335" s="10">
        <v>56.56</v>
      </c>
      <c r="C335" s="10">
        <f>(B334-B335)*$J$15*$J$16</f>
        <v>1899.9999999999914</v>
      </c>
      <c r="D335" s="10">
        <f t="shared" si="10"/>
        <v>13079.999999999991</v>
      </c>
      <c r="E335" s="10">
        <f t="shared" si="11"/>
        <v>42352.000000000022</v>
      </c>
      <c r="F335" s="10" t="str">
        <f>IF(A335=$J$22,"",IF(E335&lt;$J$20,$J$19-E335,""))</f>
        <v/>
      </c>
    </row>
    <row r="336" spans="1:6" hidden="1">
      <c r="A336" s="11">
        <v>46029</v>
      </c>
      <c r="B336" s="10">
        <v>55.85</v>
      </c>
      <c r="C336" s="10">
        <f>(B335-B336)*$J$15*$J$16</f>
        <v>1420.0000000000018</v>
      </c>
      <c r="D336" s="10">
        <f t="shared" si="10"/>
        <v>14499.999999999993</v>
      </c>
      <c r="E336" s="10">
        <f t="shared" si="11"/>
        <v>43772.000000000022</v>
      </c>
      <c r="F336" s="10" t="str">
        <f>IF(A336=$J$22,"",IF(E336&lt;$J$20,$J$19-E336,""))</f>
        <v/>
      </c>
    </row>
    <row r="337" spans="1:6" hidden="1">
      <c r="A337" s="11">
        <v>46030</v>
      </c>
      <c r="B337" s="10">
        <v>57.27</v>
      </c>
      <c r="C337" s="10">
        <f>(B336-B337)*$J$15*$J$16</f>
        <v>-2840.0000000000036</v>
      </c>
      <c r="D337" s="10">
        <f t="shared" si="10"/>
        <v>11659.999999999989</v>
      </c>
      <c r="E337" s="10">
        <f t="shared" si="11"/>
        <v>40932.000000000015</v>
      </c>
      <c r="F337" s="10" t="str">
        <f>IF(A337=$J$22,"",IF(E337&lt;$J$20,$J$19-E337,""))</f>
        <v/>
      </c>
    </row>
    <row r="338" spans="1:6" hidden="1">
      <c r="A338" s="11">
        <v>46031</v>
      </c>
      <c r="B338" s="10">
        <v>58.09</v>
      </c>
      <c r="C338" s="10">
        <f>(B337-B338)*$J$15*$J$16</f>
        <v>-1640.0000000000005</v>
      </c>
      <c r="D338" s="10">
        <f t="shared" si="10"/>
        <v>10019.999999999989</v>
      </c>
      <c r="E338" s="10">
        <f t="shared" si="11"/>
        <v>39292.000000000015</v>
      </c>
      <c r="F338" s="10" t="str">
        <f>IF(A338=$J$22,"",IF(E338&lt;$J$20,$J$19-E338,""))</f>
        <v/>
      </c>
    </row>
    <row r="339" spans="1:6" hidden="1">
      <c r="A339" s="11">
        <v>46034</v>
      </c>
      <c r="B339" s="10">
        <v>58.4</v>
      </c>
      <c r="C339" s="10">
        <f>(B338-B339)*$J$15*$J$16</f>
        <v>-619.99999999999034</v>
      </c>
      <c r="D339" s="10">
        <f t="shared" si="10"/>
        <v>9399.9999999999982</v>
      </c>
      <c r="E339" s="10">
        <f t="shared" si="11"/>
        <v>38672.000000000022</v>
      </c>
      <c r="F339" s="10" t="str">
        <f>IF(A339=$J$22,"",IF(E339&lt;$J$20,$J$19-E339,""))</f>
        <v/>
      </c>
    </row>
    <row r="340" spans="1:6" hidden="1">
      <c r="A340" s="11">
        <v>46035</v>
      </c>
      <c r="B340" s="10">
        <v>59.4</v>
      </c>
      <c r="C340" s="10">
        <f>(B339-B340)*$J$15*$J$16</f>
        <v>-2000</v>
      </c>
      <c r="D340" s="10">
        <f t="shared" si="10"/>
        <v>7399.9999999999982</v>
      </c>
      <c r="E340" s="10">
        <f t="shared" si="11"/>
        <v>36672.000000000022</v>
      </c>
      <c r="F340" s="10" t="str">
        <f>IF(A340=$J$22,"",IF(E340&lt;$J$20,$J$19-E340,""))</f>
        <v/>
      </c>
    </row>
    <row r="341" spans="1:6" hidden="1">
      <c r="A341" s="11">
        <v>46036</v>
      </c>
      <c r="B341" s="10">
        <v>60.14</v>
      </c>
      <c r="C341" s="10">
        <f>(B340-B341)*$J$15*$J$16</f>
        <v>-1480.0000000000041</v>
      </c>
      <c r="D341" s="10">
        <f t="shared" si="10"/>
        <v>5919.9999999999945</v>
      </c>
      <c r="E341" s="10">
        <f t="shared" si="11"/>
        <v>35192.000000000015</v>
      </c>
      <c r="F341" s="10" t="str">
        <f>IF(A341=$J$22,"",IF(E341&lt;$J$20,$J$19-E341,""))</f>
        <v/>
      </c>
    </row>
    <row r="342" spans="1:6" hidden="1">
      <c r="A342" s="11">
        <v>46037</v>
      </c>
      <c r="B342" s="10">
        <v>58.16</v>
      </c>
      <c r="C342" s="10">
        <f>(B341-B342)*$J$15*$J$16</f>
        <v>3960.0000000000082</v>
      </c>
      <c r="D342" s="10">
        <f t="shared" si="10"/>
        <v>9880.0000000000036</v>
      </c>
      <c r="E342" s="10">
        <f t="shared" si="11"/>
        <v>39152.000000000022</v>
      </c>
      <c r="F342" s="10" t="str">
        <f>IF(A342=$J$22,"",IF(E342&lt;$J$20,$J$19-E342,""))</f>
        <v/>
      </c>
    </row>
    <row r="343" spans="1:6" hidden="1">
      <c r="A343" s="11">
        <v>46038</v>
      </c>
      <c r="B343" s="10">
        <v>58.37</v>
      </c>
      <c r="C343" s="10">
        <f>(B342-B343)*$J$15*$J$16</f>
        <v>-420.00000000000171</v>
      </c>
      <c r="D343" s="10">
        <f t="shared" si="10"/>
        <v>9460.0000000000018</v>
      </c>
      <c r="E343" s="10">
        <f t="shared" si="11"/>
        <v>38732.000000000022</v>
      </c>
      <c r="F343" s="10" t="str">
        <f>IF(A343=$J$22,"",IF(E343&lt;$J$20,$J$19-E343,""))</f>
        <v/>
      </c>
    </row>
    <row r="344" spans="1:6" hidden="1">
      <c r="A344" s="11">
        <v>46042</v>
      </c>
      <c r="B344" s="10">
        <v>59.03</v>
      </c>
      <c r="C344" s="10">
        <f>(B343-B344)*$J$15*$J$16</f>
        <v>-1320.0000000000073</v>
      </c>
      <c r="D344" s="10">
        <f t="shared" si="10"/>
        <v>8139.9999999999945</v>
      </c>
      <c r="E344" s="10">
        <f t="shared" si="11"/>
        <v>37412.000000000015</v>
      </c>
      <c r="F344" s="10" t="str">
        <f>IF(A344=$J$22,"",IF(E344&lt;$J$20,$J$19-E344,""))</f>
        <v/>
      </c>
    </row>
    <row r="345" spans="1:6" hidden="1">
      <c r="A345" s="11">
        <v>46043</v>
      </c>
      <c r="B345" s="10">
        <v>59.43</v>
      </c>
      <c r="C345" s="10">
        <f>(B344-B345)*$J$15*$J$16</f>
        <v>-799.99999999999716</v>
      </c>
      <c r="D345" s="10">
        <f t="shared" si="10"/>
        <v>7339.9999999999973</v>
      </c>
      <c r="E345" s="10">
        <f t="shared" si="11"/>
        <v>36612.000000000015</v>
      </c>
      <c r="F345" s="10" t="str">
        <f>IF(A345=$J$22,"",IF(E345&lt;$J$20,$J$19-E345,""))</f>
        <v/>
      </c>
    </row>
    <row r="346" spans="1:6" hidden="1">
      <c r="A346" s="11">
        <v>46044</v>
      </c>
      <c r="B346" s="10">
        <v>58.57</v>
      </c>
      <c r="C346" s="10">
        <f>(B345-B346)*$J$15*$J$16</f>
        <v>1719.9999999999989</v>
      </c>
      <c r="D346" s="10">
        <f t="shared" si="10"/>
        <v>9059.9999999999964</v>
      </c>
      <c r="E346" s="10">
        <f t="shared" si="11"/>
        <v>38332.000000000015</v>
      </c>
      <c r="F346" s="10" t="str">
        <f>IF(A346=$J$22,"",IF(E346&lt;$J$20,$J$19-E346,""))</f>
        <v/>
      </c>
    </row>
    <row r="347" spans="1:6" hidden="1">
      <c r="A347" s="11">
        <v>46045</v>
      </c>
      <c r="B347" s="10">
        <v>59.62</v>
      </c>
      <c r="C347" s="10">
        <f>(B346-B347)*$J$15*$J$16</f>
        <v>-2099.9999999999945</v>
      </c>
      <c r="D347" s="10">
        <f t="shared" si="10"/>
        <v>6960.0000000000018</v>
      </c>
      <c r="E347" s="10">
        <f t="shared" si="11"/>
        <v>36232.000000000022</v>
      </c>
      <c r="F347" s="10" t="str">
        <f>IF(A347=$J$22,"",IF(E347&lt;$J$20,$J$19-E347,""))</f>
        <v/>
      </c>
    </row>
    <row r="348" spans="1:6" hidden="1">
      <c r="A348" s="11">
        <v>46048</v>
      </c>
      <c r="B348" s="10">
        <v>59.58</v>
      </c>
      <c r="C348" s="10">
        <f>(B347-B348)*$J$15*$J$16</f>
        <v>79.999999999998295</v>
      </c>
      <c r="D348" s="10">
        <f t="shared" si="10"/>
        <v>7040</v>
      </c>
      <c r="E348" s="10">
        <f t="shared" si="11"/>
        <v>36312.000000000022</v>
      </c>
      <c r="F348" s="10" t="str">
        <f>IF(A348=$J$22,"",IF(E348&lt;$J$20,$J$19-E348,""))</f>
        <v/>
      </c>
    </row>
    <row r="349" spans="1:6" hidden="1">
      <c r="A349" s="11">
        <v>46049</v>
      </c>
      <c r="B349" s="10">
        <v>60.5</v>
      </c>
      <c r="C349" s="10">
        <f>(B348-B349)*$J$15*$J$16</f>
        <v>-1840.0000000000034</v>
      </c>
      <c r="D349" s="10">
        <f t="shared" si="10"/>
        <v>5199.9999999999964</v>
      </c>
      <c r="E349" s="10">
        <f t="shared" si="11"/>
        <v>34472.000000000022</v>
      </c>
      <c r="F349" s="10" t="str">
        <f>IF(A349=$J$22,"",IF(E349&lt;$J$20,$J$19-E349,""))</f>
        <v/>
      </c>
    </row>
    <row r="350" spans="1:6" hidden="1">
      <c r="A350" s="11">
        <v>46050</v>
      </c>
      <c r="B350" s="10">
        <v>60.85</v>
      </c>
      <c r="C350" s="10">
        <f>(B349-B350)*$J$15*$J$16</f>
        <v>-700.00000000000284</v>
      </c>
      <c r="D350" s="10">
        <f t="shared" si="10"/>
        <v>4499.9999999999936</v>
      </c>
      <c r="E350" s="10">
        <f t="shared" si="11"/>
        <v>33772.000000000022</v>
      </c>
      <c r="F350" s="10" t="str">
        <f>IF(A350=$J$22,"",IF(E350&lt;$J$20,$J$19-E350,""))</f>
        <v/>
      </c>
    </row>
    <row r="351" spans="1:6" hidden="1">
      <c r="A351" s="11">
        <v>46051</v>
      </c>
      <c r="B351" s="10">
        <v>62.1</v>
      </c>
      <c r="C351" s="10">
        <f>(B350-B351)*$J$15*$J$16</f>
        <v>-2500</v>
      </c>
      <c r="D351" s="10">
        <f t="shared" si="10"/>
        <v>1999.9999999999936</v>
      </c>
      <c r="E351" s="10">
        <f t="shared" si="11"/>
        <v>31272.000000000022</v>
      </c>
      <c r="F351" s="10" t="str">
        <f>IF(A351=$J$22,"",IF(E351&lt;$J$20,$J$19-E351,""))</f>
        <v/>
      </c>
    </row>
    <row r="352" spans="1:6" hidden="1">
      <c r="A352" s="11">
        <v>46052</v>
      </c>
      <c r="B352" s="10">
        <v>62.01</v>
      </c>
      <c r="C352" s="10">
        <f>(B351-B352)*$J$15*$J$16</f>
        <v>180.00000000000682</v>
      </c>
      <c r="D352" s="10">
        <f t="shared" si="10"/>
        <v>2180.0000000000005</v>
      </c>
      <c r="E352" s="10">
        <f t="shared" si="11"/>
        <v>31452.000000000029</v>
      </c>
      <c r="F352" s="10" t="str">
        <f>IF(A352=$J$22,"",IF(E352&lt;$J$20,$J$19-E352,""))</f>
        <v/>
      </c>
    </row>
    <row r="353" spans="1:6" hidden="1">
      <c r="A353" s="11">
        <v>46055</v>
      </c>
      <c r="B353" s="10">
        <v>59.41</v>
      </c>
      <c r="C353" s="10">
        <f>(B352-B353)*$J$15*$J$16</f>
        <v>5200.0000000000027</v>
      </c>
      <c r="D353" s="10">
        <f t="shared" si="10"/>
        <v>7380.0000000000036</v>
      </c>
      <c r="E353" s="10">
        <f t="shared" si="11"/>
        <v>36652.000000000029</v>
      </c>
      <c r="F353" s="10" t="str">
        <f>IF(A353=$J$22,"",IF(E353&lt;$J$20,$J$19-E353,""))</f>
        <v/>
      </c>
    </row>
    <row r="354" spans="1:6" hidden="1">
      <c r="A354" s="11">
        <v>46056</v>
      </c>
      <c r="B354" s="10">
        <v>60.54</v>
      </c>
      <c r="C354" s="10">
        <f>(B353-B354)*$J$15*$J$16</f>
        <v>-2260.000000000005</v>
      </c>
      <c r="D354" s="10">
        <f t="shared" si="10"/>
        <v>5119.9999999999982</v>
      </c>
      <c r="E354" s="10">
        <f t="shared" si="11"/>
        <v>34392.000000000022</v>
      </c>
      <c r="F354" s="10" t="str">
        <f>IF(A354=$J$22,"",IF(E354&lt;$J$20,$J$19-E354,""))</f>
        <v/>
      </c>
    </row>
    <row r="355" spans="1:6" hidden="1">
      <c r="A355" s="11">
        <v>46057</v>
      </c>
      <c r="B355" s="10">
        <v>61.98</v>
      </c>
      <c r="C355" s="10">
        <f>(B354-B355)*$J$15*$J$16</f>
        <v>-2879.9999999999955</v>
      </c>
      <c r="D355" s="10">
        <f t="shared" si="10"/>
        <v>2240.0000000000027</v>
      </c>
      <c r="E355" s="10">
        <f t="shared" si="11"/>
        <v>31512.000000000025</v>
      </c>
      <c r="F355" s="10" t="str">
        <f>IF(A355=$J$22,"",IF(E355&lt;$J$20,$J$19-E355,""))</f>
        <v/>
      </c>
    </row>
    <row r="356" spans="1:6" hidden="1">
      <c r="A356" s="11">
        <v>46058</v>
      </c>
      <c r="B356" s="10">
        <v>60.82</v>
      </c>
      <c r="C356" s="10">
        <f>(B355-B356)*$J$15*$J$16</f>
        <v>2319.9999999999932</v>
      </c>
      <c r="D356" s="10">
        <f t="shared" si="10"/>
        <v>4559.9999999999964</v>
      </c>
      <c r="E356" s="10">
        <f t="shared" si="11"/>
        <v>33832.000000000022</v>
      </c>
      <c r="F356" s="10" t="str">
        <f>IF(A356=$J$22,"",IF(E356&lt;$J$20,$J$19-E356,""))</f>
        <v/>
      </c>
    </row>
    <row r="357" spans="1:6" hidden="1">
      <c r="A357" s="11">
        <v>46059</v>
      </c>
      <c r="B357" s="10">
        <v>61.31</v>
      </c>
      <c r="C357" s="10">
        <f>(B356-B357)*$J$15*$J$16</f>
        <v>-980.00000000000398</v>
      </c>
      <c r="D357" s="10">
        <f t="shared" si="10"/>
        <v>3579.9999999999923</v>
      </c>
      <c r="E357" s="10">
        <f t="shared" si="11"/>
        <v>32852.000000000015</v>
      </c>
      <c r="F357" s="10" t="str">
        <f>IF(A357=$J$22,"",IF(E357&lt;$J$20,$J$19-E357,""))</f>
        <v/>
      </c>
    </row>
    <row r="358" spans="1:6" hidden="1">
      <c r="A358" s="11">
        <v>46062</v>
      </c>
      <c r="B358" s="10">
        <v>62.11</v>
      </c>
      <c r="C358" s="10">
        <f>(B357-B358)*$J$15*$J$16</f>
        <v>-1599.9999999999943</v>
      </c>
      <c r="D358" s="10">
        <f t="shared" si="10"/>
        <v>1979.999999999998</v>
      </c>
      <c r="E358" s="10">
        <f t="shared" si="11"/>
        <v>31252.000000000022</v>
      </c>
      <c r="F358" s="10" t="str">
        <f>IF(A358=$J$22,"",IF(E358&lt;$J$20,$J$19-E358,""))</f>
        <v/>
      </c>
    </row>
    <row r="359" spans="1:6" hidden="1">
      <c r="A359" s="11">
        <v>46063</v>
      </c>
      <c r="B359" s="10">
        <v>61.89</v>
      </c>
      <c r="C359" s="10">
        <f>(B358-B359)*$J$15*$J$16</f>
        <v>439.99999999999773</v>
      </c>
      <c r="D359" s="10">
        <f t="shared" si="10"/>
        <v>2419.9999999999955</v>
      </c>
      <c r="E359" s="10">
        <f t="shared" si="11"/>
        <v>31692.000000000018</v>
      </c>
      <c r="F359" s="10" t="str">
        <f>IF(A359=$J$22,"",IF(E359&lt;$J$20,$J$19-E359,""))</f>
        <v/>
      </c>
    </row>
    <row r="360" spans="1:6" hidden="1">
      <c r="A360" s="11">
        <v>46064</v>
      </c>
      <c r="B360" s="10">
        <v>62.27</v>
      </c>
      <c r="C360" s="10">
        <f>(B359-B360)*$J$15*$J$16</f>
        <v>-760.00000000000512</v>
      </c>
      <c r="D360" s="10">
        <f t="shared" si="10"/>
        <v>1659.9999999999905</v>
      </c>
      <c r="E360" s="10">
        <f t="shared" si="11"/>
        <v>30932.000000000015</v>
      </c>
      <c r="F360" s="10" t="str">
        <f>IF(A360=$J$22,"",IF(E360&lt;$J$20,$J$19-E360,""))</f>
        <v/>
      </c>
    </row>
    <row r="361" spans="1:6" hidden="1">
      <c r="A361" s="11">
        <v>46065</v>
      </c>
      <c r="B361" s="10">
        <v>60.75</v>
      </c>
      <c r="C361" s="10">
        <f>(B360-B361)*$J$15*$J$16</f>
        <v>3040.0000000000064</v>
      </c>
      <c r="D361" s="10">
        <f t="shared" si="10"/>
        <v>4699.9999999999964</v>
      </c>
      <c r="E361" s="10">
        <f t="shared" si="11"/>
        <v>33972.000000000022</v>
      </c>
      <c r="F361" s="10" t="str">
        <f>IF(A361=$J$22,"",IF(E361&lt;$J$20,$J$19-E361,""))</f>
        <v/>
      </c>
    </row>
    <row r="362" spans="1:6" hidden="1">
      <c r="A362" s="11">
        <v>46066</v>
      </c>
      <c r="B362" s="10">
        <v>60.71</v>
      </c>
      <c r="C362" s="10">
        <f>(B361-B362)*$J$15*$J$16</f>
        <v>79.999999999998295</v>
      </c>
      <c r="D362" s="10">
        <f t="shared" si="10"/>
        <v>4779.9999999999945</v>
      </c>
      <c r="E362" s="10">
        <f t="shared" si="11"/>
        <v>34052.000000000022</v>
      </c>
      <c r="F362" s="10" t="str">
        <f>IF(A362=$J$22,"",IF(E362&lt;$J$20,$J$19-E362,""))</f>
        <v/>
      </c>
    </row>
    <row r="363" spans="1:6" hidden="1">
      <c r="A363" s="11">
        <v>46070</v>
      </c>
      <c r="B363" s="10">
        <v>60.47</v>
      </c>
      <c r="C363" s="10">
        <f>(B362-B363)*$J$15*$J$16</f>
        <v>480.00000000000398</v>
      </c>
      <c r="D363" s="10">
        <f t="shared" si="10"/>
        <v>5259.9999999999982</v>
      </c>
      <c r="E363" s="10">
        <f t="shared" si="11"/>
        <v>34532.000000000029</v>
      </c>
      <c r="F363" s="10" t="str">
        <f>IF(A363=$J$22,"",IF(E363&lt;$J$20,$J$19-E363,""))</f>
        <v/>
      </c>
    </row>
    <row r="364" spans="1:6" hidden="1">
      <c r="A364" s="11">
        <v>46071</v>
      </c>
      <c r="B364" s="10">
        <v>62.22</v>
      </c>
      <c r="C364" s="10">
        <f>(B363-B364)*$J$15*$J$16</f>
        <v>-3500</v>
      </c>
      <c r="D364" s="10">
        <f t="shared" si="10"/>
        <v>1759.9999999999982</v>
      </c>
      <c r="E364" s="10">
        <f t="shared" si="11"/>
        <v>31032.000000000029</v>
      </c>
      <c r="F364" s="10" t="str">
        <f>IF(A364=$J$22,"",IF(E364&lt;$J$20,$J$19-E364,""))</f>
        <v/>
      </c>
    </row>
    <row r="365" spans="1:6" hidden="1">
      <c r="A365" s="11">
        <v>46072</v>
      </c>
      <c r="B365" s="10">
        <v>63.01</v>
      </c>
      <c r="C365" s="10">
        <f>(B364-B365)*$J$15*$J$16</f>
        <v>-1579.9999999999982</v>
      </c>
      <c r="D365" s="10">
        <f t="shared" si="10"/>
        <v>180</v>
      </c>
      <c r="E365" s="10">
        <f t="shared" si="11"/>
        <v>29452.000000000029</v>
      </c>
      <c r="F365" s="10" t="str">
        <f>IF(A365=$J$22,"",IF(E365&lt;$J$20,$J$19-E365,""))</f>
        <v/>
      </c>
    </row>
    <row r="366" spans="1:6" hidden="1">
      <c r="A366" s="11">
        <v>46073</v>
      </c>
      <c r="B366" s="10">
        <v>63.08</v>
      </c>
      <c r="C366" s="10">
        <f>(B365-B366)*$J$15*$J$16</f>
        <v>-140.00000000000057</v>
      </c>
      <c r="D366" s="10">
        <f t="shared" si="10"/>
        <v>39.999999999999432</v>
      </c>
      <c r="E366" s="10">
        <f t="shared" si="11"/>
        <v>29312.000000000029</v>
      </c>
      <c r="F366" s="10" t="str">
        <f>IF(A366=$J$22,"",IF(E366&lt;$J$20,$J$19-E366,""))</f>
        <v/>
      </c>
    </row>
    <row r="367" spans="1:6" hidden="1">
      <c r="A367" s="11">
        <v>46076</v>
      </c>
      <c r="B367" s="10">
        <v>63.23</v>
      </c>
      <c r="C367" s="10">
        <f>(B366-B367)*$J$15*$J$16</f>
        <v>-299.99999999999716</v>
      </c>
      <c r="D367" s="10">
        <f t="shared" si="10"/>
        <v>-259.99999999999773</v>
      </c>
      <c r="E367" s="10">
        <f t="shared" si="11"/>
        <v>29012.000000000033</v>
      </c>
      <c r="F367" s="10" t="str">
        <f>IF(A367=$J$22,"",IF(E367&lt;$J$20,$J$19-E367,""))</f>
        <v/>
      </c>
    </row>
    <row r="368" spans="1:6" hidden="1">
      <c r="A368" s="11">
        <v>46077</v>
      </c>
      <c r="B368" s="10">
        <v>63.13</v>
      </c>
      <c r="C368" s="10">
        <f>(B367-B368)*$J$15*$J$16</f>
        <v>199.99999999998863</v>
      </c>
      <c r="D368" s="10">
        <f t="shared" si="10"/>
        <v>-60.000000000009095</v>
      </c>
      <c r="E368" s="10">
        <f t="shared" si="11"/>
        <v>29212.000000000022</v>
      </c>
      <c r="F368" s="10" t="str">
        <f>IF(A368=$J$22,"",IF(E368&lt;$J$20,$J$19-E368,""))</f>
        <v/>
      </c>
    </row>
    <row r="369" spans="1:6" hidden="1">
      <c r="A369" s="11">
        <v>46078</v>
      </c>
      <c r="B369" s="10">
        <v>63.05</v>
      </c>
      <c r="C369" s="10">
        <f>(B368-B369)*$J$15*$J$16</f>
        <v>160.0000000000108</v>
      </c>
      <c r="D369" s="10">
        <f t="shared" si="10"/>
        <v>100.00000000000171</v>
      </c>
      <c r="E369" s="10">
        <f t="shared" si="11"/>
        <v>29372.000000000033</v>
      </c>
      <c r="F369" s="10" t="str">
        <f>IF(A369=$J$22,"",IF(E369&lt;$J$20,$J$19-E369,""))</f>
        <v/>
      </c>
    </row>
    <row r="370" spans="1:6" hidden="1">
      <c r="A370" s="11">
        <v>46079</v>
      </c>
      <c r="B370" s="10">
        <v>62.58</v>
      </c>
      <c r="C370" s="10">
        <f>(B369-B370)*$J$15*$J$16</f>
        <v>939.99999999999773</v>
      </c>
      <c r="D370" s="10">
        <f t="shared" si="10"/>
        <v>1039.9999999999995</v>
      </c>
      <c r="E370" s="10">
        <f t="shared" si="11"/>
        <v>30312.000000000029</v>
      </c>
      <c r="F370" s="10" t="str">
        <f>IF(A370=$J$22,"",IF(E370&lt;$J$20,$J$19-E370,""))</f>
        <v/>
      </c>
    </row>
    <row r="371" spans="1:6" hidden="1">
      <c r="A371" s="11">
        <v>46080</v>
      </c>
      <c r="B371" s="10">
        <v>63.73</v>
      </c>
      <c r="C371" s="10">
        <f>(B370-B371)*$J$15*$J$16</f>
        <v>-2299.9999999999973</v>
      </c>
      <c r="D371" s="10">
        <f t="shared" si="10"/>
        <v>-1259.9999999999977</v>
      </c>
      <c r="E371" s="10">
        <f t="shared" si="11"/>
        <v>28012.000000000033</v>
      </c>
      <c r="F371" s="10" t="str">
        <f>IF(A371=$J$22,"",IF(E371&lt;$J$20,$J$19-E371,""))</f>
        <v/>
      </c>
    </row>
    <row r="372" spans="1:6" hidden="1">
      <c r="A372" s="11">
        <v>46083</v>
      </c>
      <c r="B372" s="10">
        <v>64.78</v>
      </c>
      <c r="C372" s="10">
        <f>(B371-B372)*$J$15*$J$16</f>
        <v>-2100.0000000000086</v>
      </c>
      <c r="D372" s="10">
        <f t="shared" si="10"/>
        <v>-3360.0000000000064</v>
      </c>
      <c r="E372" s="10">
        <f t="shared" si="11"/>
        <v>25912.000000000025</v>
      </c>
      <c r="F372" s="10" t="str">
        <f>IF(A372=$J$22,"",IF(E372&lt;$J$20,$J$19-E372,""))</f>
        <v/>
      </c>
    </row>
    <row r="373" spans="1:6" hidden="1">
      <c r="A373" s="11">
        <v>46084</v>
      </c>
      <c r="B373" s="10">
        <v>65.290000000000006</v>
      </c>
      <c r="C373" s="10">
        <f>(B372-B373)*$J$15*$J$16</f>
        <v>-1020.0000000000102</v>
      </c>
      <c r="D373" s="10">
        <f t="shared" si="10"/>
        <v>-4380.0000000000164</v>
      </c>
      <c r="E373" s="10">
        <f t="shared" si="11"/>
        <v>24892.000000000015</v>
      </c>
      <c r="F373" s="10" t="str">
        <f>IF(A373=$J$22,"",IF(E373&lt;$J$20,$J$19-E373,""))</f>
        <v/>
      </c>
    </row>
    <row r="374" spans="1:6" hidden="1">
      <c r="A374" s="11">
        <v>46085</v>
      </c>
      <c r="B374" s="10">
        <v>65.7</v>
      </c>
      <c r="C374" s="10">
        <f>(B373-B374)*$J$15*$J$16</f>
        <v>-819.99999999999318</v>
      </c>
      <c r="D374" s="10">
        <f t="shared" si="10"/>
        <v>-5200.0000000000091</v>
      </c>
      <c r="E374" s="10">
        <f t="shared" si="11"/>
        <v>24072.000000000022</v>
      </c>
      <c r="F374" s="10" t="str">
        <f>IF(A374=$J$22,"",IF(E374&lt;$J$20,$J$19-E374,""))</f>
        <v/>
      </c>
    </row>
    <row r="375" spans="1:6" hidden="1">
      <c r="A375" s="11">
        <v>46086</v>
      </c>
      <c r="B375" s="10">
        <v>67.31</v>
      </c>
      <c r="C375" s="10">
        <f>(B374-B375)*$J$15*$J$16</f>
        <v>-3219.9999999999991</v>
      </c>
      <c r="D375" s="10">
        <f t="shared" si="10"/>
        <v>-8420.0000000000073</v>
      </c>
      <c r="E375" s="10">
        <f t="shared" si="11"/>
        <v>20852.000000000022</v>
      </c>
      <c r="F375" s="10" t="str">
        <f>IF(A375=$J$22,"",IF(E375&lt;$J$20,$J$19-E375,""))</f>
        <v/>
      </c>
    </row>
    <row r="376" spans="1:6" hidden="1">
      <c r="A376" s="11">
        <v>46087</v>
      </c>
      <c r="B376" s="10">
        <v>69.239999999999995</v>
      </c>
      <c r="C376" s="10">
        <f>(B375-B376)*$J$15*$J$16</f>
        <v>-3859.9999999999854</v>
      </c>
      <c r="D376" s="10">
        <f t="shared" si="10"/>
        <v>-12279.999999999993</v>
      </c>
      <c r="E376" s="10">
        <f t="shared" si="11"/>
        <v>16992.000000000036</v>
      </c>
      <c r="F376" s="10" t="str">
        <f>IF(A376=$J$22,"",IF(E376&lt;$J$20,$J$19-E376,""))</f>
        <v/>
      </c>
    </row>
    <row r="377" spans="1:6">
      <c r="A377" s="11">
        <v>46090</v>
      </c>
      <c r="B377" s="10">
        <v>71.17</v>
      </c>
      <c r="C377" s="10">
        <f>(B376-B377)*$J$15*$J$16</f>
        <v>-3860.0000000000136</v>
      </c>
      <c r="D377" s="10">
        <f t="shared" si="10"/>
        <v>-16140.000000000007</v>
      </c>
      <c r="E377" s="10">
        <f t="shared" si="11"/>
        <v>13132.000000000022</v>
      </c>
      <c r="F377" s="10">
        <f>IF(A377=$J$22,"",IF(E377&lt;$J$20,$J$19-E377,""))</f>
        <v>3119.9999999999782</v>
      </c>
    </row>
    <row r="378" spans="1:6" hidden="1">
      <c r="A378" s="11">
        <v>46091</v>
      </c>
      <c r="B378" s="10">
        <v>69.37</v>
      </c>
      <c r="C378" s="10">
        <f>(B377-B378)*$J$15*$J$16</f>
        <v>3599.9999999999945</v>
      </c>
      <c r="D378" s="10">
        <f t="shared" si="10"/>
        <v>-12540.000000000013</v>
      </c>
      <c r="E378" s="10">
        <f t="shared" si="11"/>
        <v>19851.999999999993</v>
      </c>
      <c r="F378" s="10" t="str">
        <f>IF(A378=$J$22,"",IF(E378&lt;$J$20,$J$19-E378,""))</f>
        <v/>
      </c>
    </row>
    <row r="379" spans="1:6">
      <c r="A379" s="11">
        <v>46092</v>
      </c>
      <c r="B379" s="10">
        <v>72.31</v>
      </c>
      <c r="C379" s="10">
        <f>(B378-B379)*$J$15*$J$16</f>
        <v>-5879.9999999999955</v>
      </c>
      <c r="D379" s="10">
        <f t="shared" si="10"/>
        <v>-18420.000000000007</v>
      </c>
      <c r="E379" s="10">
        <f t="shared" si="11"/>
        <v>13971.999999999996</v>
      </c>
      <c r="F379" s="10">
        <f>IF(A379=$J$22,"",IF(E379&lt;$J$20,$J$19-E379,""))</f>
        <v>2280.0000000000036</v>
      </c>
    </row>
    <row r="380" spans="1:6">
      <c r="A380" s="11">
        <v>46093</v>
      </c>
      <c r="B380" s="10">
        <v>75.17</v>
      </c>
      <c r="C380" s="10">
        <f>(B379-B380)*$J$15*$J$16</f>
        <v>-5719.9999999999991</v>
      </c>
      <c r="D380" s="10">
        <f t="shared" si="10"/>
        <v>-24140.000000000007</v>
      </c>
      <c r="E380" s="10">
        <f t="shared" si="11"/>
        <v>10532</v>
      </c>
      <c r="F380" s="10">
        <f>IF(A380=$J$22,"",IF(E380&lt;$J$20,$J$19-E380,""))</f>
        <v>5720</v>
      </c>
    </row>
    <row r="381" spans="1:6">
      <c r="A381" s="11">
        <v>46094</v>
      </c>
      <c r="B381" s="10">
        <v>76.319999999999993</v>
      </c>
      <c r="C381" s="10">
        <f>(B380-B381)*$J$15*$J$16</f>
        <v>-2299.9999999999827</v>
      </c>
      <c r="D381" s="10">
        <f t="shared" si="10"/>
        <v>-26439.999999999989</v>
      </c>
      <c r="E381" s="10">
        <f t="shared" si="11"/>
        <v>13952.000000000018</v>
      </c>
      <c r="F381" s="10">
        <f>IF(A381=$J$22,"",IF(E381&lt;$J$20,$J$19-E381,""))</f>
        <v>2299.9999999999818</v>
      </c>
    </row>
    <row r="382" spans="1:6" hidden="1">
      <c r="A382" s="11">
        <v>46097</v>
      </c>
      <c r="B382" s="10">
        <v>74.77</v>
      </c>
      <c r="C382" s="10">
        <f>(B381-B382)*$J$15*$J$16</f>
        <v>3099.9999999999945</v>
      </c>
      <c r="D382" s="10">
        <f t="shared" si="10"/>
        <v>-23339.999999999993</v>
      </c>
      <c r="E382" s="10">
        <f t="shared" si="11"/>
        <v>19351.999999999993</v>
      </c>
      <c r="F382" s="10" t="str">
        <f>IF(A382=$J$22,"",IF(E382&lt;$J$20,$J$19-E382,""))</f>
        <v/>
      </c>
    </row>
    <row r="383" spans="1:6" hidden="1">
      <c r="A383" s="11">
        <v>46098</v>
      </c>
      <c r="B383" s="10">
        <v>76.36</v>
      </c>
      <c r="C383" s="10">
        <f>(B382-B383)*$J$15*$J$16</f>
        <v>-3180.0000000000068</v>
      </c>
      <c r="D383" s="10">
        <f t="shared" si="10"/>
        <v>-26520</v>
      </c>
      <c r="E383" s="10">
        <f t="shared" si="11"/>
        <v>16171.999999999985</v>
      </c>
      <c r="F383" s="10" t="str">
        <f>IF(A383=$J$22,"",IF(E383&lt;$J$20,$J$19-E383,""))</f>
        <v/>
      </c>
    </row>
    <row r="384" spans="1:6">
      <c r="A384" s="11">
        <v>46099</v>
      </c>
      <c r="B384" s="10">
        <v>77.86</v>
      </c>
      <c r="C384" s="10">
        <f>(B383-B384)*$J$15*$J$16</f>
        <v>-3000</v>
      </c>
      <c r="D384" s="10">
        <f t="shared" si="10"/>
        <v>-29520</v>
      </c>
      <c r="E384" s="10">
        <f t="shared" si="11"/>
        <v>13171.999999999985</v>
      </c>
      <c r="F384" s="10">
        <f>IF(A384=$J$22,"",IF(E384&lt;$J$20,$J$19-E384,""))</f>
        <v>3080.0000000000146</v>
      </c>
    </row>
    <row r="385" spans="1:6" hidden="1">
      <c r="A385" s="11">
        <v>46100</v>
      </c>
      <c r="B385" s="10">
        <v>78.41</v>
      </c>
      <c r="C385" s="10">
        <f>(B384-B385)*$J$15*$J$16</f>
        <v>-1099.9999999999943</v>
      </c>
      <c r="D385" s="10">
        <f t="shared" si="10"/>
        <v>-30619.999999999993</v>
      </c>
      <c r="E385" s="10">
        <f t="shared" si="11"/>
        <v>15152.000000000005</v>
      </c>
      <c r="F385" s="10" t="str">
        <f>IF(A385=$J$22,"",IF(E385&lt;$J$20,$J$19-E385,""))</f>
        <v/>
      </c>
    </row>
    <row r="386" spans="1:6" hidden="1">
      <c r="A386" s="11">
        <v>46101</v>
      </c>
      <c r="B386" s="10">
        <v>78.58</v>
      </c>
      <c r="C386" s="10">
        <f>(B385-B386)*$J$15*$J$16</f>
        <v>-340.00000000000341</v>
      </c>
      <c r="D386" s="10">
        <f t="shared" si="10"/>
        <v>-30959.999999999996</v>
      </c>
      <c r="E386" s="10">
        <f t="shared" si="11"/>
        <v>14812.000000000002</v>
      </c>
      <c r="F386" s="10" t="str">
        <f>IF(A386=$J$22,"",IF(E386&lt;$J$20,$J$19-E386,""))</f>
        <v/>
      </c>
    </row>
    <row r="387" spans="1:6" hidden="1">
      <c r="A387" s="11">
        <v>46104</v>
      </c>
      <c r="B387" s="10">
        <v>73.59</v>
      </c>
      <c r="C387" s="10">
        <f>(B386-B387)*$J$15*$J$16</f>
        <v>9979.9999999999891</v>
      </c>
      <c r="D387" s="10">
        <f t="shared" ref="D387:D450" si="12">D386+C387</f>
        <v>-20980.000000000007</v>
      </c>
      <c r="E387" s="10">
        <f t="shared" ref="E387:E450" si="13">E386+IF(F386="",0,F386)+C387</f>
        <v>24791.999999999993</v>
      </c>
      <c r="F387" s="10" t="str">
        <f>IF(A387=$J$22,"",IF(E387&lt;$J$20,$J$19-E387,""))</f>
        <v/>
      </c>
    </row>
    <row r="388" spans="1:6" hidden="1">
      <c r="A388" s="11">
        <v>46105</v>
      </c>
      <c r="B388" s="10">
        <v>76.760000000000005</v>
      </c>
      <c r="C388" s="10">
        <f>(B387-B388)*$J$15*$J$16</f>
        <v>-6340.0000000000036</v>
      </c>
      <c r="D388" s="10">
        <f t="shared" si="12"/>
        <v>-27320.000000000011</v>
      </c>
      <c r="E388" s="10">
        <f t="shared" si="13"/>
        <v>18451.999999999989</v>
      </c>
      <c r="F388" s="10" t="str">
        <f>IF(A388=$J$22,"",IF(E388&lt;$J$20,$J$19-E388,""))</f>
        <v/>
      </c>
    </row>
    <row r="389" spans="1:6" hidden="1">
      <c r="A389" s="11">
        <v>46106</v>
      </c>
      <c r="B389" s="10">
        <v>76</v>
      </c>
      <c r="C389" s="10">
        <f>(B388-B389)*$J$15*$J$16</f>
        <v>1520.0000000000102</v>
      </c>
      <c r="D389" s="10">
        <f t="shared" si="12"/>
        <v>-25800</v>
      </c>
      <c r="E389" s="10">
        <f t="shared" si="13"/>
        <v>19972</v>
      </c>
      <c r="F389" s="10" t="str">
        <f>IF(A389=$J$22,"",IF(E389&lt;$J$20,$J$19-E389,""))</f>
        <v/>
      </c>
    </row>
    <row r="390" spans="1:6" hidden="1">
      <c r="A390" s="11">
        <v>46107</v>
      </c>
      <c r="B390" s="10">
        <v>77.650000000000006</v>
      </c>
      <c r="C390" s="10">
        <f>(B389-B390)*$J$15*$J$16</f>
        <v>-3300.0000000000114</v>
      </c>
      <c r="D390" s="10">
        <f t="shared" si="12"/>
        <v>-29100.000000000011</v>
      </c>
      <c r="E390" s="10">
        <f t="shared" si="13"/>
        <v>16671.999999999989</v>
      </c>
      <c r="F390" s="10" t="str">
        <f>IF(A390=$J$22,"",IF(E390&lt;$J$20,$J$19-E390,""))</f>
        <v/>
      </c>
    </row>
    <row r="391" spans="1:6" hidden="1">
      <c r="A391" s="11">
        <v>46108</v>
      </c>
      <c r="B391" s="10">
        <v>77.36</v>
      </c>
      <c r="C391" s="10">
        <f>(B390-B391)*$J$15*$J$16</f>
        <v>580.00000000001251</v>
      </c>
      <c r="D391" s="10">
        <f t="shared" si="12"/>
        <v>-28520</v>
      </c>
      <c r="E391" s="10">
        <f t="shared" si="13"/>
        <v>17252</v>
      </c>
      <c r="F391" s="10" t="str">
        <f>IF(A391=$J$22,"",IF(E391&lt;$J$20,$J$19-E391,""))</f>
        <v/>
      </c>
    </row>
    <row r="392" spans="1:6" hidden="1">
      <c r="A392" s="11">
        <v>46111</v>
      </c>
      <c r="B392" s="10">
        <v>76.84</v>
      </c>
      <c r="C392" s="10">
        <f>(B391-B392)*$J$15*$J$16</f>
        <v>1039.999999999992</v>
      </c>
      <c r="D392" s="10">
        <f t="shared" si="12"/>
        <v>-27480.000000000007</v>
      </c>
      <c r="E392" s="10">
        <f t="shared" si="13"/>
        <v>18291.999999999993</v>
      </c>
      <c r="F392" s="10" t="str">
        <f>IF(A392=$J$22,"",IF(E392&lt;$J$20,$J$19-E392,""))</f>
        <v/>
      </c>
    </row>
    <row r="393" spans="1:6" hidden="1">
      <c r="A393" s="11">
        <v>46112</v>
      </c>
      <c r="B393" s="10">
        <v>72.47</v>
      </c>
      <c r="C393" s="10">
        <f>(B392-B393)*$J$15*$J$16</f>
        <v>8740.0000000000091</v>
      </c>
      <c r="D393" s="10">
        <f t="shared" si="12"/>
        <v>-18740</v>
      </c>
      <c r="E393" s="10">
        <f t="shared" si="13"/>
        <v>27032</v>
      </c>
      <c r="F393" s="10" t="str">
        <f>IF(A393=$J$22,"",IF(E393&lt;$J$20,$J$19-E393,""))</f>
        <v/>
      </c>
    </row>
    <row r="394" spans="1:6" hidden="1">
      <c r="A394" s="11">
        <v>46113</v>
      </c>
      <c r="B394" s="10">
        <v>71.39</v>
      </c>
      <c r="C394" s="10">
        <f>(B393-B394)*$J$15*$J$16</f>
        <v>2159.9999999999964</v>
      </c>
      <c r="D394" s="10">
        <f t="shared" si="12"/>
        <v>-16580.000000000004</v>
      </c>
      <c r="E394" s="10">
        <f t="shared" si="13"/>
        <v>29191.999999999996</v>
      </c>
      <c r="F394" s="10" t="str">
        <f>IF(A394=$J$22,"",IF(E394&lt;$J$20,$J$19-E394,""))</f>
        <v/>
      </c>
    </row>
    <row r="395" spans="1:6" hidden="1">
      <c r="A395" s="11">
        <v>46114</v>
      </c>
      <c r="B395" s="10">
        <v>72.11</v>
      </c>
      <c r="C395" s="10">
        <f>(B394-B395)*$J$15*$J$16</f>
        <v>-1439.9999999999977</v>
      </c>
      <c r="D395" s="10">
        <f t="shared" si="12"/>
        <v>-18020</v>
      </c>
      <c r="E395" s="10">
        <f t="shared" si="13"/>
        <v>27752</v>
      </c>
      <c r="F395" s="10" t="str">
        <f>IF(A395=$J$22,"",IF(E395&lt;$J$20,$J$19-E395,""))</f>
        <v/>
      </c>
    </row>
    <row r="396" spans="1:6" hidden="1">
      <c r="A396" s="11">
        <v>46118</v>
      </c>
      <c r="B396" s="10">
        <v>73.86</v>
      </c>
      <c r="C396" s="10">
        <f>(B395-B396)*$J$15*$J$16</f>
        <v>-3500</v>
      </c>
      <c r="D396" s="10">
        <f t="shared" si="12"/>
        <v>-21520</v>
      </c>
      <c r="E396" s="10">
        <f t="shared" si="13"/>
        <v>24252</v>
      </c>
      <c r="F396" s="10" t="str">
        <f>IF(A396=$J$22,"",IF(E396&lt;$J$20,$J$19-E396,""))</f>
        <v/>
      </c>
    </row>
    <row r="397" spans="1:6" hidden="1">
      <c r="A397" s="11">
        <v>46119</v>
      </c>
      <c r="B397" s="10">
        <v>75.180000000000007</v>
      </c>
      <c r="C397" s="10">
        <f>(B396-B397)*$J$15*$J$16</f>
        <v>-2640.0000000000146</v>
      </c>
      <c r="D397" s="10">
        <f t="shared" si="12"/>
        <v>-24160.000000000015</v>
      </c>
      <c r="E397" s="10">
        <f t="shared" si="13"/>
        <v>21611.999999999985</v>
      </c>
      <c r="F397" s="10" t="str">
        <f>IF(A397=$J$22,"",IF(E397&lt;$J$20,$J$19-E397,""))</f>
        <v/>
      </c>
    </row>
    <row r="398" spans="1:6" hidden="1">
      <c r="A398" s="11">
        <v>46120</v>
      </c>
      <c r="B398" s="10">
        <v>74.22</v>
      </c>
      <c r="C398" s="10">
        <f>(B397-B398)*$J$15*$J$16</f>
        <v>1920.0000000000159</v>
      </c>
      <c r="D398" s="10">
        <f t="shared" si="12"/>
        <v>-22240</v>
      </c>
      <c r="E398" s="10">
        <f t="shared" si="13"/>
        <v>23532</v>
      </c>
      <c r="F398" s="10" t="str">
        <f>IF(A398=$J$22,"",IF(E398&lt;$J$20,$J$19-E398,""))</f>
        <v/>
      </c>
    </row>
    <row r="399" spans="1:6" hidden="1">
      <c r="A399" s="11">
        <v>46121</v>
      </c>
      <c r="B399" s="10">
        <v>74.39</v>
      </c>
      <c r="C399" s="10">
        <f>(B398-B399)*$J$15*$J$16</f>
        <v>-340.00000000000341</v>
      </c>
      <c r="D399" s="10">
        <f t="shared" si="12"/>
        <v>-22580.000000000004</v>
      </c>
      <c r="E399" s="10">
        <f t="shared" si="13"/>
        <v>23191.999999999996</v>
      </c>
      <c r="F399" s="10" t="str">
        <f>IF(A399=$J$22,"",IF(E399&lt;$J$20,$J$19-E399,""))</f>
        <v/>
      </c>
    </row>
    <row r="400" spans="1:6" hidden="1">
      <c r="A400" s="11">
        <v>46122</v>
      </c>
      <c r="B400" s="10">
        <v>75.25</v>
      </c>
      <c r="C400" s="10">
        <f>(B399-B400)*$J$15*$J$16</f>
        <v>-1719.9999999999989</v>
      </c>
      <c r="D400" s="10">
        <f t="shared" si="12"/>
        <v>-24300.000000000004</v>
      </c>
      <c r="E400" s="10">
        <f t="shared" si="13"/>
        <v>21471.999999999996</v>
      </c>
      <c r="F400" s="10" t="str">
        <f>IF(A400=$J$22,"",IF(E400&lt;$J$20,$J$19-E400,""))</f>
        <v/>
      </c>
    </row>
    <row r="401" spans="1:6" hidden="1">
      <c r="A401" s="11">
        <v>46125</v>
      </c>
      <c r="B401" s="10">
        <v>77.34</v>
      </c>
      <c r="C401" s="10">
        <f>(B400-B401)*$J$15*$J$16</f>
        <v>-4180.0000000000073</v>
      </c>
      <c r="D401" s="10">
        <f t="shared" si="12"/>
        <v>-28480.000000000011</v>
      </c>
      <c r="E401" s="10">
        <f t="shared" si="13"/>
        <v>17291.999999999989</v>
      </c>
      <c r="F401" s="10" t="str">
        <f>IF(A401=$J$22,"",IF(E401&lt;$J$20,$J$19-E401,""))</f>
        <v/>
      </c>
    </row>
    <row r="402" spans="1:6" hidden="1">
      <c r="A402" s="11">
        <v>46126</v>
      </c>
      <c r="B402" s="10">
        <v>75.739999999999995</v>
      </c>
      <c r="C402" s="10">
        <f>(B401-B402)*$J$15*$J$16</f>
        <v>3200.0000000000173</v>
      </c>
      <c r="D402" s="10">
        <f t="shared" si="12"/>
        <v>-25279.999999999993</v>
      </c>
      <c r="E402" s="10">
        <f t="shared" si="13"/>
        <v>20492.000000000007</v>
      </c>
      <c r="F402" s="10" t="str">
        <f>IF(A402=$J$22,"",IF(E402&lt;$J$20,$J$19-E402,""))</f>
        <v/>
      </c>
    </row>
    <row r="403" spans="1:6" hidden="1">
      <c r="A403" s="11">
        <v>46127</v>
      </c>
      <c r="B403" s="10">
        <v>76.400000000000006</v>
      </c>
      <c r="C403" s="10">
        <f>(B402-B403)*$J$15*$J$16</f>
        <v>-1320.0000000000216</v>
      </c>
      <c r="D403" s="10">
        <f t="shared" si="12"/>
        <v>-26600.000000000015</v>
      </c>
      <c r="E403" s="10">
        <f t="shared" si="13"/>
        <v>19171.999999999985</v>
      </c>
      <c r="F403" s="10" t="str">
        <f>IF(A403=$J$22,"",IF(E403&lt;$J$20,$J$19-E403,""))</f>
        <v/>
      </c>
    </row>
    <row r="404" spans="1:6" hidden="1">
      <c r="A404" s="11">
        <v>46128</v>
      </c>
      <c r="B404" s="10">
        <v>76.59</v>
      </c>
      <c r="C404" s="10">
        <f>(B403-B404)*$J$15*$J$16</f>
        <v>-379.99999999999545</v>
      </c>
      <c r="D404" s="10">
        <f t="shared" si="12"/>
        <v>-26980.000000000011</v>
      </c>
      <c r="E404" s="10">
        <f t="shared" si="13"/>
        <v>18791.999999999989</v>
      </c>
      <c r="F404" s="10" t="str">
        <f>IF(A404=$J$22,"",IF(E404&lt;$J$20,$J$19-E404,""))</f>
        <v/>
      </c>
    </row>
    <row r="405" spans="1:6" hidden="1">
      <c r="A405" s="11">
        <v>46129</v>
      </c>
      <c r="B405" s="10">
        <v>72.650000000000006</v>
      </c>
      <c r="C405" s="10">
        <f>(B404-B405)*$J$15*$J$16</f>
        <v>7879.9999999999955</v>
      </c>
      <c r="D405" s="10">
        <f t="shared" si="12"/>
        <v>-19100.000000000015</v>
      </c>
      <c r="E405" s="10">
        <f t="shared" si="13"/>
        <v>26671.999999999985</v>
      </c>
      <c r="F405" s="10" t="str">
        <f>IF(A405=$J$22,"",IF(E405&lt;$J$20,$J$19-E405,""))</f>
        <v/>
      </c>
    </row>
    <row r="406" spans="1:6" hidden="1">
      <c r="A406" s="11">
        <v>46132</v>
      </c>
      <c r="B406" s="10">
        <v>74.58</v>
      </c>
      <c r="C406" s="10">
        <f>(B405-B406)*$J$15*$J$16</f>
        <v>-3859.9999999999854</v>
      </c>
      <c r="D406" s="10">
        <f t="shared" si="12"/>
        <v>-22960</v>
      </c>
      <c r="E406" s="10">
        <f t="shared" si="13"/>
        <v>22812</v>
      </c>
      <c r="F406" s="10" t="str">
        <f>IF(A406=$J$22,"",IF(E406&lt;$J$20,$J$19-E406,""))</f>
        <v/>
      </c>
    </row>
    <row r="407" spans="1:6" hidden="1">
      <c r="A407" s="11">
        <v>46133</v>
      </c>
      <c r="B407" s="10">
        <v>75.38</v>
      </c>
      <c r="C407" s="10">
        <f>(B406-B407)*$J$15*$J$16</f>
        <v>-1599.9999999999943</v>
      </c>
      <c r="D407" s="10">
        <f t="shared" si="12"/>
        <v>-24559.999999999993</v>
      </c>
      <c r="E407" s="10">
        <f t="shared" si="13"/>
        <v>21212.000000000007</v>
      </c>
      <c r="F407" s="10" t="str">
        <f>IF(A407=$J$22,"",IF(E407&lt;$J$20,$J$19-E407,""))</f>
        <v/>
      </c>
    </row>
    <row r="408" spans="1:6" hidden="1">
      <c r="A408" s="11">
        <v>46134</v>
      </c>
      <c r="B408" s="10">
        <v>76.459999999999994</v>
      </c>
      <c r="C408" s="10">
        <f>(B407-B408)*$J$15*$J$16</f>
        <v>-2159.9999999999964</v>
      </c>
      <c r="D408" s="10">
        <f t="shared" si="12"/>
        <v>-26719.999999999989</v>
      </c>
      <c r="E408" s="10">
        <f t="shared" si="13"/>
        <v>19052.000000000011</v>
      </c>
      <c r="F408" s="10" t="str">
        <f>IF(A408=$J$22,"",IF(E408&lt;$J$20,$J$19-E408,""))</f>
        <v/>
      </c>
    </row>
    <row r="409" spans="1:6" hidden="1">
      <c r="A409" s="11">
        <v>46135</v>
      </c>
      <c r="B409" s="10">
        <v>77.849999999999994</v>
      </c>
      <c r="C409" s="10">
        <f>(B408-B409)*$J$15*$J$16</f>
        <v>-2780.0000000000009</v>
      </c>
      <c r="D409" s="10">
        <f t="shared" si="12"/>
        <v>-29499.999999999989</v>
      </c>
      <c r="E409" s="10">
        <f t="shared" si="13"/>
        <v>16272.000000000011</v>
      </c>
      <c r="F409" s="10" t="str">
        <f>IF(A409=$J$22,"",IF(E409&lt;$J$20,$J$19-E409,""))</f>
        <v/>
      </c>
    </row>
    <row r="410" spans="1:6" hidden="1">
      <c r="A410" s="11">
        <v>46136</v>
      </c>
      <c r="B410" s="10">
        <v>77.48</v>
      </c>
      <c r="C410" s="10">
        <f>(B409-B410)*$J$15*$J$16</f>
        <v>739.99999999998067</v>
      </c>
      <c r="D410" s="10">
        <f t="shared" si="12"/>
        <v>-28760.000000000007</v>
      </c>
      <c r="E410" s="10">
        <f t="shared" si="13"/>
        <v>17011.999999999993</v>
      </c>
      <c r="F410" s="10" t="str">
        <f>IF(A410=$J$22,"",IF(E410&lt;$J$20,$J$19-E410,""))</f>
        <v/>
      </c>
    </row>
    <row r="411" spans="1:6" hidden="1">
      <c r="A411" s="11">
        <v>46139</v>
      </c>
      <c r="B411" s="10">
        <v>78.260000000000005</v>
      </c>
      <c r="C411" s="10">
        <f>(B410-B411)*$J$15*$J$16</f>
        <v>-1560.0000000000023</v>
      </c>
      <c r="D411" s="10">
        <f t="shared" si="12"/>
        <v>-30320.000000000011</v>
      </c>
      <c r="E411" s="10">
        <f t="shared" si="13"/>
        <v>15451.999999999991</v>
      </c>
      <c r="F411" s="10" t="str">
        <f>IF(A411=$J$22,"",IF(E411&lt;$J$20,$J$19-E411,""))</f>
        <v/>
      </c>
    </row>
    <row r="412" spans="1:6">
      <c r="A412" s="11">
        <v>46140</v>
      </c>
      <c r="B412" s="10">
        <v>78.680000000000007</v>
      </c>
      <c r="C412" s="10">
        <f>(B411-B412)*$J$15*$J$16</f>
        <v>-840.00000000000341</v>
      </c>
      <c r="D412" s="10">
        <f t="shared" si="12"/>
        <v>-31160.000000000015</v>
      </c>
      <c r="E412" s="10">
        <f t="shared" si="13"/>
        <v>14611.999999999987</v>
      </c>
      <c r="F412" s="10">
        <f>IF(A412=$J$22,"",IF(E412&lt;$J$20,$J$19-E412,""))</f>
        <v>1640.0000000000127</v>
      </c>
    </row>
    <row r="413" spans="1:6">
      <c r="A413" s="11">
        <v>46141</v>
      </c>
      <c r="B413" s="10">
        <v>79.489999999999995</v>
      </c>
      <c r="C413" s="10">
        <f>(B412-B413)*$J$15*$J$16</f>
        <v>-1619.9999999999761</v>
      </c>
      <c r="D413" s="10">
        <f t="shared" si="12"/>
        <v>-32779.999999999993</v>
      </c>
      <c r="E413" s="10">
        <f t="shared" si="13"/>
        <v>14632.000000000024</v>
      </c>
      <c r="F413" s="10">
        <f>IF(A413=$J$22,"",IF(E413&lt;$J$20,$J$19-E413,""))</f>
        <v>1619.9999999999764</v>
      </c>
    </row>
    <row r="414" spans="1:6" hidden="1">
      <c r="A414" s="11">
        <v>46142</v>
      </c>
      <c r="B414" s="10">
        <v>80.209999999999994</v>
      </c>
      <c r="C414" s="10">
        <f>(B413-B414)*$J$15*$J$16</f>
        <v>-1439.9999999999977</v>
      </c>
      <c r="D414" s="10">
        <f t="shared" si="12"/>
        <v>-34219.999999999993</v>
      </c>
      <c r="E414" s="10">
        <f t="shared" si="13"/>
        <v>14812.000000000002</v>
      </c>
      <c r="F414" s="10" t="str">
        <f>IF(A414=$J$22,"",IF(E414&lt;$J$20,$J$19-E414,""))</f>
        <v/>
      </c>
    </row>
    <row r="415" spans="1:6" hidden="1">
      <c r="A415" s="11">
        <v>46143</v>
      </c>
      <c r="B415" s="10">
        <v>79.53</v>
      </c>
      <c r="C415" s="10">
        <f>(B414-B415)*$J$15*$J$16</f>
        <v>1359.9999999999852</v>
      </c>
      <c r="D415" s="10">
        <f t="shared" si="12"/>
        <v>-32860.000000000007</v>
      </c>
      <c r="E415" s="10">
        <f t="shared" si="13"/>
        <v>16171.999999999987</v>
      </c>
      <c r="F415" s="10" t="str">
        <f>IF(A415=$J$22,"",IF(E415&lt;$J$20,$J$19-E415,""))</f>
        <v/>
      </c>
    </row>
    <row r="416" spans="1:6">
      <c r="A416" s="11">
        <v>46146</v>
      </c>
      <c r="B416" s="10">
        <v>83.72</v>
      </c>
      <c r="C416" s="10">
        <f>(B415-B416)*$J$15*$J$16</f>
        <v>-8379.9999999999964</v>
      </c>
      <c r="D416" s="10">
        <f t="shared" si="12"/>
        <v>-41240</v>
      </c>
      <c r="E416" s="10">
        <f t="shared" si="13"/>
        <v>7791.9999999999909</v>
      </c>
      <c r="F416" s="10">
        <f>IF(A416=$J$22,"",IF(E416&lt;$J$20,$J$19-E416,""))</f>
        <v>8460.0000000000091</v>
      </c>
    </row>
    <row r="417" spans="1:6" hidden="1">
      <c r="A417" s="11">
        <v>46147</v>
      </c>
      <c r="B417" s="10">
        <v>81.790000000000006</v>
      </c>
      <c r="C417" s="10">
        <f>(B416-B417)*$J$15*$J$16</f>
        <v>3859.9999999999854</v>
      </c>
      <c r="D417" s="10">
        <f t="shared" si="12"/>
        <v>-37380.000000000015</v>
      </c>
      <c r="E417" s="10">
        <f t="shared" si="13"/>
        <v>20111.999999999985</v>
      </c>
      <c r="F417" s="10" t="str">
        <f>IF(A417=$J$22,"",IF(E417&lt;$J$20,$J$19-E417,""))</f>
        <v/>
      </c>
    </row>
    <row r="418" spans="1:6" hidden="1">
      <c r="A418" s="11">
        <v>46148</v>
      </c>
      <c r="B418" s="10">
        <v>77.069999999999993</v>
      </c>
      <c r="C418" s="10">
        <f>(B417-B418)*$J$15*$J$16</f>
        <v>9440.0000000000255</v>
      </c>
      <c r="D418" s="10">
        <f t="shared" si="12"/>
        <v>-27939.999999999989</v>
      </c>
      <c r="E418" s="10">
        <f t="shared" si="13"/>
        <v>29552.000000000011</v>
      </c>
      <c r="F418" s="10" t="str">
        <f>IF(A418=$J$22,"",IF(E418&lt;$J$20,$J$19-E418,""))</f>
        <v/>
      </c>
    </row>
    <row r="419" spans="1:6" hidden="1">
      <c r="A419" s="11">
        <v>46149</v>
      </c>
      <c r="B419" s="10">
        <v>77.55</v>
      </c>
      <c r="C419" s="10">
        <f>(B418-B419)*$J$15*$J$16</f>
        <v>-960.00000000000796</v>
      </c>
      <c r="D419" s="10">
        <f t="shared" si="12"/>
        <v>-28899.999999999996</v>
      </c>
      <c r="E419" s="10">
        <f t="shared" si="13"/>
        <v>28592.000000000004</v>
      </c>
      <c r="F419" s="10" t="str">
        <f>IF(A419=$J$22,"",IF(E419&lt;$J$20,$J$19-E419,""))</f>
        <v/>
      </c>
    </row>
    <row r="420" spans="1:6" hidden="1">
      <c r="A420" s="11">
        <v>46150</v>
      </c>
      <c r="B420" s="10">
        <v>79.37</v>
      </c>
      <c r="C420" s="10">
        <f>(B419-B420)*$J$15*$J$16</f>
        <v>-3640.0000000000146</v>
      </c>
      <c r="D420" s="10">
        <f t="shared" si="12"/>
        <v>-32540.000000000011</v>
      </c>
      <c r="E420" s="10">
        <f t="shared" si="13"/>
        <v>24951.999999999989</v>
      </c>
      <c r="F420" s="10" t="str">
        <f>IF(A420=$J$22,"",IF(E420&lt;$J$20,$J$19-E420,""))</f>
        <v/>
      </c>
    </row>
    <row r="421" spans="1:6" hidden="1">
      <c r="A421" s="11">
        <v>46153</v>
      </c>
      <c r="B421" s="10">
        <v>81.63</v>
      </c>
      <c r="C421" s="10">
        <f>(B420-B421)*$J$15*$J$16</f>
        <v>-4519.9999999999818</v>
      </c>
      <c r="D421" s="10">
        <f t="shared" si="12"/>
        <v>-37059.999999999993</v>
      </c>
      <c r="E421" s="10">
        <f t="shared" si="13"/>
        <v>20432.000000000007</v>
      </c>
      <c r="F421" s="10" t="str">
        <f>IF(A421=$J$22,"",IF(E421&lt;$J$20,$J$19-E421,""))</f>
        <v/>
      </c>
    </row>
    <row r="422" spans="1:6" hidden="1">
      <c r="A422" s="11">
        <v>46154</v>
      </c>
      <c r="B422" s="10">
        <v>83.63</v>
      </c>
      <c r="C422" s="10">
        <f>(B421-B422)*$J$15*$J$16</f>
        <v>-4000</v>
      </c>
      <c r="D422" s="10">
        <f t="shared" si="12"/>
        <v>-41059.999999999993</v>
      </c>
      <c r="E422" s="10">
        <f t="shared" si="13"/>
        <v>16432.000000000007</v>
      </c>
      <c r="F422" s="10" t="str">
        <f>IF(A422=$J$22,"",IF(E422&lt;$J$20,$J$19-E422,""))</f>
        <v/>
      </c>
    </row>
    <row r="423" spans="1:6" hidden="1">
      <c r="A423" s="11">
        <v>46155</v>
      </c>
      <c r="B423" s="10">
        <v>81.67</v>
      </c>
      <c r="C423" s="10">
        <f>(B422-B423)*$J$15*$J$16</f>
        <v>3919.9999999999873</v>
      </c>
      <c r="D423" s="10">
        <f t="shared" si="12"/>
        <v>-37140.000000000007</v>
      </c>
      <c r="E423" s="10">
        <f t="shared" si="13"/>
        <v>20351.999999999993</v>
      </c>
      <c r="F423" s="10" t="str">
        <f>IF(A423=$J$22,"",IF(E423&lt;$J$20,$J$19-E423,""))</f>
        <v/>
      </c>
    </row>
    <row r="424" spans="1:6" hidden="1">
      <c r="A424" s="11">
        <v>46156</v>
      </c>
      <c r="B424" s="10">
        <v>81.39</v>
      </c>
      <c r="C424" s="10">
        <f>(B423-B424)*$J$15*$J$16</f>
        <v>560.00000000000227</v>
      </c>
      <c r="D424" s="10">
        <f t="shared" si="12"/>
        <v>-36580.000000000007</v>
      </c>
      <c r="E424" s="10">
        <f t="shared" si="13"/>
        <v>20911.999999999996</v>
      </c>
      <c r="F424" s="10" t="str">
        <f>IF(A424=$J$22,"",IF(E424&lt;$J$20,$J$19-E424,""))</f>
        <v/>
      </c>
    </row>
    <row r="425" spans="1:6" hidden="1">
      <c r="A425" s="11">
        <v>46157</v>
      </c>
      <c r="B425" s="10">
        <v>83.42</v>
      </c>
      <c r="C425" s="10">
        <f>(B424-B425)*$J$15*$J$16</f>
        <v>-4060.0000000000023</v>
      </c>
      <c r="D425" s="10">
        <f t="shared" si="12"/>
        <v>-40640.000000000007</v>
      </c>
      <c r="E425" s="10">
        <f t="shared" si="13"/>
        <v>16851.999999999993</v>
      </c>
      <c r="F425" s="10" t="str">
        <f>IF(A425=$J$22,"",IF(E425&lt;$J$20,$J$19-E425,""))</f>
        <v/>
      </c>
    </row>
    <row r="426" spans="1:6">
      <c r="A426" s="11">
        <v>46160</v>
      </c>
      <c r="B426" s="10">
        <v>85.32</v>
      </c>
      <c r="C426" s="10">
        <f>(B425-B426)*$J$15*$J$16</f>
        <v>-3799.9999999999827</v>
      </c>
      <c r="D426" s="10">
        <f t="shared" si="12"/>
        <v>-44439.999999999993</v>
      </c>
      <c r="E426" s="10">
        <f t="shared" si="13"/>
        <v>13052.000000000011</v>
      </c>
      <c r="F426" s="10">
        <f>IF(A426=$J$22,"",IF(E426&lt;$J$20,$J$19-E426,""))</f>
        <v>3199.9999999999891</v>
      </c>
    </row>
    <row r="427" spans="1:6" hidden="1">
      <c r="A427" s="11">
        <v>46161</v>
      </c>
      <c r="B427" s="10">
        <v>84.74</v>
      </c>
      <c r="C427" s="10">
        <f>(B426-B427)*$J$15*$J$16</f>
        <v>1159.9999999999966</v>
      </c>
      <c r="D427" s="10">
        <f t="shared" si="12"/>
        <v>-43279.999999999993</v>
      </c>
      <c r="E427" s="10">
        <f t="shared" si="13"/>
        <v>17411.999999999996</v>
      </c>
      <c r="F427" s="10" t="str">
        <f>IF(A427=$J$22,"",IF(E427&lt;$J$20,$J$19-E427,""))</f>
        <v/>
      </c>
    </row>
    <row r="428" spans="1:6" hidden="1">
      <c r="A428" s="11">
        <v>46162</v>
      </c>
      <c r="B428" s="10">
        <v>81.45</v>
      </c>
      <c r="C428" s="10">
        <f>(B427-B428)*$J$15*$J$16</f>
        <v>6579.9999999999836</v>
      </c>
      <c r="D428" s="10">
        <f t="shared" si="12"/>
        <v>-36700.000000000007</v>
      </c>
      <c r="E428" s="10">
        <f t="shared" si="13"/>
        <v>23991.999999999978</v>
      </c>
      <c r="F428" s="10" t="str">
        <f>IF(A428=$J$22,"",IF(E428&lt;$J$20,$J$19-E428,""))</f>
        <v/>
      </c>
    </row>
    <row r="429" spans="1:6" hidden="1">
      <c r="A429" s="11">
        <v>46163</v>
      </c>
      <c r="B429" s="10">
        <v>81.19</v>
      </c>
      <c r="C429" s="10">
        <f>(B428-B429)*$J$15*$J$16</f>
        <v>520.00000000001023</v>
      </c>
      <c r="D429" s="10">
        <f t="shared" si="12"/>
        <v>-36180</v>
      </c>
      <c r="E429" s="10">
        <f t="shared" si="13"/>
        <v>24511.999999999989</v>
      </c>
      <c r="F429" s="10" t="str">
        <f>IF(A429=$J$22,"",IF(E429&lt;$J$20,$J$19-E429,""))</f>
        <v/>
      </c>
    </row>
    <row r="430" spans="1:6" hidden="1">
      <c r="A430" s="11">
        <v>46164</v>
      </c>
      <c r="B430" s="10">
        <v>81.430000000000007</v>
      </c>
      <c r="C430" s="10">
        <f>(B429-B430)*$J$15*$J$16</f>
        <v>-480.00000000001819</v>
      </c>
      <c r="D430" s="10">
        <f t="shared" si="12"/>
        <v>-36660.000000000015</v>
      </c>
      <c r="E430" s="10">
        <f t="shared" si="13"/>
        <v>24031.999999999971</v>
      </c>
      <c r="F430" s="10" t="str">
        <f>IF(A430=$J$22,"",IF(E430&lt;$J$20,$J$19-E430,""))</f>
        <v/>
      </c>
    </row>
    <row r="431" spans="1:6" hidden="1">
      <c r="A431" s="11">
        <v>46168</v>
      </c>
      <c r="B431" s="10">
        <v>80.010000000000005</v>
      </c>
      <c r="C431" s="10">
        <f>(B430-B431)*$J$15*$J$16</f>
        <v>2840.0000000000036</v>
      </c>
      <c r="D431" s="10">
        <f t="shared" si="12"/>
        <v>-33820.000000000015</v>
      </c>
      <c r="E431" s="10">
        <f t="shared" si="13"/>
        <v>26871.999999999975</v>
      </c>
      <c r="F431" s="10" t="str">
        <f>IF(A431=$J$22,"",IF(E431&lt;$J$20,$J$19-E431,""))</f>
        <v/>
      </c>
    </row>
    <row r="432" spans="1:6" hidden="1">
      <c r="A432" s="11">
        <v>46169</v>
      </c>
      <c r="B432" s="10">
        <v>78.069999999999993</v>
      </c>
      <c r="C432" s="10">
        <f>(B431-B432)*$J$15*$J$16</f>
        <v>3880.0000000000236</v>
      </c>
      <c r="D432" s="10">
        <f t="shared" si="12"/>
        <v>-29939.999999999993</v>
      </c>
      <c r="E432" s="10">
        <f t="shared" si="13"/>
        <v>30752</v>
      </c>
      <c r="F432" s="10" t="str">
        <f>IF(A432=$J$22,"",IF(E432&lt;$J$20,$J$19-E432,""))</f>
        <v/>
      </c>
    </row>
    <row r="433" spans="1:6" hidden="1">
      <c r="A433" s="11">
        <v>46170</v>
      </c>
      <c r="B433" s="10">
        <v>79.59</v>
      </c>
      <c r="C433" s="10">
        <f>(B432-B433)*$J$15*$J$16</f>
        <v>-3040.0000000000205</v>
      </c>
      <c r="D433" s="10">
        <f t="shared" si="12"/>
        <v>-32980.000000000015</v>
      </c>
      <c r="E433" s="10">
        <f t="shared" si="13"/>
        <v>27711.999999999978</v>
      </c>
      <c r="F433" s="10" t="str">
        <f>IF(A433=$J$22,"",IF(E433&lt;$J$20,$J$19-E433,""))</f>
        <v/>
      </c>
    </row>
    <row r="434" spans="1:6" hidden="1">
      <c r="A434" s="11">
        <v>46171</v>
      </c>
      <c r="B434" s="10">
        <v>78.290000000000006</v>
      </c>
      <c r="C434" s="10">
        <f>(B433-B434)*$J$15*$J$16</f>
        <v>2599.9999999999945</v>
      </c>
      <c r="D434" s="10">
        <f t="shared" si="12"/>
        <v>-30380.000000000022</v>
      </c>
      <c r="E434" s="10">
        <f t="shared" si="13"/>
        <v>30311.999999999971</v>
      </c>
      <c r="F434" s="10" t="str">
        <f>IF(A434=$J$22,"",IF(E434&lt;$J$20,$J$19-E434,""))</f>
        <v/>
      </c>
    </row>
    <row r="435" spans="1:6" hidden="1">
      <c r="A435" s="11">
        <v>46174</v>
      </c>
      <c r="B435" s="10">
        <v>80.23</v>
      </c>
      <c r="C435" s="10">
        <f>(B434-B435)*$J$15*$J$16</f>
        <v>-3879.9999999999955</v>
      </c>
      <c r="D435" s="10">
        <f t="shared" si="12"/>
        <v>-34260.000000000015</v>
      </c>
      <c r="E435" s="10">
        <f t="shared" si="13"/>
        <v>26431.999999999975</v>
      </c>
      <c r="F435" s="10" t="str">
        <f>IF(A435=$J$22,"",IF(E435&lt;$J$20,$J$19-E435,""))</f>
        <v/>
      </c>
    </row>
    <row r="436" spans="1:6" hidden="1">
      <c r="A436" s="11">
        <v>46175</v>
      </c>
      <c r="B436" s="10">
        <v>80.959999999999994</v>
      </c>
      <c r="C436" s="10">
        <f>(B435-B436)*$J$15*$J$16</f>
        <v>-1459.9999999999795</v>
      </c>
      <c r="D436" s="10">
        <f t="shared" si="12"/>
        <v>-35719.999999999993</v>
      </c>
      <c r="E436" s="10">
        <f t="shared" si="13"/>
        <v>24971.999999999996</v>
      </c>
      <c r="F436" s="10" t="str">
        <f>IF(A436=$J$22,"",IF(E436&lt;$J$20,$J$19-E436,""))</f>
        <v/>
      </c>
    </row>
    <row r="437" spans="1:6" hidden="1">
      <c r="A437" s="11">
        <v>46176</v>
      </c>
      <c r="B437" s="10">
        <v>82.42</v>
      </c>
      <c r="C437" s="10">
        <f>(B436-B437)*$J$15*$J$16</f>
        <v>-2920.0000000000159</v>
      </c>
      <c r="D437" s="10">
        <f t="shared" si="12"/>
        <v>-38640.000000000007</v>
      </c>
      <c r="E437" s="10">
        <f t="shared" si="13"/>
        <v>22051.999999999982</v>
      </c>
      <c r="F437" s="10" t="str">
        <f>IF(A437=$J$22,"",IF(E437&lt;$J$20,$J$19-E437,""))</f>
        <v/>
      </c>
    </row>
    <row r="438" spans="1:6" hidden="1">
      <c r="A438" s="11">
        <v>46177</v>
      </c>
      <c r="B438" s="10">
        <v>80.459999999999994</v>
      </c>
      <c r="C438" s="10">
        <f>(B437-B438)*$J$15*$J$16</f>
        <v>3920.0000000000159</v>
      </c>
      <c r="D438" s="10">
        <f t="shared" si="12"/>
        <v>-34719.999999999993</v>
      </c>
      <c r="E438" s="10">
        <f t="shared" si="13"/>
        <v>25971.999999999996</v>
      </c>
      <c r="F438" s="10" t="str">
        <f>IF(A438=$J$22,"",IF(E438&lt;$J$20,$J$19-E438,""))</f>
        <v/>
      </c>
    </row>
    <row r="439" spans="1:6" hidden="1">
      <c r="A439" s="11">
        <v>46178</v>
      </c>
      <c r="B439" s="10">
        <v>79.459999999999994</v>
      </c>
      <c r="C439" s="10">
        <f>(B438-B439)*$J$15*$J$16</f>
        <v>2000</v>
      </c>
      <c r="D439" s="10">
        <f t="shared" si="12"/>
        <v>-32719.999999999993</v>
      </c>
      <c r="E439" s="10">
        <f t="shared" si="13"/>
        <v>27971.999999999996</v>
      </c>
      <c r="F439" s="10" t="str">
        <f>IF(A439=$J$22,"",IF(E439&lt;$J$20,$J$19-E439,""))</f>
        <v/>
      </c>
    </row>
    <row r="440" spans="1:6" hidden="1">
      <c r="A440" s="11">
        <v>46181</v>
      </c>
      <c r="B440" s="10">
        <v>81.45</v>
      </c>
      <c r="C440" s="10">
        <f>(B439-B440)*$J$15*$J$16</f>
        <v>-3980.0000000000182</v>
      </c>
      <c r="D440" s="10">
        <f t="shared" si="12"/>
        <v>-36700.000000000015</v>
      </c>
      <c r="E440" s="10">
        <f t="shared" si="13"/>
        <v>23991.999999999978</v>
      </c>
      <c r="F440" s="10" t="str">
        <f>IF(A440=$J$22,"",IF(E440&lt;$J$20,$J$19-E440,""))</f>
        <v/>
      </c>
    </row>
    <row r="441" spans="1:6" hidden="1">
      <c r="A441" s="11">
        <v>46182</v>
      </c>
      <c r="B441" s="10">
        <v>80.06</v>
      </c>
      <c r="C441" s="10">
        <f>(B440-B441)*$J$15*$J$16</f>
        <v>2780.0000000000009</v>
      </c>
      <c r="D441" s="10">
        <f t="shared" si="12"/>
        <v>-33920.000000000015</v>
      </c>
      <c r="E441" s="10">
        <f t="shared" si="13"/>
        <v>26771.999999999978</v>
      </c>
      <c r="F441" s="10" t="str">
        <f>IF(A441=$J$22,"",IF(E441&lt;$J$20,$J$19-E441,""))</f>
        <v/>
      </c>
    </row>
    <row r="442" spans="1:6" hidden="1">
      <c r="A442" s="11">
        <v>46183</v>
      </c>
      <c r="B442" s="10">
        <v>81.52</v>
      </c>
      <c r="C442" s="10">
        <f>(B441-B442)*$J$15*$J$16</f>
        <v>-2919.9999999999873</v>
      </c>
      <c r="D442" s="10">
        <f t="shared" si="12"/>
        <v>-36840</v>
      </c>
      <c r="E442" s="10">
        <f t="shared" si="13"/>
        <v>23851.999999999993</v>
      </c>
      <c r="F442" s="10" t="str">
        <f>IF(A442=$J$22,"",IF(E442&lt;$J$20,$J$19-E442,""))</f>
        <v/>
      </c>
    </row>
    <row r="443" spans="1:6" hidden="1">
      <c r="A443" s="11">
        <v>46184</v>
      </c>
      <c r="B443" s="10">
        <v>80.31</v>
      </c>
      <c r="C443" s="10">
        <f>(B442-B443)*$J$15*$J$16</f>
        <v>2419.9999999999873</v>
      </c>
      <c r="D443" s="10">
        <f t="shared" si="12"/>
        <v>-34420.000000000015</v>
      </c>
      <c r="E443" s="10">
        <f t="shared" si="13"/>
        <v>26271.999999999978</v>
      </c>
      <c r="F443" s="10" t="str">
        <f>IF(A443=$J$22,"",IF(E443&lt;$J$20,$J$19-E443,""))</f>
        <v/>
      </c>
    </row>
    <row r="444" spans="1:6" hidden="1">
      <c r="A444" s="11">
        <v>46185</v>
      </c>
      <c r="B444" s="10">
        <v>77.41</v>
      </c>
      <c r="C444" s="10">
        <f>(B443-B444)*$J$15*$J$16</f>
        <v>5800.0000000000109</v>
      </c>
      <c r="D444" s="10">
        <f t="shared" si="12"/>
        <v>-28620.000000000004</v>
      </c>
      <c r="E444" s="10">
        <f t="shared" si="13"/>
        <v>32071.999999999989</v>
      </c>
      <c r="F444" s="10" t="str">
        <f>IF(A444=$J$22,"",IF(E444&lt;$J$20,$J$19-E444,""))</f>
        <v/>
      </c>
    </row>
    <row r="445" spans="1:6" hidden="1">
      <c r="A445" s="11">
        <v>46188</v>
      </c>
      <c r="B445" s="10">
        <v>74.72</v>
      </c>
      <c r="C445" s="10">
        <f>(B444-B445)*$J$15*$J$16</f>
        <v>5379.9999999999955</v>
      </c>
      <c r="D445" s="10">
        <f t="shared" si="12"/>
        <v>-23240.000000000007</v>
      </c>
      <c r="E445" s="10">
        <f t="shared" si="13"/>
        <v>37451.999999999985</v>
      </c>
      <c r="F445" s="10" t="str">
        <f>IF(A445=$J$22,"",IF(E445&lt;$J$20,$J$19-E445,""))</f>
        <v/>
      </c>
    </row>
    <row r="446" spans="1:6" hidden="1">
      <c r="A446" s="11">
        <v>46189</v>
      </c>
      <c r="B446" s="10">
        <v>72.5</v>
      </c>
      <c r="C446" s="10">
        <f>(B445-B446)*$J$15*$J$16</f>
        <v>4439.9999999999982</v>
      </c>
      <c r="D446" s="10">
        <f t="shared" si="12"/>
        <v>-18800.000000000007</v>
      </c>
      <c r="E446" s="10">
        <f t="shared" si="13"/>
        <v>41891.999999999985</v>
      </c>
      <c r="F446" s="10" t="str">
        <f>IF(A446=$J$22,"",IF(E446&lt;$J$20,$J$19-E446,""))</f>
        <v/>
      </c>
    </row>
    <row r="447" spans="1:6" hidden="1">
      <c r="A447" s="11">
        <v>46190</v>
      </c>
      <c r="B447" s="10">
        <v>72.569999999999993</v>
      </c>
      <c r="C447" s="10">
        <f>(B446-B447)*$J$15*$J$16</f>
        <v>-139.99999999998636</v>
      </c>
      <c r="D447" s="10">
        <f t="shared" si="12"/>
        <v>-18939.999999999993</v>
      </c>
      <c r="E447" s="10">
        <f t="shared" si="13"/>
        <v>41752</v>
      </c>
      <c r="F447" s="10" t="str">
        <f>IF(A447=$J$22,"",IF(E447&lt;$J$20,$J$19-E447,""))</f>
        <v/>
      </c>
    </row>
    <row r="448" spans="1:6" hidden="1">
      <c r="A448" s="11">
        <v>46191</v>
      </c>
      <c r="B448" s="10">
        <v>72.489999999999995</v>
      </c>
      <c r="C448" s="10">
        <f>(B447-B448)*$J$15*$J$16</f>
        <v>159.99999999999659</v>
      </c>
      <c r="D448" s="10">
        <f t="shared" si="12"/>
        <v>-18779.999999999996</v>
      </c>
      <c r="E448" s="10">
        <f t="shared" si="13"/>
        <v>41912</v>
      </c>
      <c r="F448" s="10" t="str">
        <f>IF(A448=$J$22,"",IF(E448&lt;$J$20,$J$19-E448,""))</f>
        <v/>
      </c>
    </row>
    <row r="449" spans="1:6" hidden="1">
      <c r="A449" s="11">
        <v>46195</v>
      </c>
      <c r="B449" s="10">
        <v>70.989999999999995</v>
      </c>
      <c r="C449" s="10">
        <f>(B448-B449)*$J$15*$J$16</f>
        <v>3000</v>
      </c>
      <c r="D449" s="10">
        <f t="shared" si="12"/>
        <v>-15779.999999999996</v>
      </c>
      <c r="E449" s="10">
        <f t="shared" si="13"/>
        <v>44912</v>
      </c>
      <c r="F449" s="10" t="str">
        <f>IF(A449=$J$22,"",IF(E449&lt;$J$20,$J$19-E449,""))</f>
        <v/>
      </c>
    </row>
    <row r="450" spans="1:6" hidden="1">
      <c r="A450" s="11">
        <v>46196</v>
      </c>
      <c r="B450" s="10">
        <v>70.73</v>
      </c>
      <c r="C450" s="10">
        <f>(B449-B450)*$J$15*$J$16</f>
        <v>519.99999999998181</v>
      </c>
      <c r="D450" s="10">
        <f t="shared" si="12"/>
        <v>-15260.000000000015</v>
      </c>
      <c r="E450" s="10">
        <f t="shared" si="13"/>
        <v>45431.999999999985</v>
      </c>
      <c r="F450" s="10" t="str">
        <f>IF(A450=$J$22,"",IF(E450&lt;$J$20,$J$19-E450,""))</f>
        <v/>
      </c>
    </row>
    <row r="451" spans="1:6" hidden="1">
      <c r="A451" s="11">
        <v>46197</v>
      </c>
      <c r="B451" s="10">
        <v>68.510000000000005</v>
      </c>
      <c r="C451" s="10">
        <f>(B450-B451)*$J$15*$J$16</f>
        <v>4439.9999999999982</v>
      </c>
      <c r="D451" s="10">
        <f t="shared" ref="D451:D482" si="14">D450+C451</f>
        <v>-10820.000000000016</v>
      </c>
      <c r="E451" s="10">
        <f t="shared" ref="E451:E511" si="15">E450+IF(F450="",0,F450)+C451</f>
        <v>49871.999999999985</v>
      </c>
      <c r="F451" s="10" t="str">
        <f>IF(A451=$J$22,"",IF(E451&lt;$J$20,$J$19-E451,""))</f>
        <v/>
      </c>
    </row>
    <row r="452" spans="1:6" hidden="1">
      <c r="A452" s="11">
        <v>46198</v>
      </c>
      <c r="B452" s="10">
        <v>69.989999999999995</v>
      </c>
      <c r="C452" s="10">
        <f>(B451-B452)*$J$15*$J$16</f>
        <v>-2959.9999999999795</v>
      </c>
      <c r="D452" s="10">
        <f t="shared" si="14"/>
        <v>-13779.999999999996</v>
      </c>
      <c r="E452" s="10">
        <f t="shared" si="15"/>
        <v>46912.000000000007</v>
      </c>
      <c r="F452" s="10" t="str">
        <f>IF(A452=$J$22,"",IF(E452&lt;$J$20,$J$19-E452,""))</f>
        <v/>
      </c>
    </row>
    <row r="453" spans="1:6" hidden="1">
      <c r="A453" s="11">
        <v>46199</v>
      </c>
      <c r="B453" s="10">
        <v>67.900000000000006</v>
      </c>
      <c r="C453" s="10">
        <f>(B452-B453)*$J$15*$J$16</f>
        <v>4179.9999999999782</v>
      </c>
      <c r="D453" s="10">
        <f t="shared" si="14"/>
        <v>-9600.0000000000182</v>
      </c>
      <c r="E453" s="10">
        <f t="shared" si="15"/>
        <v>51091.999999999985</v>
      </c>
      <c r="F453" s="10" t="str">
        <f>IF(A453=$J$22,"",IF(E453&lt;$J$20,$J$19-E453,""))</f>
        <v/>
      </c>
    </row>
    <row r="454" spans="1:6" hidden="1">
      <c r="A454" s="11">
        <v>46202</v>
      </c>
      <c r="B454" s="10">
        <v>69.13</v>
      </c>
      <c r="C454" s="10">
        <f>(B453-B454)*$J$15*$J$16</f>
        <v>-2459.9999999999795</v>
      </c>
      <c r="D454" s="10">
        <f t="shared" si="14"/>
        <v>-12059.999999999998</v>
      </c>
      <c r="E454" s="10">
        <f t="shared" si="15"/>
        <v>48632.000000000007</v>
      </c>
      <c r="F454" s="10" t="str">
        <f>IF(A454=$J$22,"",IF(E454&lt;$J$20,$J$19-E454,""))</f>
        <v/>
      </c>
    </row>
    <row r="455" spans="1:6" hidden="1">
      <c r="A455" s="11">
        <v>46203</v>
      </c>
      <c r="B455" s="10">
        <v>68.349999999999994</v>
      </c>
      <c r="C455" s="10">
        <f>(B454-B455)*$J$15*$J$16</f>
        <v>1560.0000000000023</v>
      </c>
      <c r="D455" s="10">
        <f t="shared" si="14"/>
        <v>-10499.999999999996</v>
      </c>
      <c r="E455" s="10">
        <f t="shared" si="15"/>
        <v>50192.000000000007</v>
      </c>
      <c r="F455" s="10" t="str">
        <f>IF(A455=$J$22,"",IF(E455&lt;$J$20,$J$19-E455,""))</f>
        <v/>
      </c>
    </row>
    <row r="456" spans="1:6" hidden="1">
      <c r="A456" s="11">
        <v>46204</v>
      </c>
      <c r="B456" s="10">
        <v>68.13</v>
      </c>
      <c r="C456" s="10">
        <f>(B455-B456)*$J$15*$J$16</f>
        <v>439.99999999999773</v>
      </c>
      <c r="D456" s="10">
        <f t="shared" si="14"/>
        <v>-10059.999999999998</v>
      </c>
      <c r="E456" s="10">
        <f t="shared" si="15"/>
        <v>50632.000000000007</v>
      </c>
      <c r="F456" s="10" t="str">
        <f>IF(A456=$J$22,"",IF(E456&lt;$J$20,$J$19-E456,""))</f>
        <v/>
      </c>
    </row>
    <row r="457" spans="1:6" hidden="1">
      <c r="A457" s="11">
        <v>46205</v>
      </c>
      <c r="B457" s="10">
        <v>68.34</v>
      </c>
      <c r="C457" s="10">
        <f>(B456-B457)*$J$15*$J$16</f>
        <v>-420.00000000001592</v>
      </c>
      <c r="D457" s="10">
        <f t="shared" si="14"/>
        <v>-10480.000000000015</v>
      </c>
      <c r="E457" s="10">
        <f t="shared" si="15"/>
        <v>50211.999999999993</v>
      </c>
      <c r="F457" s="10" t="str">
        <f>IF(A457=$J$22,"",IF(E457&lt;$J$20,$J$19-E457,""))</f>
        <v/>
      </c>
    </row>
    <row r="458" spans="1:6" hidden="1">
      <c r="A458" s="11">
        <v>46209</v>
      </c>
      <c r="B458" s="10">
        <v>68.430000000000007</v>
      </c>
      <c r="C458" s="10">
        <f>(B457-B458)*$J$15*$J$16</f>
        <v>-180.00000000000682</v>
      </c>
      <c r="D458" s="10">
        <f t="shared" si="14"/>
        <v>-10660.000000000022</v>
      </c>
      <c r="E458" s="10">
        <f t="shared" si="15"/>
        <v>50031.999999999985</v>
      </c>
      <c r="F458" s="10" t="str">
        <f>IF(A458=$J$22,"",IF(E458&lt;$J$20,$J$19-E458,""))</f>
        <v/>
      </c>
    </row>
    <row r="459" spans="1:6" hidden="1">
      <c r="A459" s="11">
        <v>46210</v>
      </c>
      <c r="B459" s="10">
        <v>69.73</v>
      </c>
      <c r="C459" s="10">
        <f>(B458-B459)*$J$15*$J$16</f>
        <v>-2599.9999999999945</v>
      </c>
      <c r="D459" s="10">
        <f t="shared" si="14"/>
        <v>-13260.000000000016</v>
      </c>
      <c r="E459" s="10">
        <f t="shared" si="15"/>
        <v>47431.999999999993</v>
      </c>
      <c r="F459" s="10" t="str">
        <f>IF(A459=$J$22,"",IF(E459&lt;$J$20,$J$19-E459,""))</f>
        <v/>
      </c>
    </row>
    <row r="460" spans="1:6" hidden="1">
      <c r="A460" s="11">
        <v>46211</v>
      </c>
      <c r="B460" s="10">
        <v>71.72</v>
      </c>
      <c r="C460" s="10">
        <f>(B459-B460)*$J$15*$J$16</f>
        <v>-3979.99999999999</v>
      </c>
      <c r="D460" s="10">
        <f t="shared" si="14"/>
        <v>-17240.000000000007</v>
      </c>
      <c r="E460" s="10">
        <f t="shared" si="15"/>
        <v>43452</v>
      </c>
      <c r="F460" s="10" t="str">
        <f>IF(A460=$J$22,"",IF(E460&lt;$J$20,$J$19-E460,""))</f>
        <v/>
      </c>
    </row>
    <row r="461" spans="1:6" hidden="1">
      <c r="A461" s="11">
        <v>46212</v>
      </c>
      <c r="B461" s="10">
        <v>70.790000000000006</v>
      </c>
      <c r="C461" s="10">
        <f>(B460-B461)*$J$15*$J$16</f>
        <v>1859.9999999999852</v>
      </c>
      <c r="D461" s="10">
        <f t="shared" si="14"/>
        <v>-15380.000000000022</v>
      </c>
      <c r="E461" s="10">
        <f t="shared" si="15"/>
        <v>45311.999999999985</v>
      </c>
      <c r="F461" s="10" t="str">
        <f>IF(A461=$J$22,"",IF(E461&lt;$J$20,$J$19-E461,""))</f>
        <v/>
      </c>
    </row>
    <row r="462" spans="1:6" hidden="1">
      <c r="A462" s="11">
        <v>46213</v>
      </c>
      <c r="B462" s="10">
        <v>70.62</v>
      </c>
      <c r="C462" s="10">
        <f>(B461-B462)*$J$15*$J$16</f>
        <v>340.00000000000341</v>
      </c>
      <c r="D462" s="10">
        <f t="shared" si="14"/>
        <v>-15040.000000000018</v>
      </c>
      <c r="E462" s="10">
        <f t="shared" si="15"/>
        <v>45651.999999999985</v>
      </c>
      <c r="F462" s="10" t="str">
        <f>IF(A462=$J$22,"",IF(E462&lt;$J$20,$J$19-E462,""))</f>
        <v/>
      </c>
    </row>
    <row r="463" spans="1:6" hidden="1">
      <c r="A463" s="11">
        <v>46216</v>
      </c>
      <c r="B463" s="10">
        <v>75.61</v>
      </c>
      <c r="C463" s="10">
        <f>(B462-B463)*$J$15*$J$16</f>
        <v>-9979.9999999999891</v>
      </c>
      <c r="D463" s="10">
        <f t="shared" si="14"/>
        <v>-25020.000000000007</v>
      </c>
      <c r="E463" s="10">
        <f t="shared" si="15"/>
        <v>35672</v>
      </c>
      <c r="F463" s="10" t="str">
        <f>IF(A463=$J$22,"",IF(E463&lt;$J$20,$J$19-E463,""))</f>
        <v/>
      </c>
    </row>
    <row r="464" spans="1:6" hidden="1">
      <c r="A464" s="11">
        <v>46217</v>
      </c>
      <c r="B464" s="10">
        <v>75.34</v>
      </c>
      <c r="C464" s="10">
        <f>(B463-B464)*$J$15*$J$16</f>
        <v>539.99999999999204</v>
      </c>
      <c r="D464" s="10">
        <f t="shared" si="14"/>
        <v>-24480.000000000015</v>
      </c>
      <c r="E464" s="10">
        <f t="shared" si="15"/>
        <v>36211.999999999993</v>
      </c>
      <c r="F464" s="10" t="str">
        <f>IF(A464=$J$22,"",IF(E464&lt;$J$20,$J$19-E464,""))</f>
        <v/>
      </c>
    </row>
    <row r="465" spans="1:6" hidden="1">
      <c r="A465" s="11">
        <v>46218</v>
      </c>
      <c r="B465" s="10">
        <v>75.88</v>
      </c>
      <c r="C465" s="10">
        <f>(B464-B465)*$J$15*$J$16</f>
        <v>-1079.9999999999841</v>
      </c>
      <c r="D465" s="10">
        <f t="shared" si="14"/>
        <v>-25560</v>
      </c>
      <c r="E465" s="10">
        <f t="shared" si="15"/>
        <v>35132.000000000007</v>
      </c>
      <c r="F465" s="10" t="str">
        <f>IF(A465=$J$22,"",IF(E465&lt;$J$20,$J$19-E465,""))</f>
        <v/>
      </c>
    </row>
    <row r="466" spans="1:6" hidden="1">
      <c r="A466" s="11">
        <v>46219</v>
      </c>
      <c r="B466" s="10">
        <v>75.430000000000007</v>
      </c>
      <c r="C466" s="10">
        <f>(B465-B466)*$J$15*$J$16</f>
        <v>899.99999999997726</v>
      </c>
      <c r="D466" s="10">
        <f t="shared" si="14"/>
        <v>-24660.000000000022</v>
      </c>
      <c r="E466" s="10">
        <f t="shared" si="15"/>
        <v>36031.999999999985</v>
      </c>
      <c r="F466" s="10" t="str">
        <f>IF(A466=$J$22,"",IF(E466&lt;$J$20,$J$19-E466,""))</f>
        <v/>
      </c>
    </row>
    <row r="467" spans="1:6" hidden="1">
      <c r="A467" s="11">
        <v>46220</v>
      </c>
      <c r="B467" s="10">
        <v>77.650000000000006</v>
      </c>
      <c r="C467" s="10">
        <f>(B466-B467)*$J$15*$J$16</f>
        <v>-4439.9999999999982</v>
      </c>
      <c r="D467" s="10">
        <f t="shared" si="14"/>
        <v>-29100.000000000022</v>
      </c>
      <c r="E467" s="10">
        <f t="shared" si="15"/>
        <v>31591.999999999985</v>
      </c>
      <c r="F467" s="10" t="str">
        <f>IF(A467=$J$22,"",IF(E467&lt;$J$20,$J$19-E467,""))</f>
        <v/>
      </c>
    </row>
    <row r="468" spans="1:6" hidden="1">
      <c r="A468" s="11">
        <v>46223</v>
      </c>
      <c r="B468" s="10">
        <v>77.83</v>
      </c>
      <c r="C468" s="10">
        <f>(B467-B468)*$J$15*$J$16</f>
        <v>-359.99999999998522</v>
      </c>
      <c r="D468" s="10">
        <f t="shared" si="14"/>
        <v>-29460.000000000007</v>
      </c>
      <c r="E468" s="10">
        <f t="shared" si="15"/>
        <v>31232</v>
      </c>
      <c r="F468" s="10" t="str">
        <f>IF(A468=$J$22,"",IF(E468&lt;$J$20,$J$19-E468,""))</f>
        <v/>
      </c>
    </row>
    <row r="469" spans="1:6" hidden="1">
      <c r="A469" s="11">
        <v>46224</v>
      </c>
      <c r="B469" s="10">
        <v>78.239999999999995</v>
      </c>
      <c r="C469" s="10">
        <f>(B468-B469)*$J$15*$J$16</f>
        <v>-819.99999999999318</v>
      </c>
      <c r="D469" s="10">
        <f t="shared" si="14"/>
        <v>-30280</v>
      </c>
      <c r="E469" s="10">
        <f t="shared" si="15"/>
        <v>30412.000000000007</v>
      </c>
      <c r="F469" s="10" t="str">
        <f>IF(A469=$J$22,"",IF(E469&lt;$J$20,$J$19-E469,""))</f>
        <v/>
      </c>
    </row>
    <row r="470" spans="1:6" hidden="1">
      <c r="A470" s="11">
        <v>46225</v>
      </c>
      <c r="B470" s="10">
        <v>78.64</v>
      </c>
      <c r="C470" s="10">
        <f>(B469-B470)*$J$15*$J$16</f>
        <v>-800.00000000001137</v>
      </c>
      <c r="D470" s="10">
        <f t="shared" si="14"/>
        <v>-31080.000000000011</v>
      </c>
      <c r="E470" s="10">
        <f t="shared" si="15"/>
        <v>29611.999999999996</v>
      </c>
      <c r="F470" s="10" t="str">
        <f>IF(A470=$J$22,"",IF(E470&lt;$J$20,$J$19-E470,""))</f>
        <v/>
      </c>
    </row>
    <row r="471" spans="1:6" hidden="1">
      <c r="A471" s="11">
        <v>46226</v>
      </c>
      <c r="B471" s="10">
        <v>80.099999999999994</v>
      </c>
      <c r="C471" s="10">
        <f>(B470-B471)*$J$15*$J$16</f>
        <v>-2919.9999999999873</v>
      </c>
      <c r="D471" s="10">
        <f t="shared" si="14"/>
        <v>-34000</v>
      </c>
      <c r="E471" s="10">
        <f t="shared" si="15"/>
        <v>26692.000000000007</v>
      </c>
      <c r="F471" s="10" t="str">
        <f>IF(A471=$J$22,"",IF(E471&lt;$J$20,$J$19-E471,""))</f>
        <v/>
      </c>
    </row>
    <row r="472" spans="1:6" hidden="1">
      <c r="A472" s="11">
        <v>46227</v>
      </c>
      <c r="B472" s="10">
        <v>79.33</v>
      </c>
      <c r="C472" s="10">
        <f>(B471-B472)*$J$15*$J$16</f>
        <v>1539.999999999992</v>
      </c>
      <c r="D472" s="10">
        <f t="shared" si="14"/>
        <v>-32460.000000000007</v>
      </c>
      <c r="E472" s="10">
        <f t="shared" si="15"/>
        <v>28232</v>
      </c>
      <c r="F472" s="10" t="str">
        <f>IF(A472=$J$22,"",IF(E472&lt;$J$20,$J$19-E472,""))</f>
        <v/>
      </c>
    </row>
    <row r="473" spans="1:6" hidden="1">
      <c r="A473" s="11">
        <v>46230</v>
      </c>
      <c r="B473" s="10">
        <v>76.53</v>
      </c>
      <c r="C473" s="10">
        <f>(B472-B473)*$J$15*$J$16</f>
        <v>5599.9999999999945</v>
      </c>
      <c r="D473" s="10">
        <f t="shared" si="14"/>
        <v>-26860.000000000015</v>
      </c>
      <c r="E473" s="10">
        <f t="shared" si="15"/>
        <v>33831.999999999993</v>
      </c>
      <c r="F473" s="10" t="str">
        <f>IF(A473=$J$22,"",IF(E473&lt;$J$20,$J$19-E473,""))</f>
        <v/>
      </c>
    </row>
    <row r="474" spans="1:6" hidden="1">
      <c r="A474" s="11">
        <v>46231</v>
      </c>
      <c r="B474" s="10">
        <v>73.849999999999994</v>
      </c>
      <c r="C474" s="10">
        <f>(B473-B474)*$J$15*$J$16</f>
        <v>5360.0000000000136</v>
      </c>
      <c r="D474" s="10">
        <f t="shared" si="14"/>
        <v>-21500</v>
      </c>
      <c r="E474" s="10">
        <f t="shared" si="15"/>
        <v>39192.000000000007</v>
      </c>
      <c r="F474" s="10" t="str">
        <f>IF(A474=$J$22,"",IF(E474&lt;$J$20,$J$19-E474,""))</f>
        <v/>
      </c>
    </row>
    <row r="475" spans="1:6" hidden="1">
      <c r="A475" s="11">
        <v>46232</v>
      </c>
      <c r="B475" s="10">
        <v>77.739999999999995</v>
      </c>
      <c r="C475" s="10">
        <f>(B474-B475)*$J$15*$J$16</f>
        <v>-7780.0000000000009</v>
      </c>
      <c r="D475" s="10">
        <f t="shared" si="14"/>
        <v>-29280</v>
      </c>
      <c r="E475" s="10">
        <f t="shared" si="15"/>
        <v>31412.000000000007</v>
      </c>
      <c r="F475" s="10" t="str">
        <f>IF(A475=$J$22,"",IF(E475&lt;$J$20,$J$19-E475,""))</f>
        <v/>
      </c>
    </row>
    <row r="476" spans="1:6" hidden="1">
      <c r="A476" s="11">
        <v>46233</v>
      </c>
      <c r="B476" s="10">
        <v>76.12</v>
      </c>
      <c r="C476" s="10">
        <f>(B475-B476)*$J$15*$J$16</f>
        <v>3239.9999999999809</v>
      </c>
      <c r="D476" s="10">
        <f t="shared" si="14"/>
        <v>-26040.000000000018</v>
      </c>
      <c r="E476" s="10">
        <f t="shared" si="15"/>
        <v>34651.999999999985</v>
      </c>
      <c r="F476" s="10" t="str">
        <f>IF(A476=$J$22,"",IF(E476&lt;$J$20,$J$19-E476,""))</f>
        <v/>
      </c>
    </row>
    <row r="477" spans="1:6" hidden="1">
      <c r="A477" s="11">
        <v>46234</v>
      </c>
      <c r="B477" s="10">
        <v>76.44</v>
      </c>
      <c r="C477" s="10">
        <f>(B476-B477)*$J$15*$J$16</f>
        <v>-639.99999999998636</v>
      </c>
      <c r="D477" s="10">
        <f t="shared" si="14"/>
        <v>-26680.000000000004</v>
      </c>
      <c r="E477" s="10">
        <f t="shared" si="15"/>
        <v>34012</v>
      </c>
      <c r="F477" s="10" t="str">
        <f>IF(A477=$J$22,"",IF(E477&lt;$J$20,$J$19-E477,""))</f>
        <v/>
      </c>
    </row>
    <row r="478" spans="1:6" hidden="1">
      <c r="A478" s="11">
        <v>46237</v>
      </c>
      <c r="B478" s="10">
        <v>73.94</v>
      </c>
      <c r="C478" s="10">
        <f>(B477-B478)*$J$15*$J$16</f>
        <v>5000</v>
      </c>
      <c r="D478" s="10">
        <f t="shared" si="14"/>
        <v>-21680.000000000004</v>
      </c>
      <c r="E478" s="10">
        <f t="shared" si="15"/>
        <v>39012</v>
      </c>
      <c r="F478" s="10" t="str">
        <f>IF(A478=$J$22,"",IF(E478&lt;$J$20,$J$19-E478,""))</f>
        <v/>
      </c>
    </row>
    <row r="479" spans="1:6" hidden="1">
      <c r="A479" s="11">
        <v>46238</v>
      </c>
      <c r="B479" s="10">
        <v>72.03</v>
      </c>
      <c r="C479" s="10">
        <f>(B478-B479)*$J$15*$J$16</f>
        <v>3819.9999999999932</v>
      </c>
      <c r="D479" s="10">
        <f t="shared" si="14"/>
        <v>-17860.000000000011</v>
      </c>
      <c r="E479" s="10">
        <f t="shared" si="15"/>
        <v>42831.999999999993</v>
      </c>
      <c r="F479" s="10" t="str">
        <f>IF(A479=$J$22,"",IF(E479&lt;$J$20,$J$19-E479,""))</f>
        <v/>
      </c>
    </row>
    <row r="480" spans="1:6" hidden="1">
      <c r="A480" s="11">
        <v>46239</v>
      </c>
      <c r="B480" s="10">
        <v>71.87</v>
      </c>
      <c r="C480" s="10">
        <f>(B479-B480)*$J$15*$J$16</f>
        <v>319.99999999999318</v>
      </c>
      <c r="D480" s="10">
        <f t="shared" si="14"/>
        <v>-17540.000000000018</v>
      </c>
      <c r="E480" s="10">
        <f t="shared" si="15"/>
        <v>43151.999999999985</v>
      </c>
      <c r="F480" s="10" t="str">
        <f>IF(A480=$J$22,"",IF(E480&lt;$J$20,$J$19-E480,""))</f>
        <v/>
      </c>
    </row>
    <row r="481" spans="1:6" hidden="1">
      <c r="A481" s="11">
        <v>46240</v>
      </c>
      <c r="B481" s="10">
        <v>73.599999999999994</v>
      </c>
      <c r="C481" s="10">
        <f>(B480-B481)*$J$15*$J$16</f>
        <v>-3459.9999999999795</v>
      </c>
      <c r="D481" s="10">
        <f t="shared" si="14"/>
        <v>-20999.999999999996</v>
      </c>
      <c r="E481" s="10">
        <f t="shared" si="15"/>
        <v>39692.000000000007</v>
      </c>
      <c r="F481" s="10" t="str">
        <f>IF(A481=$J$22,"",IF(E481&lt;$J$20,$J$19-E481,""))</f>
        <v/>
      </c>
    </row>
    <row r="482" spans="1:6" hidden="1">
      <c r="A482" s="11">
        <v>46241</v>
      </c>
      <c r="B482" s="10">
        <v>74.64</v>
      </c>
      <c r="C482" s="10">
        <f>(B481-B482)*$J$15*$J$16</f>
        <v>-2080.0000000000127</v>
      </c>
      <c r="D482" s="10">
        <f t="shared" si="14"/>
        <v>-23080.000000000007</v>
      </c>
      <c r="E482" s="10">
        <f t="shared" si="15"/>
        <v>37611.999999999993</v>
      </c>
      <c r="F482" s="10" t="str">
        <f>IF(A482=$J$22,"",IF(E482&lt;$J$20,$J$19-E482,""))</f>
        <v/>
      </c>
    </row>
    <row r="483" spans="1:6" hidden="1">
      <c r="A483" s="11">
        <v>46244</v>
      </c>
      <c r="B483" s="10">
        <v>78.489999999999995</v>
      </c>
      <c r="C483" s="10">
        <f>(B482-B483)*$J$15*$J$16</f>
        <v>-7699.9999999999891</v>
      </c>
      <c r="D483" s="10">
        <f t="shared" ref="D483:D511" si="16">D482+C483</f>
        <v>-30779.999999999996</v>
      </c>
      <c r="E483" s="10">
        <f t="shared" si="15"/>
        <v>29912.000000000004</v>
      </c>
      <c r="F483" s="10" t="str">
        <f>IF(A483=$J$22,"",IF(E483&lt;$J$20,$J$19-E483,""))</f>
        <v/>
      </c>
    </row>
    <row r="484" spans="1:6" hidden="1">
      <c r="A484" s="11">
        <v>46245</v>
      </c>
      <c r="B484" s="10">
        <v>78.58</v>
      </c>
      <c r="C484" s="10">
        <f>(B483-B484)*$J$15*$J$16</f>
        <v>-180.00000000000682</v>
      </c>
      <c r="D484" s="10">
        <f t="shared" si="16"/>
        <v>-30960.000000000004</v>
      </c>
      <c r="E484" s="10">
        <f t="shared" si="15"/>
        <v>29731.999999999996</v>
      </c>
      <c r="F484" s="10" t="str">
        <f>IF(A484=$J$22,"",IF(E484&lt;$J$20,$J$19-E484,""))</f>
        <v/>
      </c>
    </row>
    <row r="485" spans="1:6" hidden="1">
      <c r="A485" s="11">
        <v>46246</v>
      </c>
      <c r="B485" s="10">
        <v>78.790000000000006</v>
      </c>
      <c r="C485" s="10">
        <f>(B484-B485)*$J$15*$J$16</f>
        <v>-420.00000000001592</v>
      </c>
      <c r="D485" s="10">
        <f t="shared" si="16"/>
        <v>-31380.000000000018</v>
      </c>
      <c r="E485" s="10">
        <f t="shared" si="15"/>
        <v>29311.999999999982</v>
      </c>
      <c r="F485" s="10" t="str">
        <f>IF(A485=$J$22,"",IF(E485&lt;$J$20,$J$19-E485,""))</f>
        <v/>
      </c>
    </row>
    <row r="486" spans="1:6" hidden="1">
      <c r="A486" s="11">
        <v>46247</v>
      </c>
      <c r="B486" s="10">
        <v>77.599999999999994</v>
      </c>
      <c r="C486" s="10">
        <f>(B485-B486)*$J$15*$J$16</f>
        <v>2380.0000000000236</v>
      </c>
      <c r="D486" s="10">
        <f t="shared" si="16"/>
        <v>-28999.999999999993</v>
      </c>
      <c r="E486" s="10">
        <f t="shared" si="15"/>
        <v>31692.000000000007</v>
      </c>
      <c r="F486" s="10" t="str">
        <f>IF(A486=$J$22,"",IF(E486&lt;$J$20,$J$19-E486,""))</f>
        <v/>
      </c>
    </row>
    <row r="487" spans="1:6" hidden="1">
      <c r="A487" s="11">
        <v>46248</v>
      </c>
      <c r="B487" s="10">
        <v>78.489999999999995</v>
      </c>
      <c r="C487" s="10">
        <f>(B486-B487)*$J$15*$J$16</f>
        <v>-1780.0000000000011</v>
      </c>
      <c r="D487" s="10">
        <f t="shared" si="16"/>
        <v>-30779.999999999993</v>
      </c>
      <c r="E487" s="10">
        <f t="shared" si="15"/>
        <v>29912.000000000007</v>
      </c>
      <c r="F487" s="10" t="str">
        <f>IF(A487=$J$22,"",IF(E487&lt;$J$20,$J$19-E487,""))</f>
        <v/>
      </c>
    </row>
    <row r="488" spans="1:6" hidden="1">
      <c r="A488" s="11">
        <v>46251</v>
      </c>
      <c r="B488" s="10">
        <v>80.83</v>
      </c>
      <c r="C488" s="10">
        <f>(B487-B488)*$J$15*$J$16</f>
        <v>-4680.0000000000073</v>
      </c>
      <c r="D488" s="10">
        <f t="shared" si="16"/>
        <v>-35460</v>
      </c>
      <c r="E488" s="10">
        <f t="shared" si="15"/>
        <v>25232</v>
      </c>
      <c r="F488" s="10" t="str">
        <f>IF(A488=$J$22,"",IF(E488&lt;$J$20,$J$19-E488,""))</f>
        <v/>
      </c>
    </row>
    <row r="489" spans="1:6" hidden="1">
      <c r="A489" s="11">
        <v>46252</v>
      </c>
      <c r="B489" s="10">
        <v>81.2</v>
      </c>
      <c r="C489" s="10">
        <f>(B488-B489)*$J$15*$J$16</f>
        <v>-740.00000000000909</v>
      </c>
      <c r="D489" s="10">
        <f t="shared" si="16"/>
        <v>-36200.000000000007</v>
      </c>
      <c r="E489" s="10">
        <f t="shared" si="15"/>
        <v>24491.999999999993</v>
      </c>
      <c r="F489" s="10" t="str">
        <f>IF(A489=$J$22,"",IF(E489&lt;$J$20,$J$19-E489,""))</f>
        <v/>
      </c>
    </row>
    <row r="490" spans="1:6" hidden="1">
      <c r="A490" s="11">
        <v>46253</v>
      </c>
      <c r="B490" s="10">
        <v>81.069999999999993</v>
      </c>
      <c r="C490" s="10">
        <f>(B489-B490)*$J$15*$J$16</f>
        <v>260.00000000001933</v>
      </c>
      <c r="D490" s="10">
        <f t="shared" si="16"/>
        <v>-35939.999999999985</v>
      </c>
      <c r="E490" s="10">
        <f t="shared" si="15"/>
        <v>24752.000000000011</v>
      </c>
      <c r="F490" s="10" t="str">
        <f>IF(A490=$J$22,"",IF(E490&lt;$J$20,$J$19-E490,""))</f>
        <v/>
      </c>
    </row>
    <row r="491" spans="1:6" hidden="1">
      <c r="A491" s="11">
        <v>46254</v>
      </c>
      <c r="B491" s="10">
        <v>82.67</v>
      </c>
      <c r="C491" s="10">
        <f>(B490-B491)*$J$15*$J$16</f>
        <v>-3200.0000000000173</v>
      </c>
      <c r="D491" s="10">
        <f t="shared" si="16"/>
        <v>-39140</v>
      </c>
      <c r="E491" s="10">
        <f t="shared" si="15"/>
        <v>21551.999999999993</v>
      </c>
      <c r="F491" s="10" t="str">
        <f>IF(A491=$J$22,"",IF(E491&lt;$J$20,$J$19-E491,""))</f>
        <v/>
      </c>
    </row>
    <row r="492" spans="1:6" hidden="1">
      <c r="A492" s="11">
        <v>46255</v>
      </c>
      <c r="B492" s="10">
        <v>83.02</v>
      </c>
      <c r="C492" s="10">
        <f>(B491-B492)*$J$15*$J$16</f>
        <v>-699.99999999998863</v>
      </c>
      <c r="D492" s="10">
        <f t="shared" si="16"/>
        <v>-39839.999999999985</v>
      </c>
      <c r="E492" s="10">
        <f t="shared" si="15"/>
        <v>20852.000000000004</v>
      </c>
      <c r="F492" s="10" t="str">
        <f>IF(A492=$J$22,"",IF(E492&lt;$J$20,$J$19-E492,""))</f>
        <v/>
      </c>
    </row>
    <row r="493" spans="1:6" hidden="1">
      <c r="A493" s="11">
        <v>46258</v>
      </c>
      <c r="B493" s="10">
        <v>81.34</v>
      </c>
      <c r="C493" s="10">
        <f>(B492-B493)*$J$15*$J$16</f>
        <v>3359.9999999999854</v>
      </c>
      <c r="D493" s="10">
        <f t="shared" si="16"/>
        <v>-36480</v>
      </c>
      <c r="E493" s="10">
        <f t="shared" si="15"/>
        <v>24211.999999999989</v>
      </c>
      <c r="F493" s="10" t="str">
        <f>IF(A493=$J$22,"",IF(E493&lt;$J$20,$J$19-E493,""))</f>
        <v/>
      </c>
    </row>
    <row r="494" spans="1:6" hidden="1">
      <c r="A494" s="11">
        <v>46259</v>
      </c>
      <c r="B494" s="10">
        <v>79.150000000000006</v>
      </c>
      <c r="C494" s="10">
        <f>(B493-B494)*$J$15*$J$16</f>
        <v>4379.9999999999955</v>
      </c>
      <c r="D494" s="10">
        <f t="shared" si="16"/>
        <v>-32100.000000000004</v>
      </c>
      <c r="E494" s="10">
        <f t="shared" si="15"/>
        <v>28591.999999999985</v>
      </c>
      <c r="F494" s="10" t="str">
        <f>IF(A494=$J$22,"",IF(E494&lt;$J$20,$J$19-E494,""))</f>
        <v/>
      </c>
    </row>
    <row r="495" spans="1:6" hidden="1">
      <c r="A495" s="11">
        <v>46260</v>
      </c>
      <c r="B495" s="10">
        <v>79.27</v>
      </c>
      <c r="C495" s="10">
        <f>(B494-B495)*$J$15*$J$16</f>
        <v>-239.99999999998067</v>
      </c>
      <c r="D495" s="10">
        <f t="shared" si="16"/>
        <v>-32339.999999999985</v>
      </c>
      <c r="E495" s="10">
        <f t="shared" si="15"/>
        <v>28352.000000000004</v>
      </c>
      <c r="F495" s="10" t="str">
        <f>IF(A495=$J$22,"",IF(E495&lt;$J$20,$J$19-E495,""))</f>
        <v/>
      </c>
    </row>
    <row r="496" spans="1:6" hidden="1">
      <c r="A496" s="11">
        <v>46261</v>
      </c>
      <c r="B496" s="10">
        <v>80.11</v>
      </c>
      <c r="C496" s="10">
        <f>(B495-B496)*$J$15*$J$16</f>
        <v>-1680.0000000000068</v>
      </c>
      <c r="D496" s="10">
        <f t="shared" si="16"/>
        <v>-34019.999999999993</v>
      </c>
      <c r="E496" s="10">
        <f t="shared" si="15"/>
        <v>26671.999999999996</v>
      </c>
      <c r="F496" s="10" t="str">
        <f>IF(A496=$J$22,"",IF(E496&lt;$J$20,$J$19-E496,""))</f>
        <v/>
      </c>
    </row>
    <row r="497" spans="1:6" hidden="1">
      <c r="A497" s="11">
        <v>46262</v>
      </c>
      <c r="B497" s="10">
        <v>80</v>
      </c>
      <c r="C497" s="10">
        <f>(B496-B497)*$J$15*$J$16</f>
        <v>219.99999999999886</v>
      </c>
      <c r="D497" s="10">
        <f t="shared" si="16"/>
        <v>-33799.999999999993</v>
      </c>
      <c r="E497" s="10">
        <f t="shared" si="15"/>
        <v>26891.999999999996</v>
      </c>
      <c r="F497" s="10" t="str">
        <f>IF(A497=$J$22,"",IF(E497&lt;$J$20,$J$19-E497,""))</f>
        <v/>
      </c>
    </row>
    <row r="498" spans="1:6" hidden="1">
      <c r="A498" s="11">
        <v>46265</v>
      </c>
      <c r="B498" s="10">
        <v>82.07</v>
      </c>
      <c r="C498" s="10">
        <f>(B497-B498)*$J$15*$J$16</f>
        <v>-4139.9999999999864</v>
      </c>
      <c r="D498" s="10">
        <f t="shared" si="16"/>
        <v>-37939.999999999978</v>
      </c>
      <c r="E498" s="10">
        <f t="shared" si="15"/>
        <v>22752.000000000011</v>
      </c>
      <c r="F498" s="10" t="str">
        <f>IF(A498=$J$22,"",IF(E498&lt;$J$20,$J$19-E498,""))</f>
        <v/>
      </c>
    </row>
    <row r="499" spans="1:6" hidden="1">
      <c r="A499" s="11">
        <v>46266</v>
      </c>
      <c r="B499" s="10">
        <v>84.97</v>
      </c>
      <c r="C499" s="10">
        <f>(B498-B499)*$J$15*$J$16</f>
        <v>-5800.0000000000109</v>
      </c>
      <c r="D499" s="10">
        <f t="shared" si="16"/>
        <v>-43739.999999999985</v>
      </c>
      <c r="E499" s="10">
        <f t="shared" si="15"/>
        <v>16952</v>
      </c>
      <c r="F499" s="10" t="str">
        <f>IF(A499=$J$22,"",IF(E499&lt;$J$20,$J$19-E499,""))</f>
        <v/>
      </c>
    </row>
    <row r="500" spans="1:6" hidden="1">
      <c r="A500" s="11">
        <v>46267</v>
      </c>
      <c r="B500" s="10">
        <v>85.25</v>
      </c>
      <c r="C500" s="10">
        <f>(B499-B500)*$J$15*$J$16</f>
        <v>-560.00000000000227</v>
      </c>
      <c r="D500" s="10">
        <f t="shared" si="16"/>
        <v>-44299.999999999985</v>
      </c>
      <c r="E500" s="10">
        <f t="shared" si="15"/>
        <v>16391.999999999996</v>
      </c>
      <c r="F500" s="10" t="str">
        <f>IF(A500=$J$22,"",IF(E500&lt;$J$20,$J$19-E500,""))</f>
        <v/>
      </c>
    </row>
    <row r="501" spans="1:6" hidden="1">
      <c r="A501" s="11">
        <v>46268</v>
      </c>
      <c r="B501" s="10">
        <v>84.79</v>
      </c>
      <c r="C501" s="10">
        <f>(B500-B501)*$J$15*$J$16</f>
        <v>919.99999999998749</v>
      </c>
      <c r="D501" s="10">
        <f t="shared" si="16"/>
        <v>-43380</v>
      </c>
      <c r="E501" s="10">
        <f t="shared" si="15"/>
        <v>17311.999999999985</v>
      </c>
      <c r="F501" s="10" t="str">
        <f>IF(A501=$J$22,"",IF(E501&lt;$J$20,$J$19-E501,""))</f>
        <v/>
      </c>
    </row>
    <row r="502" spans="1:6" hidden="1">
      <c r="A502" s="11">
        <v>46269</v>
      </c>
      <c r="B502" s="10">
        <v>85.46</v>
      </c>
      <c r="C502" s="10">
        <f>(B501-B502)*$J$15*$J$16</f>
        <v>-1339.999999999975</v>
      </c>
      <c r="D502" s="10">
        <f t="shared" si="16"/>
        <v>-44719.999999999978</v>
      </c>
      <c r="E502" s="10">
        <f t="shared" si="15"/>
        <v>15972.000000000011</v>
      </c>
      <c r="F502" s="10" t="str">
        <f>IF(A502=$J$22,"",IF(E502&lt;$J$20,$J$19-E502,""))</f>
        <v/>
      </c>
    </row>
    <row r="503" spans="1:6">
      <c r="A503" s="11">
        <v>46273</v>
      </c>
      <c r="B503" s="10">
        <v>87.14</v>
      </c>
      <c r="C503" s="10">
        <f>(B502-B503)*$J$15*$J$16</f>
        <v>-3360.0000000000136</v>
      </c>
      <c r="D503" s="10">
        <f t="shared" si="16"/>
        <v>-48079.999999999993</v>
      </c>
      <c r="E503" s="10">
        <f t="shared" si="15"/>
        <v>12611.999999999996</v>
      </c>
      <c r="F503" s="10">
        <f>IF(A503=$J$22,"",IF(E503&lt;$J$20,$J$19-E503,""))</f>
        <v>3640.0000000000036</v>
      </c>
    </row>
    <row r="504" spans="1:6">
      <c r="A504" s="11">
        <v>46274</v>
      </c>
      <c r="B504" s="10">
        <v>89.32</v>
      </c>
      <c r="C504" s="10">
        <f>(B503-B504)*$J$15*$J$16</f>
        <v>-4359.9999999999854</v>
      </c>
      <c r="D504" s="10">
        <f t="shared" si="16"/>
        <v>-52439.999999999978</v>
      </c>
      <c r="E504" s="10">
        <f t="shared" si="15"/>
        <v>11892.000000000015</v>
      </c>
      <c r="F504" s="10">
        <f>IF(A504=$J$22,"",IF(E504&lt;$J$20,$J$19-E504,""))</f>
        <v>4359.9999999999854</v>
      </c>
    </row>
    <row r="505" spans="1:6">
      <c r="A505" s="11">
        <v>46275</v>
      </c>
      <c r="B505" s="10">
        <v>93.93</v>
      </c>
      <c r="C505" s="10">
        <f>(B504-B505)*$J$15*$J$16</f>
        <v>-9220.0000000000273</v>
      </c>
      <c r="D505" s="10">
        <f t="shared" si="16"/>
        <v>-61660.000000000007</v>
      </c>
      <c r="E505" s="10">
        <f t="shared" si="15"/>
        <v>7031.9999999999727</v>
      </c>
      <c r="F505" s="10">
        <f>IF(A505=$J$22,"",IF(E505&lt;$J$20,$J$19-E505,""))</f>
        <v>9220.0000000000273</v>
      </c>
    </row>
    <row r="506" spans="1:6" hidden="1">
      <c r="A506" s="11">
        <v>46276</v>
      </c>
      <c r="B506" s="10">
        <v>91.43</v>
      </c>
      <c r="C506" s="10">
        <f>(B505-B506)*$J$15*$J$16</f>
        <v>5000</v>
      </c>
      <c r="D506" s="10">
        <f t="shared" si="16"/>
        <v>-56660.000000000007</v>
      </c>
      <c r="E506" s="10">
        <f t="shared" si="15"/>
        <v>21252</v>
      </c>
      <c r="F506" s="10" t="str">
        <f>IF(A506=$J$22,"",IF(E506&lt;$J$20,$J$19-E506,""))</f>
        <v/>
      </c>
    </row>
    <row r="507" spans="1:6" hidden="1">
      <c r="A507" s="11">
        <v>46279</v>
      </c>
      <c r="B507" s="10">
        <v>92.6</v>
      </c>
      <c r="C507" s="10">
        <f>(B506-B507)*$J$15*$J$16</f>
        <v>-2339.999999999975</v>
      </c>
      <c r="D507" s="10">
        <f t="shared" si="16"/>
        <v>-58999.999999999985</v>
      </c>
      <c r="E507" s="10">
        <f t="shared" si="15"/>
        <v>18912.000000000025</v>
      </c>
      <c r="F507" s="10" t="str">
        <f>IF(A507=$J$22,"",IF(E507&lt;$J$20,$J$19-E507,""))</f>
        <v/>
      </c>
    </row>
    <row r="508" spans="1:6">
      <c r="A508" s="11">
        <v>46280</v>
      </c>
      <c r="B508" s="10">
        <v>95.51</v>
      </c>
      <c r="C508" s="10">
        <f>(B507-B508)*$J$15*$J$16</f>
        <v>-5820.0000000000218</v>
      </c>
      <c r="D508" s="10">
        <f t="shared" si="16"/>
        <v>-64820.000000000007</v>
      </c>
      <c r="E508" s="10">
        <f t="shared" si="15"/>
        <v>13092.000000000004</v>
      </c>
      <c r="F508" s="10">
        <f>IF(A508=$J$22,"",IF(E508&lt;$J$20,$J$19-E508,""))</f>
        <v>3159.9999999999964</v>
      </c>
    </row>
    <row r="509" spans="1:6" hidden="1">
      <c r="A509" s="11">
        <v>46281</v>
      </c>
      <c r="B509" s="10">
        <v>92.79</v>
      </c>
      <c r="C509" s="10">
        <f>(B508-B509)*$J$15*$J$16</f>
        <v>5439.9999999999982</v>
      </c>
      <c r="D509" s="10">
        <f t="shared" si="16"/>
        <v>-59380.000000000007</v>
      </c>
      <c r="E509" s="10">
        <f t="shared" si="15"/>
        <v>21692</v>
      </c>
      <c r="F509" s="10" t="str">
        <f>IF(A509=$J$22,"",IF(E509&lt;$J$20,$J$19-E509,""))</f>
        <v/>
      </c>
    </row>
    <row r="510" spans="1:6" hidden="1">
      <c r="A510" s="11">
        <v>46282</v>
      </c>
      <c r="B510" s="10">
        <v>92.61</v>
      </c>
      <c r="C510" s="10">
        <f>(B509-B510)*$J$15*$J$16</f>
        <v>360.00000000001364</v>
      </c>
      <c r="D510" s="10">
        <f t="shared" si="16"/>
        <v>-59019.999999999993</v>
      </c>
      <c r="E510" s="10">
        <f t="shared" si="15"/>
        <v>22052.000000000015</v>
      </c>
      <c r="F510" s="10" t="str">
        <f>IF(A510=$J$22,"",IF(E510&lt;$J$20,$J$19-E510,""))</f>
        <v/>
      </c>
    </row>
    <row r="511" spans="1:6" hidden="1">
      <c r="A511" s="11">
        <v>46283</v>
      </c>
      <c r="B511" s="10">
        <v>92.05</v>
      </c>
      <c r="C511" s="10">
        <f>(B510-B511)*$J$15*$J$16</f>
        <v>1120.0000000000045</v>
      </c>
      <c r="D511" s="10">
        <f t="shared" si="16"/>
        <v>-57899.999999999985</v>
      </c>
      <c r="E511" s="10">
        <f t="shared" si="15"/>
        <v>23172.000000000018</v>
      </c>
      <c r="F511" s="10" t="str">
        <f>IF(A511=$J$22,"",IF(E511&lt;$J$20,$J$19-E511,""))</f>
        <v/>
      </c>
    </row>
  </sheetData>
  <pageMargins left="0.7" right="0.7" top="0.75" bottom="0.75" header="0.3" footer="0.3"/>
  <pageSetup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Margin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Sheng</cp:lastModifiedBy>
  <cp:lastPrinted>2026-10-05T13:22:51Z</cp:lastPrinted>
  <dcterms:created xsi:type="dcterms:W3CDTF">2026-10-04T18:08:19Z</dcterms:created>
  <dcterms:modified xsi:type="dcterms:W3CDTF">2026-10-05T13:23:13Z</dcterms:modified>
</cp:coreProperties>
</file>